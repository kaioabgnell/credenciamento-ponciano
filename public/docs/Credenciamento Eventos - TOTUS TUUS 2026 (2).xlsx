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Empresas" sheetId="1" r:id="rId5"/>
    <sheet state="visible" name="FUNCIONÁRIOS" sheetId="2" r:id="rId6"/>
    <sheet state="visible" name="⏱️ Entrada e Saída" sheetId="3" r:id="rId7"/>
    <sheet state="visible" name="📊 Resumo Geral" sheetId="4" r:id="rId8"/>
    <sheet state="visible" name="✉️ Mensagem Padrão" sheetId="5" r:id="rId9"/>
  </sheets>
  <definedNames>
    <definedName name="ListaFuncionarios">'FUNCIONÁRIOS'!$C$4:$C$997</definedName>
    <definedName name="ListaEmpresas">'📋 Empresas'!$B$4:$B$103</definedName>
  </definedNames>
  <calcPr/>
</workbook>
</file>

<file path=xl/sharedStrings.xml><?xml version="1.0" encoding="utf-8"?>
<sst xmlns="http://schemas.openxmlformats.org/spreadsheetml/2006/main" count="6330" uniqueCount="2043">
  <si>
    <t>🏢  CADASTRO DE EMPRESAS</t>
  </si>
  <si>
    <t>#</t>
  </si>
  <si>
    <t>EMPRESA</t>
  </si>
  <si>
    <t>RESPONSÁVEL</t>
  </si>
  <si>
    <t>TELEFONE</t>
  </si>
  <si>
    <t>E-MAIL</t>
  </si>
  <si>
    <t>OBSERVAÇÕES</t>
  </si>
  <si>
    <t xml:space="preserve">PONCIANO SOLUÇÕES </t>
  </si>
  <si>
    <t>Leo Ponciano</t>
  </si>
  <si>
    <t>(62) 99999-0001</t>
  </si>
  <si>
    <t>leo@ponciano.com.br</t>
  </si>
  <si>
    <t xml:space="preserve">MONTE EVENTOS </t>
  </si>
  <si>
    <t xml:space="preserve">EDUARDO HENRIQUE </t>
  </si>
  <si>
    <t>(61) 99880-4657</t>
  </si>
  <si>
    <t>-</t>
  </si>
  <si>
    <t xml:space="preserve">UP MUSIC </t>
  </si>
  <si>
    <t xml:space="preserve">RODRIGO BORGES </t>
  </si>
  <si>
    <t>(00)00000-0000</t>
  </si>
  <si>
    <t>TJ SERVIÇOS</t>
  </si>
  <si>
    <t xml:space="preserve">JESSICA LUZENNYLDES </t>
  </si>
  <si>
    <t>tjservicosltda@gmail</t>
  </si>
  <si>
    <t>FLASH MED</t>
  </si>
  <si>
    <t xml:space="preserve">YES </t>
  </si>
  <si>
    <t xml:space="preserve">BIGODE </t>
  </si>
  <si>
    <t xml:space="preserve">NLEDS LOCAÇÃO - PAINEIS DE LED </t>
  </si>
  <si>
    <t xml:space="preserve">ROBSON MARTINS </t>
  </si>
  <si>
    <t>62 99971 8380</t>
  </si>
  <si>
    <t>nledslocacoes1@gmail.com</t>
  </si>
  <si>
    <t xml:space="preserve">ASSOCIAÇÃO ASSUNÇÃO </t>
  </si>
  <si>
    <t xml:space="preserve">FABINHO EVENTOS </t>
  </si>
  <si>
    <t xml:space="preserve">LINQ </t>
  </si>
  <si>
    <t xml:space="preserve">ELEMENT </t>
  </si>
  <si>
    <t>MIX GERADORES</t>
  </si>
  <si>
    <t>REISFORT</t>
  </si>
  <si>
    <t>EL SHADDAI</t>
  </si>
  <si>
    <t xml:space="preserve">GO TO </t>
  </si>
  <si>
    <t xml:space="preserve">LINE TAPE </t>
  </si>
  <si>
    <t>GYNLIGHT</t>
  </si>
  <si>
    <t>DB ESTRUTURA</t>
  </si>
  <si>
    <t>BIG LIMP</t>
  </si>
  <si>
    <t>SHOWNEWS</t>
  </si>
  <si>
    <t>GYN EVENTS</t>
  </si>
  <si>
    <t>MARIA COLHER DE PAU</t>
  </si>
  <si>
    <t>VOU DE CHURROS</t>
  </si>
  <si>
    <t>POPCORN E BENDITO MILHO</t>
  </si>
  <si>
    <t>CANA JOY</t>
  </si>
  <si>
    <t>PIZZA GYN</t>
  </si>
  <si>
    <t>BASE PRO EVENTOS</t>
  </si>
  <si>
    <t>KOMIKETO</t>
  </si>
  <si>
    <t>CALAI CHURROS</t>
  </si>
  <si>
    <t>DORORÔ</t>
  </si>
  <si>
    <t>GRUPO IZA</t>
  </si>
  <si>
    <t xml:space="preserve">LA ESTRUTURA </t>
  </si>
  <si>
    <t xml:space="preserve">LATINO </t>
  </si>
  <si>
    <t xml:space="preserve">CARVALHO FORROS </t>
  </si>
  <si>
    <t xml:space="preserve">VISUAL LIVE </t>
  </si>
  <si>
    <t xml:space="preserve">STUDIO K </t>
  </si>
  <si>
    <t xml:space="preserve">ALL ESTRUTURAS </t>
  </si>
  <si>
    <t xml:space="preserve">PRIVILEGE EVENTOS </t>
  </si>
  <si>
    <t xml:space="preserve">STUDIO K MULTI EVENTOS LTDA </t>
  </si>
  <si>
    <t xml:space="preserve">Carlos José Melo Nunes </t>
  </si>
  <si>
    <t>(62) 99975-1177</t>
  </si>
  <si>
    <t xml:space="preserve"> carlosmelo@studiok.com.br </t>
  </si>
  <si>
    <t xml:space="preserve">COMPLEXO SERRA DOURADA </t>
  </si>
  <si>
    <t>mobile 2000</t>
  </si>
  <si>
    <t xml:space="preserve">MINAS PIPOCA </t>
  </si>
  <si>
    <t>GOYA</t>
  </si>
  <si>
    <t>IPRILUX</t>
  </si>
  <si>
    <t xml:space="preserve">NR CAMINHOES </t>
  </si>
  <si>
    <t>DORORO</t>
  </si>
  <si>
    <t>VOLUNTÁRIO</t>
  </si>
  <si>
    <t>ASSESSORIA DE IMPRENSA</t>
  </si>
  <si>
    <t xml:space="preserve">VALADARES EVENTOS </t>
  </si>
  <si>
    <t>PUBLIC ADDRESS</t>
  </si>
  <si>
    <t xml:space="preserve">siate </t>
  </si>
  <si>
    <t xml:space="preserve">raçudao </t>
  </si>
  <si>
    <t>PESTASOL</t>
  </si>
  <si>
    <t>CHURROS CALAIS</t>
  </si>
  <si>
    <t>TENDAS E CIA</t>
  </si>
  <si>
    <t>SHARA</t>
  </si>
  <si>
    <t>X-FLOOR</t>
  </si>
  <si>
    <t>SENAC</t>
  </si>
  <si>
    <t>RADIO MARIA</t>
  </si>
  <si>
    <t xml:space="preserve">MAIS BEBIDAS </t>
  </si>
  <si>
    <t>GRUPO EMEP</t>
  </si>
  <si>
    <t>NOVA CORTE</t>
  </si>
  <si>
    <t>VELUTE LEONES CARPETES</t>
  </si>
  <si>
    <t xml:space="preserve">AMBULANTE </t>
  </si>
  <si>
    <t xml:space="preserve">MEU BILHETE </t>
  </si>
  <si>
    <t>👤  CADASTRO DE FUNCIONÁRIOS</t>
  </si>
  <si>
    <t>EMPRESA (selecione ▼)</t>
  </si>
  <si>
    <t>NOME COMPLETO</t>
  </si>
  <si>
    <t>FUNÇÃO / CARGO</t>
  </si>
  <si>
    <t>COORDENADOR?</t>
  </si>
  <si>
    <t>CPF</t>
  </si>
  <si>
    <t>ÁREA DE ACESSO</t>
  </si>
  <si>
    <t xml:space="preserve">ALICE RIBEIRO LEITE </t>
  </si>
  <si>
    <t>CREDENCIAMENTO</t>
  </si>
  <si>
    <t>NÃO</t>
  </si>
  <si>
    <t>TODOS</t>
  </si>
  <si>
    <t xml:space="preserve">Juan Miguel </t>
  </si>
  <si>
    <t>MONTADOR</t>
  </si>
  <si>
    <t xml:space="preserve">TODOS </t>
  </si>
  <si>
    <t xml:space="preserve">kauan de Souza Morais </t>
  </si>
  <si>
    <t>Gustavo Danilo Costa Tavares</t>
  </si>
  <si>
    <t>Luis Felipe Cruz da Silva</t>
  </si>
  <si>
    <t xml:space="preserve">ROBSON MORERIRA MARTINS </t>
  </si>
  <si>
    <t>PRODUTOR DE PALCO</t>
  </si>
  <si>
    <t>591.817.451-68</t>
  </si>
  <si>
    <t>Hildebrando Ferreira de Souza</t>
  </si>
  <si>
    <t>Yago Oliveira de Souza</t>
  </si>
  <si>
    <t xml:space="preserve">Ruan Andrade Braga </t>
  </si>
  <si>
    <t xml:space="preserve">Genário da conceição Diniz </t>
  </si>
  <si>
    <t>Eduardo Henrique do lago Ramos</t>
  </si>
  <si>
    <t>COORDENADOR/CEO</t>
  </si>
  <si>
    <t>SIM</t>
  </si>
  <si>
    <t xml:space="preserve">Alessandro santos da Silva </t>
  </si>
  <si>
    <t>Taylon Vitor Soares de Alencar</t>
  </si>
  <si>
    <t>Sidney Marcelinho Martins</t>
  </si>
  <si>
    <t>Willames David Lima dos santos</t>
  </si>
  <si>
    <t>123.443.794-52</t>
  </si>
  <si>
    <t xml:space="preserve">José Wellingtom </t>
  </si>
  <si>
    <t>Leonardo de Andrade Estevão</t>
  </si>
  <si>
    <t>Washington Carlos Nascimento Costa</t>
  </si>
  <si>
    <t xml:space="preserve">Hananias Sousa Alves dos santos </t>
  </si>
  <si>
    <t xml:space="preserve">Erik natan Lopes Machado </t>
  </si>
  <si>
    <t xml:space="preserve">Renato de Araújo Morais </t>
  </si>
  <si>
    <t>055480406-93</t>
  </si>
  <si>
    <t xml:space="preserve">Guilherme Silva dos Anjos </t>
  </si>
  <si>
    <t>Andressa Santana Dias</t>
  </si>
  <si>
    <t xml:space="preserve">BRIGADISTA </t>
  </si>
  <si>
    <t>JESSICA LUZENNYLDES GOUVEIA FERREIRA</t>
  </si>
  <si>
    <t xml:space="preserve">Marília de Jesus honorato </t>
  </si>
  <si>
    <t xml:space="preserve">Edna Maria da Silva Olívia </t>
  </si>
  <si>
    <t>SOCORRITA</t>
  </si>
  <si>
    <t xml:space="preserve">Ricardo Souza dos santos </t>
  </si>
  <si>
    <t xml:space="preserve">Wagner Martins lira </t>
  </si>
  <si>
    <t>TEC SEGURANÇA</t>
  </si>
  <si>
    <t xml:space="preserve">Fernando Rosa dos Reis </t>
  </si>
  <si>
    <t xml:space="preserve">PRODUTOR </t>
  </si>
  <si>
    <t xml:space="preserve">Vinicius Monteiro Silva </t>
  </si>
  <si>
    <t>CONTROLE DE ACESSO</t>
  </si>
  <si>
    <t>Ronara Moreira Borges Meireles</t>
  </si>
  <si>
    <t xml:space="preserve">KLEBIO DOS REIS SILVA </t>
  </si>
  <si>
    <t xml:space="preserve">OPERADOR DE EMPILHADEIRA </t>
  </si>
  <si>
    <t>FELIPE ALVES ANGELI</t>
  </si>
  <si>
    <t>TÉCNICO DE MONTAGEM DE PAINÉIS DE LED</t>
  </si>
  <si>
    <t>701.526.281-93</t>
  </si>
  <si>
    <t>DEYVID DA SILVA RODRIGUES</t>
  </si>
  <si>
    <t>705.433.931-27</t>
  </si>
  <si>
    <t xml:space="preserve">CARLOS DANIEL VIEIRA DOS REIS </t>
  </si>
  <si>
    <t>AUXILIAR DE MONTAGEM DE PAINÉIS DE LED</t>
  </si>
  <si>
    <t>713.992.111-37</t>
  </si>
  <si>
    <t>LUCAS RODRIGUES DA SILVA</t>
  </si>
  <si>
    <t>059.746.271-21</t>
  </si>
  <si>
    <t>LUIZ GUSTAVO DOS REIS MORAES</t>
  </si>
  <si>
    <t>077.414.661-35</t>
  </si>
  <si>
    <t xml:space="preserve">RIVALDO NUNES DA SILVA </t>
  </si>
  <si>
    <t>909.034.121-87</t>
  </si>
  <si>
    <t>EDVANE VIEIRA DOS REIS</t>
  </si>
  <si>
    <t>707.783.971-06</t>
  </si>
  <si>
    <t>DANILO PINHEIRO MARTINS</t>
  </si>
  <si>
    <t>029.026.671-83</t>
  </si>
  <si>
    <t>WELINGTON FERREIRA DO AMARAL</t>
  </si>
  <si>
    <t>082.860.061-94</t>
  </si>
  <si>
    <t>RHYANN FERREIRA LELIS</t>
  </si>
  <si>
    <t>706.358.061-26</t>
  </si>
  <si>
    <t xml:space="preserve">JHONNE SILVA FERREIRA </t>
  </si>
  <si>
    <t>707.948.031-05</t>
  </si>
  <si>
    <t>CHRISTIANO CARDOSO PIRES</t>
  </si>
  <si>
    <t>MOTORISTA</t>
  </si>
  <si>
    <t>020.333.111-71</t>
  </si>
  <si>
    <t>ROBSON MOREIRA MARTINS</t>
  </si>
  <si>
    <t>SÓCIO</t>
  </si>
  <si>
    <t>ENIEL ALVES DE MOURA</t>
  </si>
  <si>
    <t>921.139.901-72</t>
  </si>
  <si>
    <t>Andresa da Silva</t>
  </si>
  <si>
    <t>BRIGADISTA</t>
  </si>
  <si>
    <t>619.638.703-01</t>
  </si>
  <si>
    <t>710.413.021-77</t>
  </si>
  <si>
    <t>Jessica Luzennyldes Gouveia Ferreira</t>
  </si>
  <si>
    <t>033.250.632-09</t>
  </si>
  <si>
    <t>Thais Soares Silva</t>
  </si>
  <si>
    <t>003.028.321-30</t>
  </si>
  <si>
    <t xml:space="preserve">vinicius Gomes silva </t>
  </si>
  <si>
    <t>Filipe Pereira de Sousa</t>
  </si>
  <si>
    <t xml:space="preserve">montador </t>
  </si>
  <si>
    <t xml:space="preserve">José Alberto de Oliveira </t>
  </si>
  <si>
    <t xml:space="preserve">Socorrista </t>
  </si>
  <si>
    <t xml:space="preserve">BRUNO CHAVES E SILVA </t>
  </si>
  <si>
    <t xml:space="preserve">DIRETOR </t>
  </si>
  <si>
    <t xml:space="preserve">WILKER JUNIO MOREIRA DA CUNHA </t>
  </si>
  <si>
    <t xml:space="preserve">NERY BATISTA DE OLIVEIRA NETO </t>
  </si>
  <si>
    <t xml:space="preserve">ADVOGADO </t>
  </si>
  <si>
    <t xml:space="preserve">JERRY ADRIANO ROCHA DO CARMO </t>
  </si>
  <si>
    <t xml:space="preserve">AUXILIAR ADMINISTRATIVO </t>
  </si>
  <si>
    <t xml:space="preserve">MICHAEL DOUGLAS CAVAION GOMES </t>
  </si>
  <si>
    <t xml:space="preserve">ADMINISTRATIVO </t>
  </si>
  <si>
    <t xml:space="preserve">DALTON WESLEY SILVA </t>
  </si>
  <si>
    <t xml:space="preserve">GERENTE </t>
  </si>
  <si>
    <t>HECTOR PAULO CONCEIÇÃO BELO SANTOS</t>
  </si>
  <si>
    <t xml:space="preserve">ENFERMAGEM </t>
  </si>
  <si>
    <t>715818921-01</t>
  </si>
  <si>
    <t>RAMON LEMES BRAGA</t>
  </si>
  <si>
    <t xml:space="preserve">SOCORRISTA </t>
  </si>
  <si>
    <t>015824751-56</t>
  </si>
  <si>
    <t>SILVIO PEREIRA DA SILVA</t>
  </si>
  <si>
    <t>693569201-68</t>
  </si>
  <si>
    <t xml:space="preserve">JULIANA CUNHA BARBOSA </t>
  </si>
  <si>
    <t xml:space="preserve">PRODUTORA </t>
  </si>
  <si>
    <t xml:space="preserve">ANTONIANDER DE JESUS </t>
  </si>
  <si>
    <t>SUPERVISOR DE LANÇAMENTO</t>
  </si>
  <si>
    <t xml:space="preserve">DIVINO ETERNO DE MARTINS </t>
  </si>
  <si>
    <t xml:space="preserve">SAMANTHA BARREIRA SILVA </t>
  </si>
  <si>
    <t xml:space="preserve">TEC SEGURANÇA DO TRABALHO </t>
  </si>
  <si>
    <t xml:space="preserve">FELIPE FREIRE REIS </t>
  </si>
  <si>
    <t xml:space="preserve">CENOGRAFIA </t>
  </si>
  <si>
    <t xml:space="preserve">CLAUDIO PIRES MATOS </t>
  </si>
  <si>
    <t xml:space="preserve">PROPRIETÁRIO </t>
  </si>
  <si>
    <t>JOSÉ ANTONIO PEREIRA NETO</t>
  </si>
  <si>
    <t xml:space="preserve">CARLOS ALBERTO CARNE SOARES </t>
  </si>
  <si>
    <t xml:space="preserve">PRODUÇÃO </t>
  </si>
  <si>
    <t xml:space="preserve">ADRIANO SANTOS </t>
  </si>
  <si>
    <t>TECNICO</t>
  </si>
  <si>
    <t>DAVI SANTO</t>
  </si>
  <si>
    <t>FELIPE REITRE</t>
  </si>
  <si>
    <t>PRODUTOR</t>
  </si>
  <si>
    <t xml:space="preserve">MATHEUS MARTINS DA SILVA </t>
  </si>
  <si>
    <t xml:space="preserve">SUPERVISOR </t>
  </si>
  <si>
    <t xml:space="preserve">JESSICA GOMES DA SILCA LIMA </t>
  </si>
  <si>
    <t xml:space="preserve">MARCELO MARTINS MORAIS </t>
  </si>
  <si>
    <t xml:space="preserve">VIE PRESIDENTE </t>
  </si>
  <si>
    <t xml:space="preserve">JOSE MIGUEL MIRANDA GOMES </t>
  </si>
  <si>
    <t xml:space="preserve">PRODUTOR GERAL </t>
  </si>
  <si>
    <t>LAURO GONÇALVES DE LIMA</t>
  </si>
  <si>
    <t xml:space="preserve">ENGENHARIA DE PRODUÇÃO </t>
  </si>
  <si>
    <t xml:space="preserve">ROBSON SILVA </t>
  </si>
  <si>
    <t xml:space="preserve">SOLDADOR </t>
  </si>
  <si>
    <t xml:space="preserve">LUCCA MELLO MARINARI </t>
  </si>
  <si>
    <t xml:space="preserve">MARCO AURELLIO DE OLIVEIRA </t>
  </si>
  <si>
    <t xml:space="preserve">GEOVANE DE ALMEIDA BARBOSA </t>
  </si>
  <si>
    <t xml:space="preserve">MONTADOR </t>
  </si>
  <si>
    <t xml:space="preserve">JHONATHHA BARROS SOA </t>
  </si>
  <si>
    <t xml:space="preserve">WANDELEY ALVES DA SILVA </t>
  </si>
  <si>
    <t xml:space="preserve">VALDELEY DE OUZA SANTOS </t>
  </si>
  <si>
    <t xml:space="preserve">THIAGO DA SILVA RIBEIRO </t>
  </si>
  <si>
    <t xml:space="preserve">GLEYSON MENEZES DOS SANTOS </t>
  </si>
  <si>
    <t xml:space="preserve">MAICON PEREIRA LOPES </t>
  </si>
  <si>
    <t xml:space="preserve">RENATO DE LIMA SOUZA </t>
  </si>
  <si>
    <t xml:space="preserve">PEDRO DIAS DOS SANTOS NETO </t>
  </si>
  <si>
    <t xml:space="preserve">MOTORISTA </t>
  </si>
  <si>
    <t xml:space="preserve">JARSEL ALVES BORGES </t>
  </si>
  <si>
    <t xml:space="preserve">CENOTECNICO </t>
  </si>
  <si>
    <t>ERICA DA SILVA IDELFONSO</t>
  </si>
  <si>
    <t xml:space="preserve">HEBERSON GONÇALVES LIMA SILVA </t>
  </si>
  <si>
    <t xml:space="preserve">SERGIO PINTO DE QUEIROZ JUNIOR </t>
  </si>
  <si>
    <t xml:space="preserve">ARQUITETO </t>
  </si>
  <si>
    <t xml:space="preserve">EVERTON DE PAULA DA SILVA </t>
  </si>
  <si>
    <t xml:space="preserve">ILUMINAÇÃO </t>
  </si>
  <si>
    <t xml:space="preserve">ARTHIUR HENRIQUE DE OLIVEIRA SILVA </t>
  </si>
  <si>
    <t>Adriano Santos De Morais</t>
  </si>
  <si>
    <t>Cordenador Técnico</t>
  </si>
  <si>
    <t>760.725.233-9</t>
  </si>
  <si>
    <t>Thyson Resplandes da Silva</t>
  </si>
  <si>
    <t>Auxiliar Técnico em Iluminação</t>
  </si>
  <si>
    <t>105.604.553-13</t>
  </si>
  <si>
    <t>Wellington Dimas Teles Morais</t>
  </si>
  <si>
    <t>046.055.561-84</t>
  </si>
  <si>
    <t>Fagner de Oliveira Nascimento</t>
  </si>
  <si>
    <t>Motorista</t>
  </si>
  <si>
    <t>601.519.673-42</t>
  </si>
  <si>
    <t>Clovis de O. Neves Neto</t>
  </si>
  <si>
    <t>Técnico em Iluminação</t>
  </si>
  <si>
    <t>038.974.051-99</t>
  </si>
  <si>
    <t>Fernando Henrique Neves Martins</t>
  </si>
  <si>
    <t>065 .065.721-75</t>
  </si>
  <si>
    <t>Leandro Da Silva Nogueira</t>
  </si>
  <si>
    <t>020.843.873-45</t>
  </si>
  <si>
    <t>Darlison Resplandes da Slva</t>
  </si>
  <si>
    <t>119.362.353-74</t>
  </si>
  <si>
    <t>João Pedro Moreira dos Santos</t>
  </si>
  <si>
    <t>045.212.241-48</t>
  </si>
  <si>
    <t>José Arnaldo Sanches Junior</t>
  </si>
  <si>
    <t>097.313.761-75</t>
  </si>
  <si>
    <t>Marco Aurelio Carneiro Neves</t>
  </si>
  <si>
    <t>095.590.691-10</t>
  </si>
  <si>
    <t>Thiago Witallo Alves Coelho Siqueira</t>
  </si>
  <si>
    <t>047.870.001-60</t>
  </si>
  <si>
    <t>Yan Vitor de Freitas Reis</t>
  </si>
  <si>
    <t>709.650.491-59</t>
  </si>
  <si>
    <t>Wesley Alves Pires</t>
  </si>
  <si>
    <t>707.865.801-94</t>
  </si>
  <si>
    <t>Estácio de Sá Santos</t>
  </si>
  <si>
    <t>736.806.561-49</t>
  </si>
  <si>
    <t>Felipe Gonçalves Medrado</t>
  </si>
  <si>
    <t>714.658.571-92</t>
  </si>
  <si>
    <t>Joacir Barbosa Cordeiro</t>
  </si>
  <si>
    <t>871.556.561-00</t>
  </si>
  <si>
    <t>Rodrigo Souza Jordão</t>
  </si>
  <si>
    <t>322.726.148-09</t>
  </si>
  <si>
    <t>José Domingos Jardim da Costa</t>
  </si>
  <si>
    <t>881.610.301-97</t>
  </si>
  <si>
    <t>Fernando Rosa dos Reis</t>
  </si>
  <si>
    <t>Resp. Legal da Empresa</t>
  </si>
  <si>
    <t>017.110.221-52</t>
  </si>
  <si>
    <t>Iris Paulo da Silva</t>
  </si>
  <si>
    <t>995.619.991-53</t>
  </si>
  <si>
    <t>Marielton Gomes dos Santos</t>
  </si>
  <si>
    <t>775.404.841-87</t>
  </si>
  <si>
    <t>Walison Silva Aguiar</t>
  </si>
  <si>
    <t>Paulo Henrique da Costa Silva</t>
  </si>
  <si>
    <t>Montador</t>
  </si>
  <si>
    <t>Maicon Correa Lopes</t>
  </si>
  <si>
    <t>756173812O</t>
  </si>
  <si>
    <t>José Resende de Carvalho</t>
  </si>
  <si>
    <t>motorista</t>
  </si>
  <si>
    <t>Carlos Wyllian da Silva de Souza</t>
  </si>
  <si>
    <t>Silvestre do Nascimento</t>
  </si>
  <si>
    <t>Juarez Pedro da Silva</t>
  </si>
  <si>
    <t>Roney Rodrigues da Silva</t>
  </si>
  <si>
    <t>100.894.236-74</t>
  </si>
  <si>
    <t>Eduardo Alves da Silva</t>
  </si>
  <si>
    <t>094.111.111-30</t>
  </si>
  <si>
    <t>Mateus Freire Cândido da Silva</t>
  </si>
  <si>
    <t>705.591.971-10</t>
  </si>
  <si>
    <t>André Luiz do Nascimento</t>
  </si>
  <si>
    <t>008.234.381-04</t>
  </si>
  <si>
    <t>Policasio de Souza Machado</t>
  </si>
  <si>
    <t>Carregador</t>
  </si>
  <si>
    <t>028.162.801-79</t>
  </si>
  <si>
    <t>Hanner Gutierry de Oliveira Santos</t>
  </si>
  <si>
    <t>020.675.371.30</t>
  </si>
  <si>
    <t>Bruno de Souza Matos</t>
  </si>
  <si>
    <t>054.351.781-00</t>
  </si>
  <si>
    <t>Flavio Barros da Silva</t>
  </si>
  <si>
    <t>021.219.193-41</t>
  </si>
  <si>
    <t>AMILTON SANTOS SILVA</t>
  </si>
  <si>
    <t>700700821-62</t>
  </si>
  <si>
    <t>DANUBIO NUNES LISBOA</t>
  </si>
  <si>
    <t>082115424-98</t>
  </si>
  <si>
    <t>FABRICIO DA GAMA RODRIGUES</t>
  </si>
  <si>
    <t>705579641-56</t>
  </si>
  <si>
    <t>ISRAEL FRANCISCO RAMOS</t>
  </si>
  <si>
    <t>014635731-03</t>
  </si>
  <si>
    <t>LUCIANO MARTINS MORAIS</t>
  </si>
  <si>
    <t>005260591-41</t>
  </si>
  <si>
    <t>LUIZ GUILHERME MORAES SANCHES</t>
  </si>
  <si>
    <t>037023221-67</t>
  </si>
  <si>
    <t>RENISON RAYK RODRIGUES DE ALMEIDA</t>
  </si>
  <si>
    <t>708066251-63</t>
  </si>
  <si>
    <t>SILAS DE OLIVEIRA ALMEIDA</t>
  </si>
  <si>
    <t>889359061-15</t>
  </si>
  <si>
    <t>VALDEIR DE JESUS ARAUJO</t>
  </si>
  <si>
    <t>569339592-87</t>
  </si>
  <si>
    <t>MARCOS VINICIUS MORAIS ALVES</t>
  </si>
  <si>
    <t>050436951-29</t>
  </si>
  <si>
    <t>FERNANDO SOUSA DE CASTRO</t>
  </si>
  <si>
    <t>002094852-21</t>
  </si>
  <si>
    <t>JARSEL ALVES BORGES</t>
  </si>
  <si>
    <t>885085601-68</t>
  </si>
  <si>
    <t>LEONARDO ALVES DO CARMO</t>
  </si>
  <si>
    <t>703768011-74</t>
  </si>
  <si>
    <t>MARCOS VINICIUS FERREIRA QUIXABA</t>
  </si>
  <si>
    <t>038045321-52</t>
  </si>
  <si>
    <t>WANDERSON OLIVEIRA RIBEIRO</t>
  </si>
  <si>
    <t>001.458.211-29</t>
  </si>
  <si>
    <t>CARLOS FRANCISCO MENDONÇA</t>
  </si>
  <si>
    <t>590.676.591-34</t>
  </si>
  <si>
    <t>HASTON AUGUSTINHO MESQUITA FERREIRA</t>
  </si>
  <si>
    <t>705.220.451-70</t>
  </si>
  <si>
    <t>DEUSMAR ROSA MARQUES</t>
  </si>
  <si>
    <t>006.602.431-56</t>
  </si>
  <si>
    <t>VALNEIDE FERREIRA BRAGA</t>
  </si>
  <si>
    <t>695.266.991-49</t>
  </si>
  <si>
    <t>EMERSON ALVES PEREIRA</t>
  </si>
  <si>
    <t>034.152.161-28</t>
  </si>
  <si>
    <t>CRISTHYEN CORREIA DE FREITAS</t>
  </si>
  <si>
    <t>703.825.211-96</t>
  </si>
  <si>
    <t>JUAN FELIPE DE SOUSA FERNANDES</t>
  </si>
  <si>
    <t>717.464.321-36</t>
  </si>
  <si>
    <t>WEMERSON LUIZ RIBEIRO</t>
  </si>
  <si>
    <t>043.522.566-92</t>
  </si>
  <si>
    <t>ILDEU CAMARGO JUNIOR</t>
  </si>
  <si>
    <t>000.687.431-22</t>
  </si>
  <si>
    <t>WESLEY LUCAS ALVES PEREIRA</t>
  </si>
  <si>
    <t>035.700.681-02</t>
  </si>
  <si>
    <t>MICHAEL DOUGLAS SILVA RABELO</t>
  </si>
  <si>
    <t>048.816.681-02</t>
  </si>
  <si>
    <t>ONATAS ALMEIDA DOS SANTOS</t>
  </si>
  <si>
    <t>888.687.611-49</t>
  </si>
  <si>
    <t>LUCIANO DOS SANTOS RODRIGUES</t>
  </si>
  <si>
    <t>732.457.711-34</t>
  </si>
  <si>
    <t>DAVI WALACE RIBEIRO SILVA</t>
  </si>
  <si>
    <t>030546521-06</t>
  </si>
  <si>
    <t>LUCIANO DA SILVA MENDES</t>
  </si>
  <si>
    <t>ARQUITETO</t>
  </si>
  <si>
    <t>042.263.041-10</t>
  </si>
  <si>
    <t>GABRIEL VIEIRA GONÇALVES</t>
  </si>
  <si>
    <t>SOCIAL MEDIA</t>
  </si>
  <si>
    <t>021.327.211-30</t>
  </si>
  <si>
    <t>DAVI SUPRIANO DOS SANTOS AZEVEDO</t>
  </si>
  <si>
    <t>038280221-70</t>
  </si>
  <si>
    <t>JULIA CAMPOS VIEIRA</t>
  </si>
  <si>
    <t>DESIGNER</t>
  </si>
  <si>
    <t>092.878.851-25</t>
  </si>
  <si>
    <t>FABRICIA CALIXTO DE BASTOS</t>
  </si>
  <si>
    <t>PRODUTORA</t>
  </si>
  <si>
    <t>017.691.581-89</t>
  </si>
  <si>
    <t>Felipe Freire Reis</t>
  </si>
  <si>
    <t>027.943.471-52</t>
  </si>
  <si>
    <t>SERGIO PINTO DE QUEIROZ JUNIOR</t>
  </si>
  <si>
    <t>064.388.521-80</t>
  </si>
  <si>
    <t>KASSIO MIRANDA MESQUITA</t>
  </si>
  <si>
    <t>714084061-01</t>
  </si>
  <si>
    <t>JOÃO PAULO SILVA MELO</t>
  </si>
  <si>
    <t>020525313-00</t>
  </si>
  <si>
    <t>ARTHUR KENNEDY SILVA TEIXEIRA</t>
  </si>
  <si>
    <t>NÃO 23:14</t>
  </si>
  <si>
    <t>706663731-32</t>
  </si>
  <si>
    <t>Michael da silva souza maximo</t>
  </si>
  <si>
    <t>Diretor</t>
  </si>
  <si>
    <t>026777671-39</t>
  </si>
  <si>
    <t>Isaque de Oliveira mota</t>
  </si>
  <si>
    <t>Limpeza</t>
  </si>
  <si>
    <t>497.507.928-31</t>
  </si>
  <si>
    <t>Sidnei Pereira Alves</t>
  </si>
  <si>
    <t>Montagem</t>
  </si>
  <si>
    <t>945.895.261-15</t>
  </si>
  <si>
    <t>Eneilson de Ribamar Coêlho Morais</t>
  </si>
  <si>
    <t>607.805.933-59</t>
  </si>
  <si>
    <t>Jorge leandro dos Santos Pereira</t>
  </si>
  <si>
    <t>020.651.031-40</t>
  </si>
  <si>
    <t>Richard Eduardo Gomes dos Santos</t>
  </si>
  <si>
    <t>106.866.961-66</t>
  </si>
  <si>
    <t>Jalles Bispo de Jesus</t>
  </si>
  <si>
    <t>042.854.961-60</t>
  </si>
  <si>
    <t>Paulo Henrique Ribeiro</t>
  </si>
  <si>
    <t>042.182.501-46</t>
  </si>
  <si>
    <t>Fabrício Araujo da Silva</t>
  </si>
  <si>
    <t>702.150.241-92</t>
  </si>
  <si>
    <t>Kenerson da Silva Borges</t>
  </si>
  <si>
    <t>043.808.111-07</t>
  </si>
  <si>
    <t>Euripedes Rodrigues Araujo</t>
  </si>
  <si>
    <t>433.391.071-49</t>
  </si>
  <si>
    <t>Marcos Paulo Lima dos Santos</t>
  </si>
  <si>
    <t>612.937.103-93</t>
  </si>
  <si>
    <t>Solandy Pierre</t>
  </si>
  <si>
    <t>129.284.601-10</t>
  </si>
  <si>
    <t>Jose Resende de Carvalho</t>
  </si>
  <si>
    <t>268.151.171-20</t>
  </si>
  <si>
    <t xml:space="preserve">Henrique Neiva Crispim Favoretto </t>
  </si>
  <si>
    <t xml:space="preserve">Coordenador </t>
  </si>
  <si>
    <t>929.435.781-34</t>
  </si>
  <si>
    <t>Allyson Antônio Araújo Camargo Lopes</t>
  </si>
  <si>
    <t>713.311.251-54</t>
  </si>
  <si>
    <t>Keven Henrique de Paula Rodrigues</t>
  </si>
  <si>
    <t>058.257.561-32</t>
  </si>
  <si>
    <t>Ana Paula Honoraria de Paula</t>
  </si>
  <si>
    <t>Coordenadora</t>
  </si>
  <si>
    <t>026.527.271-84</t>
  </si>
  <si>
    <t>Gabriel Macedo Borges</t>
  </si>
  <si>
    <t>008.547.462-45</t>
  </si>
  <si>
    <t>Gessé Bezerra Alves</t>
  </si>
  <si>
    <t>Metalúrgica</t>
  </si>
  <si>
    <t>015.667.801-28</t>
  </si>
  <si>
    <t>Leonardo Castelo Borges</t>
  </si>
  <si>
    <t>cordenador</t>
  </si>
  <si>
    <t>008.141.964-38</t>
  </si>
  <si>
    <t xml:space="preserve">Pricila Marques César </t>
  </si>
  <si>
    <t xml:space="preserve">cordenador </t>
  </si>
  <si>
    <t>051.649.841-05</t>
  </si>
  <si>
    <t>Jefferson Porto Araújo</t>
  </si>
  <si>
    <t>300.962.601-06</t>
  </si>
  <si>
    <t>José Wilson de Jesus Dias</t>
  </si>
  <si>
    <t>857.478.661-68</t>
  </si>
  <si>
    <t>Barbara Diniz Barbosa Santos</t>
  </si>
  <si>
    <t>cordenadora</t>
  </si>
  <si>
    <t>704.188.421-08</t>
  </si>
  <si>
    <t>Igor de Paiva Moreira</t>
  </si>
  <si>
    <t>032.944.991-59</t>
  </si>
  <si>
    <t>Fábio Henrique Pagan Ribeiro</t>
  </si>
  <si>
    <t>016.456.111-08</t>
  </si>
  <si>
    <t>Marcilei Goncalves de Torres</t>
  </si>
  <si>
    <t xml:space="preserve">Soldador </t>
  </si>
  <si>
    <t>019.642.331-78</t>
  </si>
  <si>
    <t>Jose Flavio Vieira dos Santos</t>
  </si>
  <si>
    <t xml:space="preserve">soldador </t>
  </si>
  <si>
    <t>931.986.203-68</t>
  </si>
  <si>
    <t>Raimundo Jose de Lima Neto</t>
  </si>
  <si>
    <t>833.469.701-59</t>
  </si>
  <si>
    <t>Eduardo Alves dos Santos</t>
  </si>
  <si>
    <t>Jose de Ribamar Rodrigues dos Santos</t>
  </si>
  <si>
    <t>752.670.983-52</t>
  </si>
  <si>
    <t>Andre Jorge de Carvalho</t>
  </si>
  <si>
    <t>044.376.791-21</t>
  </si>
  <si>
    <t>Matheus de Oliveira</t>
  </si>
  <si>
    <t>montador</t>
  </si>
  <si>
    <t>112.070.211-99</t>
  </si>
  <si>
    <t>Matheus da Silva Franco</t>
  </si>
  <si>
    <t>055.820.171-78</t>
  </si>
  <si>
    <t>Joao Paulo da Silva Melo</t>
  </si>
  <si>
    <t>Serralheiro</t>
  </si>
  <si>
    <t>020.525.313-00</t>
  </si>
  <si>
    <t>Luiz Alberto Rodrigues dos Santos</t>
  </si>
  <si>
    <t>618.272.283-50</t>
  </si>
  <si>
    <t>Alysson Morais Pereira</t>
  </si>
  <si>
    <t>Auxiliar de Serralheiro</t>
  </si>
  <si>
    <t>708.032.331-24</t>
  </si>
  <si>
    <t>Wemberg Teixeira Costa</t>
  </si>
  <si>
    <t>Montaador</t>
  </si>
  <si>
    <t>714.861.911-42</t>
  </si>
  <si>
    <t>Kacio Miranda Mesquita</t>
  </si>
  <si>
    <t>714.084.061-01</t>
  </si>
  <si>
    <t>Fabio Henrique Teles da Silva</t>
  </si>
  <si>
    <t>791.349.711-49</t>
  </si>
  <si>
    <t>Robson Jose da SIlva</t>
  </si>
  <si>
    <t>000.193.046-09</t>
  </si>
  <si>
    <t xml:space="preserve">Jales de Souza </t>
  </si>
  <si>
    <t>589.576.771-00</t>
  </si>
  <si>
    <t>Vitor Hugo de Freitas Reis</t>
  </si>
  <si>
    <t>032.755.351-02</t>
  </si>
  <si>
    <t>Marilia de Jesus Honorato</t>
  </si>
  <si>
    <t>Brigadista</t>
  </si>
  <si>
    <t>027.683.981-10</t>
  </si>
  <si>
    <t>Nagilla Nubia Lima Lopes</t>
  </si>
  <si>
    <t>012.711.591-98</t>
  </si>
  <si>
    <t>Keven Maxlei Ribeiro da Silva Rezende</t>
  </si>
  <si>
    <t>706.125.561-74</t>
  </si>
  <si>
    <t>Paulo Victor de Oliveira Rodrigues</t>
  </si>
  <si>
    <t>011.197.811-40</t>
  </si>
  <si>
    <t>Mateus Ramos Beserra da Silva</t>
  </si>
  <si>
    <t>707.298.961-70</t>
  </si>
  <si>
    <t>Maria Izabel de Salles Pereira</t>
  </si>
  <si>
    <t>810.602.701-53</t>
  </si>
  <si>
    <t xml:space="preserve">PAULO SILAS FERNANDES DA SILVA </t>
  </si>
  <si>
    <t xml:space="preserve">MANOEL JUNIOR SILVA DOS SANTOS </t>
  </si>
  <si>
    <t xml:space="preserve">COORDENADOR DOS CARREGADORES </t>
  </si>
  <si>
    <t xml:space="preserve">KEVEN HENRIQUE DE PAULA RODRIGUES </t>
  </si>
  <si>
    <t xml:space="preserve">CARREGADOR </t>
  </si>
  <si>
    <t xml:space="preserve">MATHEUS GABRIEL RODRIGUES </t>
  </si>
  <si>
    <t xml:space="preserve">GUILHERME FARIA DOS SANTOS </t>
  </si>
  <si>
    <t xml:space="preserve">HATON AGUSTINHO MESQUITA FERREIRA </t>
  </si>
  <si>
    <t xml:space="preserve">DANILO ALVES FERREIRA CAETANO </t>
  </si>
  <si>
    <t>CENOGRAFIA</t>
  </si>
  <si>
    <t xml:space="preserve">LUCAS BATISTA </t>
  </si>
  <si>
    <t xml:space="preserve">FORRADOR </t>
  </si>
  <si>
    <t xml:space="preserve">MARCOS ,QUEOIROZ DA SILVA </t>
  </si>
  <si>
    <t>KAUAN EDUARDO FERREIRA DOS SANTOS</t>
  </si>
  <si>
    <t xml:space="preserve">VALTEMIR DE SOUSA COSTA </t>
  </si>
  <si>
    <t xml:space="preserve">LUIZ ALBERTO RODRIGUES DOS SANTOS </t>
  </si>
  <si>
    <t xml:space="preserve">LEANDRO DA SIVA SANTOS </t>
  </si>
  <si>
    <t xml:space="preserve">MURILO DE JESUS RODRIGUES </t>
  </si>
  <si>
    <t xml:space="preserve">ISAIAS SOARES SILVA </t>
  </si>
  <si>
    <t xml:space="preserve">MICHEL RODRIGUES SANTOS </t>
  </si>
  <si>
    <t xml:space="preserve">NAYSSON LUCAS MOURA DA SILVA </t>
  </si>
  <si>
    <t xml:space="preserve">COORDENADOR DOS AMBULANTES </t>
  </si>
  <si>
    <t xml:space="preserve">NILBENETES RIBEIRO BUENO </t>
  </si>
  <si>
    <t>NILCELI ANDREA MENDES PEREIRA ALVES</t>
  </si>
  <si>
    <t xml:space="preserve">COORDENADORA DE VENDAS </t>
  </si>
  <si>
    <t xml:space="preserve">KAYTA LORENA ASSUMPÇÃO GOUVEIA </t>
  </si>
  <si>
    <t xml:space="preserve">COORDENADORA DE EQUIPE </t>
  </si>
  <si>
    <t xml:space="preserve">CLEITON SILVA DE MORAIS </t>
  </si>
  <si>
    <t xml:space="preserve">LIRTUGIA </t>
  </si>
  <si>
    <t xml:space="preserve">REJANE FARIA PEREIRA </t>
  </si>
  <si>
    <t xml:space="preserve">FRANCISLAI FERNANDES CORREIA </t>
  </si>
  <si>
    <t xml:space="preserve">GERDISON RODOVALHO CARVALHO </t>
  </si>
  <si>
    <t xml:space="preserve">COORDENADOR DE EQUIPE </t>
  </si>
  <si>
    <t xml:space="preserve">GEOFRAN SOUSA DOS ANJOS </t>
  </si>
  <si>
    <t xml:space="preserve">HUGO VITOR LOPES DA SILVA </t>
  </si>
  <si>
    <t xml:space="preserve">JOÃO VITOR BARBOSA DE LIMA </t>
  </si>
  <si>
    <t xml:space="preserve">LEOANGEL DAVID MILLAN PINERO </t>
  </si>
  <si>
    <t xml:space="preserve">FERNANDO DA SILVA CARVALHO MARQUES </t>
  </si>
  <si>
    <t xml:space="preserve">FABIO HENRIQUE PAGAN RIBEIRO </t>
  </si>
  <si>
    <t xml:space="preserve">GABRIEL SANTOS DA SILVA </t>
  </si>
  <si>
    <t xml:space="preserve">GUSTAVO RIBEIRO DIAS </t>
  </si>
  <si>
    <t xml:space="preserve">RAMOM MARTINS MONTEIRO </t>
  </si>
  <si>
    <t xml:space="preserve">WESLEY GOMES DE LIMA </t>
  </si>
  <si>
    <t xml:space="preserve">ADAIR VIDAL COELHO </t>
  </si>
  <si>
    <t xml:space="preserve">Kayta Lorena Assumpção Gouvêa </t>
  </si>
  <si>
    <t xml:space="preserve">Coordenadora de equipe </t>
  </si>
  <si>
    <t xml:space="preserve">Ramon Martins Monteiro Pellozo </t>
  </si>
  <si>
    <t xml:space="preserve">Coordenador Acolhida </t>
  </si>
  <si>
    <t xml:space="preserve">741.127.911-00 </t>
  </si>
  <si>
    <t xml:space="preserve">Nilceli Andréa Mendes Pereira Alves </t>
  </si>
  <si>
    <t>Voluntária Coordenadora da liturgia e venda de rosas</t>
  </si>
  <si>
    <t xml:space="preserve">Gerdison rodovalho carneiro </t>
  </si>
  <si>
    <t xml:space="preserve">Coordenador de equipe apoiou </t>
  </si>
  <si>
    <t>Danilo Eduardo da Silva</t>
  </si>
  <si>
    <t>Fotógrafo</t>
  </si>
  <si>
    <t>02512380165</t>
  </si>
  <si>
    <t xml:space="preserve">Marcelo Martins Morais </t>
  </si>
  <si>
    <t xml:space="preserve">Assistente loja Assunção </t>
  </si>
  <si>
    <t xml:space="preserve">Lanna Hillary Celestino Souza Silva </t>
  </si>
  <si>
    <t xml:space="preserve">Organização </t>
  </si>
  <si>
    <t>Jessiany Gomes da Silva Lima</t>
  </si>
  <si>
    <t>Gerente</t>
  </si>
  <si>
    <t>04772276190</t>
  </si>
  <si>
    <t>Amanda Mesquita Rocha</t>
  </si>
  <si>
    <t>01788828283</t>
  </si>
  <si>
    <t xml:space="preserve">Vanessa Battisti </t>
  </si>
  <si>
    <t>Coordenador doações alimentos</t>
  </si>
  <si>
    <t>00068450109</t>
  </si>
  <si>
    <t xml:space="preserve">PRIVIEGE EVENTOS </t>
  </si>
  <si>
    <t xml:space="preserve">CARLOS EDUARDO DE SOUSA BRITO </t>
  </si>
  <si>
    <t xml:space="preserve">NEILLO ANDERSON SANTOS OLIVEIRA </t>
  </si>
  <si>
    <t xml:space="preserve">SAMUEL LOURENÇO DOS SANTOS </t>
  </si>
  <si>
    <t xml:space="preserve">EDELVAN VIANA DOS SANTOS </t>
  </si>
  <si>
    <t xml:space="preserve">KAUE FERNANDES BISPO </t>
  </si>
  <si>
    <t xml:space="preserve">CARLOS ALBERTO LUIZ DIAS </t>
  </si>
  <si>
    <t xml:space="preserve">vilmar ramalho da silva </t>
  </si>
  <si>
    <t>TALLYSON SILVA BARROS</t>
  </si>
  <si>
    <t xml:space="preserve">MONTADDOR </t>
  </si>
  <si>
    <t xml:space="preserve">CARLOS JOSE MELO NUNES           </t>
  </si>
  <si>
    <t>DIRETOR SOCIO</t>
  </si>
  <si>
    <t xml:space="preserve">449.498.711-53   </t>
  </si>
  <si>
    <t>CLAUDIO TULIO MELO NUNES</t>
  </si>
  <si>
    <t>412.728.891-49</t>
  </si>
  <si>
    <t xml:space="preserve">FRANCISCO ERVLON GOMES LIMA      </t>
  </si>
  <si>
    <t>PRODUTOR TECNICO</t>
  </si>
  <si>
    <t xml:space="preserve">764.509.883-04      </t>
  </si>
  <si>
    <t>HUGO LEONARDO SOARES HARDMAN</t>
  </si>
  <si>
    <t>700.368.611-20</t>
  </si>
  <si>
    <t xml:space="preserve">Dalton Wesley Silva      </t>
  </si>
  <si>
    <t>TECNICO EM SONORIZAÇÃO</t>
  </si>
  <si>
    <t>074.338.726-04</t>
  </si>
  <si>
    <t xml:space="preserve">Robinson Elécio Faria     </t>
  </si>
  <si>
    <t xml:space="preserve">564 862 271 68   </t>
  </si>
  <si>
    <t xml:space="preserve">Leonardo Sampaio Antônio de Bastos   </t>
  </si>
  <si>
    <t>006.548.651-08</t>
  </si>
  <si>
    <t xml:space="preserve">Diego Fernandes Lima Alves     </t>
  </si>
  <si>
    <t xml:space="preserve">033.824.911-76     </t>
  </si>
  <si>
    <t xml:space="preserve">WILTON SALOMAO DOS SANTOS </t>
  </si>
  <si>
    <t>564.862.271-68</t>
  </si>
  <si>
    <t xml:space="preserve">ELIAS FERREIRA DA PAZ SILVA       </t>
  </si>
  <si>
    <t>CONTRA-REGRA</t>
  </si>
  <si>
    <t xml:space="preserve">704.533.621-76        </t>
  </si>
  <si>
    <t>LEANDRO FERREIRA BRITO</t>
  </si>
  <si>
    <t>037.934.691-58</t>
  </si>
  <si>
    <t>EDUARDO NUNES AS</t>
  </si>
  <si>
    <t>002.511.251-14</t>
  </si>
  <si>
    <t>MARCI TAVARES AGUIAR</t>
  </si>
  <si>
    <t>060.634.141-26</t>
  </si>
  <si>
    <t>ROGERIO PIRES DA SILVA</t>
  </si>
  <si>
    <t>072.024.266-50</t>
  </si>
  <si>
    <t>JUNIOR RODRIGUES DE MENDONÇA</t>
  </si>
  <si>
    <t>diretor técnico</t>
  </si>
  <si>
    <t>873.071.461-34</t>
  </si>
  <si>
    <t>MATHEUS VINICIUS SOARES DE OLIVEIRA</t>
  </si>
  <si>
    <t>051.401.301-06</t>
  </si>
  <si>
    <t>HEVERTON LINS DA SILVA</t>
  </si>
  <si>
    <t>043.214.351-37</t>
  </si>
  <si>
    <t>NEWTON SIDNEI DE MATOS</t>
  </si>
  <si>
    <t>FRETE</t>
  </si>
  <si>
    <t>238.811.191-91</t>
  </si>
  <si>
    <t>FABIO CANA BRASIL CARNEIRO</t>
  </si>
  <si>
    <t>003.082.595-48</t>
  </si>
  <si>
    <t>GENIVALDO OLIVEIRA DAS NEVES</t>
  </si>
  <si>
    <t>723.140.011-68</t>
  </si>
  <si>
    <t>UMBERTO FRAGA</t>
  </si>
  <si>
    <t>027.039.679-93</t>
  </si>
  <si>
    <t xml:space="preserve">MARIA ISABEL DE SALES PEREIRA </t>
  </si>
  <si>
    <t xml:space="preserve">THIAGO SALES BARBOSA </t>
  </si>
  <si>
    <t xml:space="preserve">JORDANI ADAVI OLIVEIIRA </t>
  </si>
  <si>
    <t xml:space="preserve"> AUX PRODUÇÃO </t>
  </si>
  <si>
    <t xml:space="preserve">ANA LUIZA DAVI DE OLIVEIRA </t>
  </si>
  <si>
    <t>Diogo Lima Bertarini</t>
  </si>
  <si>
    <t>Superintendente</t>
  </si>
  <si>
    <t>059187266-83</t>
  </si>
  <si>
    <t>Eduardo Henrique Barbosa Rocha</t>
  </si>
  <si>
    <t>Coordenador de TI</t>
  </si>
  <si>
    <t xml:space="preserve">	851.658.591-34</t>
  </si>
  <si>
    <t>João Lucas Fernandes Martins</t>
  </si>
  <si>
    <t>Analista de Eventos</t>
  </si>
  <si>
    <t>064.492.421-75</t>
  </si>
  <si>
    <t>Luiz Renato Fiori</t>
  </si>
  <si>
    <t>Gerente de Segurança Empresarial</t>
  </si>
  <si>
    <t>091.483.528-96</t>
  </si>
  <si>
    <t>Paulo Sergio Cunha Rossi</t>
  </si>
  <si>
    <t>Diretor Geral</t>
  </si>
  <si>
    <t>367017345-53</t>
  </si>
  <si>
    <t>Thaís Rodrigues da Cruz</t>
  </si>
  <si>
    <t>Coordenadora de Eventos</t>
  </si>
  <si>
    <t xml:space="preserve">	008.329.421-03</t>
  </si>
  <si>
    <t>Tyago Rodrigues Da Silva Ribeiro</t>
  </si>
  <si>
    <t xml:space="preserve">Supervisor de Segurança </t>
  </si>
  <si>
    <t xml:space="preserve">	006.543.421-80</t>
  </si>
  <si>
    <t xml:space="preserve">Gullytt Diego Alves da Silva </t>
  </si>
  <si>
    <t xml:space="preserve">Ricardo Costa de Souza </t>
  </si>
  <si>
    <t>Elica Barbalho de Souza</t>
  </si>
  <si>
    <t>Nutricionista de Eventos</t>
  </si>
  <si>
    <t>Gilmar Rosa</t>
  </si>
  <si>
    <t>Técnico Elétrica</t>
  </si>
  <si>
    <t>893.342.649-34</t>
  </si>
  <si>
    <t>Jean Carlos de Lima Parreira</t>
  </si>
  <si>
    <t>Coordenador de Segurança do Trabalho e Meio Ambiente</t>
  </si>
  <si>
    <t>729.480.781-72</t>
  </si>
  <si>
    <t xml:space="preserve">jose roberrto </t>
  </si>
  <si>
    <t xml:space="preserve">POLIANA DOS SANTOS SILVA </t>
  </si>
  <si>
    <t xml:space="preserve">MARCOS VINICIUS MENDES RODRIGUES </t>
  </si>
  <si>
    <t xml:space="preserve">guilherme gomes ribeiro </t>
  </si>
  <si>
    <t>MICAEL GOMES NUNES</t>
  </si>
  <si>
    <t xml:space="preserve">LUCAS MELO DE OLIVEIRA </t>
  </si>
  <si>
    <t>ALEX XAVIER RABELO</t>
  </si>
  <si>
    <t xml:space="preserve">REGINALDO CAMPOS RABELO </t>
  </si>
  <si>
    <t xml:space="preserve">TEREZA CRISTINA FRANÇA DE ALMEIDA </t>
  </si>
  <si>
    <t xml:space="preserve">LIMPEZA </t>
  </si>
  <si>
    <t xml:space="preserve">ANA PAULA FRANÇA FARIAS </t>
  </si>
  <si>
    <t xml:space="preserve">LINDAMAR DIAS DE ALECRIM </t>
  </si>
  <si>
    <t xml:space="preserve">ITELVINA PAULA RAMOS </t>
  </si>
  <si>
    <t xml:space="preserve">CARLA CRISTINA ALVES BATISTA </t>
  </si>
  <si>
    <t xml:space="preserve">MATHEUS FELIPE DARLAN DE SOUSA </t>
  </si>
  <si>
    <t xml:space="preserve">LUIS FELIPE DE MORAIS SANTOS </t>
  </si>
  <si>
    <t xml:space="preserve">CLAUDIO JUNIO DA SILVA GOIS </t>
  </si>
  <si>
    <t xml:space="preserve">RUAN VICTOR PERREIRA DOIS SANTPOS </t>
  </si>
  <si>
    <t xml:space="preserve">JOVAIR FONSECA </t>
  </si>
  <si>
    <t xml:space="preserve">GERENTE CCOMERCIA </t>
  </si>
  <si>
    <t xml:space="preserve">DERIK HENRIQUE RODRIGUES SOARES </t>
  </si>
  <si>
    <t xml:space="preserve">COORDENADOR </t>
  </si>
  <si>
    <t xml:space="preserve">EVALDO FERREIRA DIAS </t>
  </si>
  <si>
    <t xml:space="preserve">HUGO ROGERIO ABREU RODRIGUES </t>
  </si>
  <si>
    <t xml:space="preserve">GERMANO DIEGO MAXIMIANO </t>
  </si>
  <si>
    <t xml:space="preserve">TECNICO DE INTERNET </t>
  </si>
  <si>
    <t xml:space="preserve">GEOVANA CRISTINA DE OLIVEIRA </t>
  </si>
  <si>
    <t xml:space="preserve">SUPERVISOR ADE MARKETING </t>
  </si>
  <si>
    <t xml:space="preserve">ESTER CRISTINE MIRANDA ROSA DA SILVA </t>
  </si>
  <si>
    <t xml:space="preserve">ASSISTENTE DE MARKETING </t>
  </si>
  <si>
    <t xml:space="preserve">GUILHERME MARQUES CAVALCANTE </t>
  </si>
  <si>
    <t xml:space="preserve">AUXILIAR DE TECNICO </t>
  </si>
  <si>
    <t xml:space="preserve">JORGE DE SOUSA LEITE NETO </t>
  </si>
  <si>
    <t xml:space="preserve">AUXILIA DE TECNICO </t>
  </si>
  <si>
    <t xml:space="preserve">CARLOS HENRIQUE DE JESUS DIAS </t>
  </si>
  <si>
    <t xml:space="preserve">MONTADOR DE BAR </t>
  </si>
  <si>
    <t xml:space="preserve">GABRIEL FERNANDES DA SILVA </t>
  </si>
  <si>
    <t xml:space="preserve">JOÃO VITOR CLEMENTE DA SILVA </t>
  </si>
  <si>
    <t xml:space="preserve">NATANIEL DOS SANTOS MORAIS </t>
  </si>
  <si>
    <t xml:space="preserve">VINICIUS SANTOS LOPES </t>
  </si>
  <si>
    <t xml:space="preserve">MAXWELL WENDER AMORIM DE CASTRO </t>
  </si>
  <si>
    <t xml:space="preserve">WOSHINGTON LUIZ DOS REIS </t>
  </si>
  <si>
    <t xml:space="preserve">LUZIMAR OLIVEIRA DA SILVA </t>
  </si>
  <si>
    <t xml:space="preserve">RAIMUNDO NONATO COSTA REIS </t>
  </si>
  <si>
    <t>DANIEL FELIPE GUILHERME COUTINHO ARAGAO</t>
  </si>
  <si>
    <t xml:space="preserve">LIIZ DECIO PINHEIRO DA SILVA </t>
  </si>
  <si>
    <t xml:space="preserve">VALTEIR SOARES DOS SANTOS </t>
  </si>
  <si>
    <t xml:space="preserve">LONAS </t>
  </si>
  <si>
    <t xml:space="preserve">DIEGO MARINHO DA SILVA </t>
  </si>
  <si>
    <t xml:space="preserve">ELETRICISTA </t>
  </si>
  <si>
    <t xml:space="preserve">KEZIA FELIX DE JESUS </t>
  </si>
  <si>
    <t xml:space="preserve">COORDENADORA </t>
  </si>
  <si>
    <t xml:space="preserve">TRISTÃO DE PAULA VIDIGAL JUNIOR </t>
  </si>
  <si>
    <t xml:space="preserve">OPERADOR DE MAQUINA </t>
  </si>
  <si>
    <t xml:space="preserve">GERSON  AUGUSTO CASTRO DE SA </t>
  </si>
  <si>
    <t xml:space="preserve">ELIAS ARMONDES DE MATOS </t>
  </si>
  <si>
    <t>SERVIÇOS GERAIS</t>
  </si>
  <si>
    <t xml:space="preserve">JESSICA RACKEL ALVES DE FREITAS </t>
  </si>
  <si>
    <t xml:space="preserve">ADMINSTRATIVO </t>
  </si>
  <si>
    <t xml:space="preserve">KEYTIELLE AMANCIO DOS SANTOS </t>
  </si>
  <si>
    <t xml:space="preserve">ENFERMEIRA </t>
  </si>
  <si>
    <t xml:space="preserve">EDUARDO DE FARIA SOARES </t>
  </si>
  <si>
    <t xml:space="preserve">LUCAS DANIEL GONÇALVES MUNIZ DE SOUZA </t>
  </si>
  <si>
    <t xml:space="preserve">KAIK ALVES DE OLIVEIRA </t>
  </si>
  <si>
    <t xml:space="preserve">JADIELSON ENEDINO DE LIMA SILVA </t>
  </si>
  <si>
    <t xml:space="preserve">FLAVIO DA COSTA MARQUES JUNIOR </t>
  </si>
  <si>
    <t xml:space="preserve">VITOR HUGO DE FREIRE REIS </t>
  </si>
  <si>
    <t xml:space="preserve">ELIANDRO DA CONCEIÇÃO BRAZ </t>
  </si>
  <si>
    <t xml:space="preserve">LAIANA DE LIMA DUARTE </t>
  </si>
  <si>
    <t xml:space="preserve">PROPIETÁRIA </t>
  </si>
  <si>
    <t>KEVEM RODRIGUES DE LIMA</t>
  </si>
  <si>
    <t xml:space="preserve">ISRAEL MENDES ROLIM FERREIRA </t>
  </si>
  <si>
    <t>AMANDA LIMA DOS SANTOS</t>
  </si>
  <si>
    <t>COORDENADORA</t>
  </si>
  <si>
    <t>ANDERSON FERREIRA REIS</t>
  </si>
  <si>
    <t xml:space="preserve">MONTAGEM </t>
  </si>
  <si>
    <t xml:space="preserve">PAULO HENRIQUE BORGES </t>
  </si>
  <si>
    <t>WELLINGTON MOREIRA DA CRUZ</t>
  </si>
  <si>
    <t xml:space="preserve">JOAO VICTOR ALENCAR DE PANHA </t>
  </si>
  <si>
    <t>ANTONIO PAULO DE SOUZA</t>
  </si>
  <si>
    <t>COORDENADOR</t>
  </si>
  <si>
    <t xml:space="preserve">JAKSON NASCIMENTO DA SILVA FERREIRA </t>
  </si>
  <si>
    <t>ESTEVAO PEREIRA LOPES</t>
  </si>
  <si>
    <t xml:space="preserve">JEAN CLEITON QUINTINO </t>
  </si>
  <si>
    <t>ADRIEL PHELLIPE SILVA ROCHA</t>
  </si>
  <si>
    <t xml:space="preserve">LESLEY FREIRE OLIVEIRA </t>
  </si>
  <si>
    <t xml:space="preserve">OPERADOR DE GERADOR </t>
  </si>
  <si>
    <t>ITALO DE PAULA LIMA</t>
  </si>
  <si>
    <t xml:space="preserve">CLAUDIO TÚLIO MELO NUNES </t>
  </si>
  <si>
    <t xml:space="preserve">JOHN LINNEKER BATISTA KRAUSE </t>
  </si>
  <si>
    <t>GELIEL ALEXANDRE SILVA ARAUJO</t>
  </si>
  <si>
    <t xml:space="preserve">Sanna Bastos Secarechio Ribeiro </t>
  </si>
  <si>
    <t xml:space="preserve">VOLUNTARIA </t>
  </si>
  <si>
    <t xml:space="preserve">218.639.028-05 </t>
  </si>
  <si>
    <t>THIAGO DE SOUZA RODRIGUES</t>
  </si>
  <si>
    <t>Lucas Vitalino da Silva</t>
  </si>
  <si>
    <t>Designer Gráfico</t>
  </si>
  <si>
    <t>Aryane Nayara Rodrigues Oliveira</t>
  </si>
  <si>
    <t>Acolhimento de autoridades</t>
  </si>
  <si>
    <t>022.343.711-55</t>
  </si>
  <si>
    <t xml:space="preserve">Julia Beatriz Mendes de Assunção </t>
  </si>
  <si>
    <t xml:space="preserve">Social Media </t>
  </si>
  <si>
    <t>Alex Aguiar Gonino</t>
  </si>
  <si>
    <t>Comunicação Assunção</t>
  </si>
  <si>
    <t>01110765100</t>
  </si>
  <si>
    <t xml:space="preserve">Luiz Henrique camargo garcia dos santos </t>
  </si>
  <si>
    <t xml:space="preserve">Transmissão </t>
  </si>
  <si>
    <t xml:space="preserve">065.309.101-07 </t>
  </si>
  <si>
    <t>Eduardo Vinícius de Souza Carvalho</t>
  </si>
  <si>
    <t>Videomaker</t>
  </si>
  <si>
    <t>Armando Ribeiro Cardoso Rosa de Moraes Filho</t>
  </si>
  <si>
    <t>Marketing</t>
  </si>
  <si>
    <t>Guilherme Figueiredo Gomes</t>
  </si>
  <si>
    <t>03938436107</t>
  </si>
  <si>
    <t>Enzo Cavadas</t>
  </si>
  <si>
    <t xml:space="preserve">VideoMaker </t>
  </si>
  <si>
    <t xml:space="preserve">Gabriella Alves Fernandes de Paula </t>
  </si>
  <si>
    <t>João Gabriel Silva de Souza</t>
  </si>
  <si>
    <t>Social Media</t>
  </si>
  <si>
    <t xml:space="preserve">Augusto César Aguiar </t>
  </si>
  <si>
    <t>Servo Pastoral da Consagração, montagem da capela</t>
  </si>
  <si>
    <t xml:space="preserve">Lucimar Antunes Viana </t>
  </si>
  <si>
    <t xml:space="preserve">Coordenação da  capela </t>
  </si>
  <si>
    <t>508.519.771- 20</t>
  </si>
  <si>
    <t>Girlaine Cardoso</t>
  </si>
  <si>
    <t xml:space="preserve">Capela e ministro da Eucaristia </t>
  </si>
  <si>
    <t xml:space="preserve">Jazhel Kaynã Gomes da Silva Lima </t>
  </si>
  <si>
    <t xml:space="preserve">Transportador </t>
  </si>
  <si>
    <t>09390831598</t>
  </si>
  <si>
    <t>Transportador</t>
  </si>
  <si>
    <t xml:space="preserve">Intercessão </t>
  </si>
  <si>
    <t xml:space="preserve">Cláudia Honória dos Santos </t>
  </si>
  <si>
    <t>Volintaria</t>
  </si>
  <si>
    <t>333.336.452-49</t>
  </si>
  <si>
    <t>ARMANDO RIBEIRO CARDOSO ROSA DE MORAES</t>
  </si>
  <si>
    <t xml:space="preserve">MARKETING </t>
  </si>
  <si>
    <t xml:space="preserve">GIOVANA ALVES BARROSO </t>
  </si>
  <si>
    <t>ENZO MIGUEL DE SOUZA CAVADAS</t>
  </si>
  <si>
    <t>VIDEO MAKER</t>
  </si>
  <si>
    <t xml:space="preserve">LUIZ HENEIQUE CAMARGO GARCIA </t>
  </si>
  <si>
    <t>JOAO GABRIEL SILVA DE SOUZA</t>
  </si>
  <si>
    <t>SOCIAL MIDEA</t>
  </si>
  <si>
    <t>RAFAEL BATISTA DOS SANTOS</t>
  </si>
  <si>
    <t>MARKETING</t>
  </si>
  <si>
    <t xml:space="preserve">MATHEUS HENRIQUE FERREIRA RODRIGUES </t>
  </si>
  <si>
    <t>JHONATAN ALVES DA SILVA</t>
  </si>
  <si>
    <t>MONTAGEM</t>
  </si>
  <si>
    <t>LUIZ GUILHERM RIBEIRO DE OLIVEIRA</t>
  </si>
  <si>
    <t xml:space="preserve">DINEY </t>
  </si>
  <si>
    <t xml:space="preserve">REGINALDO JOSE DE CARVALHO </t>
  </si>
  <si>
    <t xml:space="preserve">ADILSON DOS SANTOS GOMES </t>
  </si>
  <si>
    <t xml:space="preserve">ELTON SANTOS DA SILVA </t>
  </si>
  <si>
    <t xml:space="preserve">CARLOS JOSE MELO NUNES </t>
  </si>
  <si>
    <t>Michelson Tinoco dos Santos</t>
  </si>
  <si>
    <t>004.831.561-32</t>
  </si>
  <si>
    <t>Antônio Eurípedes de Carvalho Filho</t>
  </si>
  <si>
    <t>586.322.631-53</t>
  </si>
  <si>
    <t>Adriano Cardoso Teixeira</t>
  </si>
  <si>
    <t>009.441.401-73</t>
  </si>
  <si>
    <t>Welber Soares da Silva</t>
  </si>
  <si>
    <t>002.695.841-45</t>
  </si>
  <si>
    <t>Tacílio Leonardo Ferreira de Oliveira</t>
  </si>
  <si>
    <t>805.391.736-49</t>
  </si>
  <si>
    <t>Ernandes da Fonseca Gomes</t>
  </si>
  <si>
    <t>381.945.891-34</t>
  </si>
  <si>
    <t>Enilda Martins Gomes</t>
  </si>
  <si>
    <t>508.611.231-15</t>
  </si>
  <si>
    <t>Welington Soares da Silva</t>
  </si>
  <si>
    <t>864.133.921-34</t>
  </si>
  <si>
    <t>Gilvê Esteves Cardoso</t>
  </si>
  <si>
    <t>585.701.791-20</t>
  </si>
  <si>
    <t>Danilo Vargas Gomes</t>
  </si>
  <si>
    <t>718.540.101-15</t>
  </si>
  <si>
    <t>Marcos Antônio da Silva</t>
  </si>
  <si>
    <t>723.680.041-49</t>
  </si>
  <si>
    <t>Rui Pereira da Silva Junior</t>
  </si>
  <si>
    <t>844.444.601-72</t>
  </si>
  <si>
    <t>Agmon dos Reis Freitas do Nascimento</t>
  </si>
  <si>
    <t>463.707.651-04</t>
  </si>
  <si>
    <t>Paulo Henrique Moura</t>
  </si>
  <si>
    <t>734.275.431-53</t>
  </si>
  <si>
    <t>Romulo Pereira de Oliveira</t>
  </si>
  <si>
    <t>010.608.711-81</t>
  </si>
  <si>
    <t>Gessyca Magalhães Melo Oliveira</t>
  </si>
  <si>
    <t>750.224.271-68</t>
  </si>
  <si>
    <t>KARTHER de Oliveira Santos</t>
  </si>
  <si>
    <t>913.505.731-91</t>
  </si>
  <si>
    <t>Camilla Baz Silva</t>
  </si>
  <si>
    <t>017.360.101-40</t>
  </si>
  <si>
    <t>Valéria Maria de Souza Cavadas</t>
  </si>
  <si>
    <t>812.117.081-87</t>
  </si>
  <si>
    <t>Orisvaldo Maldonado Bianconcini</t>
  </si>
  <si>
    <t>624.348.709-10</t>
  </si>
  <si>
    <t>Rosângela Peixoto Neris Bianconcini</t>
  </si>
  <si>
    <t>723.708.589-15</t>
  </si>
  <si>
    <t>Geraldo Adriano Vannuci Lemos</t>
  </si>
  <si>
    <t>786.794.191-68</t>
  </si>
  <si>
    <t xml:space="preserve">RAFAEL GALVÃO DE FIGUEREDO </t>
  </si>
  <si>
    <t xml:space="preserve">VINICIUS DOS SANTOS BEZERRA </t>
  </si>
  <si>
    <t xml:space="preserve">welson silva gomes rosa </t>
  </si>
  <si>
    <t xml:space="preserve">JONAS BATISTA BORGES </t>
  </si>
  <si>
    <t xml:space="preserve">ALINE DE SOUSA GOMES </t>
  </si>
  <si>
    <t xml:space="preserve">ENFEMEIRA </t>
  </si>
  <si>
    <t xml:space="preserve">MATHEUS JESUS DE SOUZA </t>
  </si>
  <si>
    <t xml:space="preserve">RIVO GOMES DE ALENCAR BORGES PINTO </t>
  </si>
  <si>
    <t xml:space="preserve">dilma jannes franca de almeida </t>
  </si>
  <si>
    <t xml:space="preserve">limpeza </t>
  </si>
  <si>
    <t xml:space="preserve">LUCAS ALVES CARDOSO </t>
  </si>
  <si>
    <t xml:space="preserve">danniel souza carvalho </t>
  </si>
  <si>
    <t xml:space="preserve">ILTON DONIZETTE DE ANDRADE JUNIOR </t>
  </si>
  <si>
    <t>ADRIELE BARBOSA DA CUNHA</t>
  </si>
  <si>
    <t>BARMANS (WELDER)</t>
  </si>
  <si>
    <t>705.204.861-29</t>
  </si>
  <si>
    <t>ALINE OLIVEIRA TRINDADE</t>
  </si>
  <si>
    <t>086.295.255-76</t>
  </si>
  <si>
    <t>ANA ELOISA NASCIMENTO</t>
  </si>
  <si>
    <t>713.078.111-40</t>
  </si>
  <si>
    <t>ANA ELYZA RIBEIRO SANTOS</t>
  </si>
  <si>
    <t>701.189.101-32</t>
  </si>
  <si>
    <t>ANA PAULA DE OLIVEIRA SANTOS</t>
  </si>
  <si>
    <t>707.380.591-96</t>
  </si>
  <si>
    <t>ANDRÉ LUIZ ALVES ALCANTARA</t>
  </si>
  <si>
    <t>072.122.351-64</t>
  </si>
  <si>
    <t>COORDENADOR BARMANS (WELDER)</t>
  </si>
  <si>
    <t>ANSELMO DE SOUSA DUARTE</t>
  </si>
  <si>
    <t>007.000.511-71</t>
  </si>
  <si>
    <t>ANTONIO CLESIO DUTRA SILVA</t>
  </si>
  <si>
    <t>GERENTE DE BAR</t>
  </si>
  <si>
    <t>026.500.411-02</t>
  </si>
  <si>
    <t>ATAIR LAGARES SILVA NETO</t>
  </si>
  <si>
    <t>036.021.551-37</t>
  </si>
  <si>
    <t>BEATRIZ RITCHELLE AGUIAR DE CASTRO</t>
  </si>
  <si>
    <t>047.694.581-00</t>
  </si>
  <si>
    <t xml:space="preserve">BRYAN RICHARD SANTANA BORGES </t>
  </si>
  <si>
    <t>MONTAGEM E DESMONTAGEM DE BAR (STAFF)</t>
  </si>
  <si>
    <t>037.687.471-66</t>
  </si>
  <si>
    <t xml:space="preserve">CAIO SANTOS GOMES CORREIA </t>
  </si>
  <si>
    <t>048.262.371-38</t>
  </si>
  <si>
    <t>CARLA SHIRLEY PARREIRA MARÇAL</t>
  </si>
  <si>
    <t>076.627.831-03</t>
  </si>
  <si>
    <t>CARLOS ANDERSON DA SILVA CARVALHO</t>
  </si>
  <si>
    <t>105.663.121-07</t>
  </si>
  <si>
    <t>CARLOS HENRIQUE DE JESUS DIAS</t>
  </si>
  <si>
    <t>702.420.991-73</t>
  </si>
  <si>
    <t>CIRLENE JOAQUINA DE AGUIAR DOS SANTOS</t>
  </si>
  <si>
    <t>005.027.831-25</t>
  </si>
  <si>
    <t xml:space="preserve">CLEILTON DUTRA SILVA </t>
  </si>
  <si>
    <t>710.828.521-55</t>
  </si>
  <si>
    <t>DARLAN PATRÍCIO SOARES MACHADO PATRICIO</t>
  </si>
  <si>
    <t>040.162.472-25</t>
  </si>
  <si>
    <t>DARLY MAYANE DA COSTA</t>
  </si>
  <si>
    <t>741.294.901-25</t>
  </si>
  <si>
    <t>DEYSE ELIAS DE OLIVEIRA</t>
  </si>
  <si>
    <t>710.417.851-19</t>
  </si>
  <si>
    <t xml:space="preserve">DIEGO DE LIMA RODRIGUES </t>
  </si>
  <si>
    <t>049.250.351-69</t>
  </si>
  <si>
    <t>EDILSON LIMA DOS SANTOS FILHO</t>
  </si>
  <si>
    <t>LANÇAR</t>
  </si>
  <si>
    <t>714.510.711-24</t>
  </si>
  <si>
    <t xml:space="preserve">EDUARDO ALVES DOS SANTOS PEREIRA </t>
  </si>
  <si>
    <t>706.358.551-78</t>
  </si>
  <si>
    <t>ENTHONNY GABRYEL ALVES LEÃO</t>
  </si>
  <si>
    <t>715.985.301-60</t>
  </si>
  <si>
    <t>EVA OLIVEIRA DOS SANTOS</t>
  </si>
  <si>
    <t>054.699.575-60</t>
  </si>
  <si>
    <t>FABIO HENRIQUE TELES DA SILVA</t>
  </si>
  <si>
    <t>FRANCYLUCI SANTOS OLIVEIRA</t>
  </si>
  <si>
    <t>706.058.451-07</t>
  </si>
  <si>
    <t>GABRIEL SOUZA DE ALMEIDA</t>
  </si>
  <si>
    <t>757.035.561-04</t>
  </si>
  <si>
    <t>GABRIELLY MARIA SILVA BARROSO</t>
  </si>
  <si>
    <t>710.275.741-73</t>
  </si>
  <si>
    <t>GERVESSON ALVES RODRIGUES</t>
  </si>
  <si>
    <t>074.535.481-52</t>
  </si>
  <si>
    <t>GÉSSICA RAYLANE DE OLIVEIRA MOZER</t>
  </si>
  <si>
    <t>028.948.751-00</t>
  </si>
  <si>
    <t>GIVANILDA DA CONCEIÇÃO BIZERRA</t>
  </si>
  <si>
    <t>194.473.828-27</t>
  </si>
  <si>
    <t>ISAELTON FREIRE DE LIMA</t>
  </si>
  <si>
    <t>COORDENADOR MONTAGEM E DESMONTAGEM DE BAR</t>
  </si>
  <si>
    <t>704.835.251-54</t>
  </si>
  <si>
    <t>IZABELA PEREIRA DA SILVA</t>
  </si>
  <si>
    <t>707.572.051-19</t>
  </si>
  <si>
    <t>IZIS LAYANNE SOUZA DOS SANTOS</t>
  </si>
  <si>
    <t>702.781.191-07</t>
  </si>
  <si>
    <t>JACKELYNI FELIX DE MIRANDA</t>
  </si>
  <si>
    <t>033.953.302-14</t>
  </si>
  <si>
    <t>JAMILY DOS SANTOS LOPES</t>
  </si>
  <si>
    <t>715.476.781-27</t>
  </si>
  <si>
    <t>JAQUELINE SILVA SOUZA</t>
  </si>
  <si>
    <t>008.678.461-78</t>
  </si>
  <si>
    <t xml:space="preserve">JOHNATHAN DIAS PÃES SILVA </t>
  </si>
  <si>
    <t>032.905.661-10</t>
  </si>
  <si>
    <t>JOICIENY CORDEIRO DE ALCANTARA</t>
  </si>
  <si>
    <t>039.258.181-70</t>
  </si>
  <si>
    <t>JORDANA GABRIELA SILVA FIAIA</t>
  </si>
  <si>
    <t>702.293.231-03</t>
  </si>
  <si>
    <t>JUAN RABÊLO MOREIRA</t>
  </si>
  <si>
    <t>042.834.031-80</t>
  </si>
  <si>
    <t>JULIA BEATRIZ SILVA DIAS</t>
  </si>
  <si>
    <t>715.532.551-19</t>
  </si>
  <si>
    <t>KARLA CRISTINA RODRIGUES</t>
  </si>
  <si>
    <t>701.346.361-20</t>
  </si>
  <si>
    <t>KAUANNE LANDOWSKI CHAVES DE SOUZA</t>
  </si>
  <si>
    <t>919.428.532-20</t>
  </si>
  <si>
    <t>KAWA KENNED GUEDES SOUZA</t>
  </si>
  <si>
    <t>708.790.671-28</t>
  </si>
  <si>
    <t>KÉLLITHA GRAZIELLE ANDRADE</t>
  </si>
  <si>
    <t>022.378.501-60</t>
  </si>
  <si>
    <t>KLEVERSON PATRICK GUIMARÃES PEDROSA</t>
  </si>
  <si>
    <t>704.419.291-25</t>
  </si>
  <si>
    <t>LAIS TEIXEIRA DOS SANTOS</t>
  </si>
  <si>
    <t>063.407.351-69</t>
  </si>
  <si>
    <t>LEANDRO LOPES RODRIGUES</t>
  </si>
  <si>
    <t>703.227.061-14</t>
  </si>
  <si>
    <t>LEANDRO PAES NOQUEIRA</t>
  </si>
  <si>
    <t>025.886.991-70</t>
  </si>
  <si>
    <t>LEILDA MASCENA VIEIRA SANTANA</t>
  </si>
  <si>
    <t>742.625.131-49</t>
  </si>
  <si>
    <t>LUANA SILVA MARTINS</t>
  </si>
  <si>
    <t>701.835.601-67</t>
  </si>
  <si>
    <t>LUDMILLA BARROS DOS SANTOS</t>
  </si>
  <si>
    <t>093.442.981-22</t>
  </si>
  <si>
    <t>LUÍS PHELIPE DE MORAES SANTOS</t>
  </si>
  <si>
    <t>042.640.151-46</t>
  </si>
  <si>
    <t>MARIA VYCTORIA TELIS PEREIRA</t>
  </si>
  <si>
    <t>702.880.951-03</t>
  </si>
  <si>
    <t>MARIANA PAIVA DOS SANTOS</t>
  </si>
  <si>
    <t>718.811.031-02</t>
  </si>
  <si>
    <t>MOISÉS DA SILVA SANTOS</t>
  </si>
  <si>
    <t>051.020.563-10</t>
  </si>
  <si>
    <t>NAIANE MARIM DE SANTANA</t>
  </si>
  <si>
    <t>039.466.461-23</t>
  </si>
  <si>
    <t>NARA NUBIA OLIVEIRA DA SILVA</t>
  </si>
  <si>
    <t>063.255.182-84</t>
  </si>
  <si>
    <t>PEDRO AFONSO CORREA VIANA</t>
  </si>
  <si>
    <t>707.281.471-06</t>
  </si>
  <si>
    <t>RAFAEL GOMES DE QUEIROZ SILVA</t>
  </si>
  <si>
    <t>714.848.301-80</t>
  </si>
  <si>
    <t>RAIANE CRISTINA DE SOUSA PANTOJA</t>
  </si>
  <si>
    <t>048.369.331-61</t>
  </si>
  <si>
    <t>RICARDO AUGUSTO SILVA FARIA</t>
  </si>
  <si>
    <t>750.121.201-59</t>
  </si>
  <si>
    <t>RITA MIRANDA</t>
  </si>
  <si>
    <t>705.195.981-64</t>
  </si>
  <si>
    <t>RYAN FERREIRA SILVA</t>
  </si>
  <si>
    <t>107.621.861-00</t>
  </si>
  <si>
    <t>STEPHANI SOUZA DOS SANTOS</t>
  </si>
  <si>
    <t>703.112.911-71</t>
  </si>
  <si>
    <t>TALITA SOARES DE SIQUEIRA</t>
  </si>
  <si>
    <t>709.173.541-25</t>
  </si>
  <si>
    <t>TCHARLES NASCIMENTO DE SOUSA</t>
  </si>
  <si>
    <t>073.011.491-07</t>
  </si>
  <si>
    <t>THAYSSA SILVA DE SOUSA</t>
  </si>
  <si>
    <t>078.506.841-41</t>
  </si>
  <si>
    <t>THIAGO VENÂNCIO MACIEL</t>
  </si>
  <si>
    <t>714.284.571-60</t>
  </si>
  <si>
    <t>VANESSA NASCIMENTO</t>
  </si>
  <si>
    <t>015.693.141-95</t>
  </si>
  <si>
    <t>VICTOR AUGUSTO COSTA SANTOS</t>
  </si>
  <si>
    <t>123.788.466-73</t>
  </si>
  <si>
    <t>VICTOR HUGO BARBOSA</t>
  </si>
  <si>
    <t>052.543.051-26</t>
  </si>
  <si>
    <t>VICTOR HUGO BRANDÃO</t>
  </si>
  <si>
    <t>707.380.641-90</t>
  </si>
  <si>
    <t>WELDER DO NASCIMENTO LEÃO</t>
  </si>
  <si>
    <t>005.080.001-90</t>
  </si>
  <si>
    <t xml:space="preserve">WESLEY PEREIRA DE MATOS </t>
  </si>
  <si>
    <t>081.642.391-19</t>
  </si>
  <si>
    <t>YARDLEY JOSÉ SOARES MENDES</t>
  </si>
  <si>
    <t>069.734.412-62</t>
  </si>
  <si>
    <t>YSABELLA VITÓRIA DA SILVA GABRIEL</t>
  </si>
  <si>
    <t>104.112.381-75</t>
  </si>
  <si>
    <t xml:space="preserve">RAFAEL FERNANDES SOBRINHO JUNIOR </t>
  </si>
  <si>
    <t>COORDENADOR DE OPERAÇÕES</t>
  </si>
  <si>
    <t>705.648.421-25</t>
  </si>
  <si>
    <t>CARLOS HENRIQUE DE PAULA SANTOS</t>
  </si>
  <si>
    <t>OPERADOR DE GRUPO GERADOR</t>
  </si>
  <si>
    <t>074.559.911-77</t>
  </si>
  <si>
    <t>FELIPE COSTA PEREIRA</t>
  </si>
  <si>
    <t>AUXILIAR DE OPERADOR</t>
  </si>
  <si>
    <t>615.537.123-74</t>
  </si>
  <si>
    <t>052.435.591-64</t>
  </si>
  <si>
    <t>JOSÉ ALBERT DOS SANTOS SILVA</t>
  </si>
  <si>
    <t>TÉCNICO DE MANUTENÇÃO</t>
  </si>
  <si>
    <t>710.358.121-50</t>
  </si>
  <si>
    <t>LESLEY FREIRE OLIVEIRA</t>
  </si>
  <si>
    <t>009.644.031-70</t>
  </si>
  <si>
    <t>MARCOS PAULO VIEIRA MATOS</t>
  </si>
  <si>
    <t>MOTORISTA OPERADOR DE MUNCK</t>
  </si>
  <si>
    <t>735.012.803-78</t>
  </si>
  <si>
    <t>PAULO CÉSAR ALVES DA COSTA</t>
  </si>
  <si>
    <t>218.996.571-34</t>
  </si>
  <si>
    <t>PAULO HENRIQUE BORGES</t>
  </si>
  <si>
    <t>440.756.931-04</t>
  </si>
  <si>
    <t>VALDINEI ALVES DA ROCHA</t>
  </si>
  <si>
    <t>DIRETOR</t>
  </si>
  <si>
    <t>856.792.591-68</t>
  </si>
  <si>
    <t>WADSON SAMUEL DE MORAIS</t>
  </si>
  <si>
    <t xml:space="preserve">LANÇAR </t>
  </si>
  <si>
    <t>711.018.061-17</t>
  </si>
  <si>
    <t>LUIS EDERMIS NAVARRO MATOS</t>
  </si>
  <si>
    <t>110.910.982-20</t>
  </si>
  <si>
    <t>YORDAN FONSECA MARTÍNEZ</t>
  </si>
  <si>
    <t>120.241.182-75</t>
  </si>
  <si>
    <t xml:space="preserve">YORDANY HERNANDEZ CASTILLO </t>
  </si>
  <si>
    <t>114.375.842-09</t>
  </si>
  <si>
    <t>ARIANNY HOLANDA ALVES DE SÁ</t>
  </si>
  <si>
    <t>GERENTE</t>
  </si>
  <si>
    <t>001.903.211-05</t>
  </si>
  <si>
    <t>WESLEY GABRIEL MOTA GUIMARÃES</t>
  </si>
  <si>
    <t>TECNICO OPERADOR</t>
  </si>
  <si>
    <t>043.875.091-80</t>
  </si>
  <si>
    <t>KESIA GUIMARÃES BATISTA</t>
  </si>
  <si>
    <t>003.703.601-76</t>
  </si>
  <si>
    <t>HEVERTON MACHADO BATISTA</t>
  </si>
  <si>
    <t>002.437.851-86</t>
  </si>
  <si>
    <t>GERSON PEREIRA SCHAFAUSER</t>
  </si>
  <si>
    <t>700.471.651-11</t>
  </si>
  <si>
    <t>JOSÉ ALGUSTO SOARES FREITAS</t>
  </si>
  <si>
    <t xml:space="preserve"> 704.474.141-00</t>
  </si>
  <si>
    <t xml:space="preserve">LUIZ GUSTAVO DIAS DO NASCIMENTO </t>
  </si>
  <si>
    <t xml:space="preserve">PAULO FELIPE MAIA DOS SANTOS </t>
  </si>
  <si>
    <t>EDMUNDO BORGES RODRIGUES</t>
  </si>
  <si>
    <t>LANCAR</t>
  </si>
  <si>
    <t xml:space="preserve">MONTAGEM DE BAR </t>
  </si>
  <si>
    <t xml:space="preserve">ADHAMYS BRUNO SANTANA SOUZA </t>
  </si>
  <si>
    <t xml:space="preserve">VALMIR GONÇALVES DA SILVA </t>
  </si>
  <si>
    <t xml:space="preserve">JOAO VITOR BARBOSA DE LIMA </t>
  </si>
  <si>
    <t xml:space="preserve">LANCAR </t>
  </si>
  <si>
    <t xml:space="preserve">JOVANEZ GOMES DOS SANTOS </t>
  </si>
  <si>
    <t>LANCAR  18:00</t>
  </si>
  <si>
    <t>LUZIMAR PENA BORGES</t>
  </si>
  <si>
    <t>LANCAR 22:49</t>
  </si>
  <si>
    <t xml:space="preserve">LUIZ DECIO PINHEIRO DA SILVA </t>
  </si>
  <si>
    <t>Marcos Henrique Guimarães Ferreira</t>
  </si>
  <si>
    <t>020.176.401-66</t>
  </si>
  <si>
    <t>Jennifer Cordeiro de Sousa</t>
  </si>
  <si>
    <t>013.476.201-09</t>
  </si>
  <si>
    <t>Túlio Rodrigues de Oliveira</t>
  </si>
  <si>
    <t>006.892.801-73</t>
  </si>
  <si>
    <t>Mônica Gonçalves da Silva</t>
  </si>
  <si>
    <t>965.157.831-91</t>
  </si>
  <si>
    <t>Lorrany Oliveira Bessa</t>
  </si>
  <si>
    <t>707.212.331-80</t>
  </si>
  <si>
    <t>Jackeline da Silva Alves</t>
  </si>
  <si>
    <t>059.599.291-98</t>
  </si>
  <si>
    <t>Ketlen Guimarães de Morais Brescovit</t>
  </si>
  <si>
    <t>732.525.731-72</t>
  </si>
  <si>
    <t>Ludmilla Kelly Ferreira Sousa</t>
  </si>
  <si>
    <t>018.138.291-10</t>
  </si>
  <si>
    <t>Kamylla Christy de Sousa Silva</t>
  </si>
  <si>
    <t>025.277.981-95</t>
  </si>
  <si>
    <t>Mirna de Fátima de Souza Cruz</t>
  </si>
  <si>
    <t>968.465.851-68</t>
  </si>
  <si>
    <t>Ana Paula Vieira</t>
  </si>
  <si>
    <t>011.552.481-98</t>
  </si>
  <si>
    <t>Náthanno Guilherme Alves da Silva</t>
  </si>
  <si>
    <t>702.101.091-57</t>
  </si>
  <si>
    <t>Adriana Bahia Carreiro Leite Duarte</t>
  </si>
  <si>
    <t>659.724.901-10</t>
  </si>
  <si>
    <t>Angélica Gomes de Oliveira</t>
  </si>
  <si>
    <t>013.316.661-98</t>
  </si>
  <si>
    <t>Carlos Henrique Guimarães Ferreira</t>
  </si>
  <si>
    <t>758.004.891-49</t>
  </si>
  <si>
    <t>Waldiceia Felisbina Moreira Fernandes</t>
  </si>
  <si>
    <t>896.625.631-72</t>
  </si>
  <si>
    <t>Miriam de Sousa e Silva Miranda</t>
  </si>
  <si>
    <t>497.635.711-20</t>
  </si>
  <si>
    <t>Andressa Rosa da Cruz</t>
  </si>
  <si>
    <t>039.089.601-26</t>
  </si>
  <si>
    <t>Miriam de Sousa Silva Miranda</t>
  </si>
  <si>
    <t>Gisele Fernanda Pereira de Oliveira</t>
  </si>
  <si>
    <t>810.357.051-68</t>
  </si>
  <si>
    <t>Elisene Meireles</t>
  </si>
  <si>
    <t>363.996.801-82</t>
  </si>
  <si>
    <t>Isadora Araújo Gonçalves</t>
  </si>
  <si>
    <t>700.860.931-00</t>
  </si>
  <si>
    <t>Tariane Rezende da Fonseca</t>
  </si>
  <si>
    <t>045.017.041-10</t>
  </si>
  <si>
    <t>Hilda Silva Lima</t>
  </si>
  <si>
    <t>889.842.221-00</t>
  </si>
  <si>
    <t>Thaís Arantes</t>
  </si>
  <si>
    <t>032.673.561-56</t>
  </si>
  <si>
    <t>Diogo Moura Mota</t>
  </si>
  <si>
    <t>039.312.861-00</t>
  </si>
  <si>
    <t>Weigner Mota Correia e Silva</t>
  </si>
  <si>
    <t>703.530.881-45</t>
  </si>
  <si>
    <t>Letícia Augusta Alves Malheiros</t>
  </si>
  <si>
    <t>006.703.051-38</t>
  </si>
  <si>
    <t>LEONILDO NEVES FERREIRA</t>
  </si>
  <si>
    <t xml:space="preserve">MATHEUS AUGUSTO NEVES FERREIRA </t>
  </si>
  <si>
    <t xml:space="preserve">CARLOS DANIEL MARCIEL </t>
  </si>
  <si>
    <t xml:space="preserve">RIAN KLEBER OLIVEIRA DE BRITO </t>
  </si>
  <si>
    <t xml:space="preserve">LUIZ GUILHERME RIBEIRO DE OLIVEIRA </t>
  </si>
  <si>
    <t xml:space="preserve">MONTAGDOR </t>
  </si>
  <si>
    <t xml:space="preserve">ROBSON HONORATO DA SILVA </t>
  </si>
  <si>
    <t>RAUL MELO DO NASCIMENTO</t>
  </si>
  <si>
    <t>756.310.241-87</t>
  </si>
  <si>
    <t>JOÃO LUCAS</t>
  </si>
  <si>
    <t>054.407.521-88</t>
  </si>
  <si>
    <t>IAGO MARQUES</t>
  </si>
  <si>
    <t>707.720.671-80</t>
  </si>
  <si>
    <t>LEONARDO CASTELO</t>
  </si>
  <si>
    <t>008.141.964.-38</t>
  </si>
  <si>
    <t>ROBERT ENRIQUE</t>
  </si>
  <si>
    <t>111.625.092-60</t>
  </si>
  <si>
    <t>PRICILA MARQUES</t>
  </si>
  <si>
    <t>LEIDIANE BORGES</t>
  </si>
  <si>
    <t>012.831.021-96</t>
  </si>
  <si>
    <t>LORRANE VITORIA</t>
  </si>
  <si>
    <t>708.344.571-05</t>
  </si>
  <si>
    <t>AMANDA COSTA</t>
  </si>
  <si>
    <t>716.468.581-37</t>
  </si>
  <si>
    <t xml:space="preserve">MAGNO FERREIRA DA SILVA </t>
  </si>
  <si>
    <t xml:space="preserve">TECNICO ILUMINAÇÃO </t>
  </si>
  <si>
    <t>JOAO LUCAS FERREIRA DA SILVA</t>
  </si>
  <si>
    <t xml:space="preserve">LUCAS VINICIUS SALES MARINHO </t>
  </si>
  <si>
    <t>ROBERT ENRIQUE CARABALLO</t>
  </si>
  <si>
    <t>IAGO MARQUES FREIRES</t>
  </si>
  <si>
    <t>PRICILA MARQUES CESAR</t>
  </si>
  <si>
    <t>YARDLEY JOSE SOARES MENDES</t>
  </si>
  <si>
    <t>CENOTECNICO</t>
  </si>
  <si>
    <t>THAIS SOARES</t>
  </si>
  <si>
    <t>GIRLANE SOCORRO DE ALMEIDA</t>
  </si>
  <si>
    <t>VOLUNTARIA</t>
  </si>
  <si>
    <t>TIAGO FERREIRA DO CARMO</t>
  </si>
  <si>
    <t>FECHAMENTO</t>
  </si>
  <si>
    <t>LUCAS EZAQUIEL GOMES DE JESUS</t>
  </si>
  <si>
    <t>FABRICIA CALIXTO DE BATISTA</t>
  </si>
  <si>
    <t>PROPRIETARIA</t>
  </si>
  <si>
    <t>MARIA LUIZA ICASSATTI BEDA MACEDO BORGES</t>
  </si>
  <si>
    <t xml:space="preserve">GYN EVENTOS </t>
  </si>
  <si>
    <t xml:space="preserve">MATHEUS WERNNER ALMEIDA MONTEIRO </t>
  </si>
  <si>
    <t xml:space="preserve">OPERADOR DE EMPINHADEIRA </t>
  </si>
  <si>
    <t>VOLUNTARIO</t>
  </si>
  <si>
    <t xml:space="preserve">MARCOS SILVA NOGUEIRA MARQUES </t>
  </si>
  <si>
    <t xml:space="preserve">VOLUNTÁRIO </t>
  </si>
  <si>
    <t>NEW LED</t>
  </si>
  <si>
    <t>AUXILIAR</t>
  </si>
  <si>
    <t>LUIS FELIPE ARAUJO</t>
  </si>
  <si>
    <t>CARLOS ANTONIO BATISTA</t>
  </si>
  <si>
    <t>CARLOS HENRIQUE MARTINS DA COSTA OLIVEIRA</t>
  </si>
  <si>
    <t>JOACIR BARBOSA</t>
  </si>
  <si>
    <t>GERMANO RORIZ NETO</t>
  </si>
  <si>
    <t xml:space="preserve">ANDERSON CESAR RODRIGUES VELOSO </t>
  </si>
  <si>
    <t xml:space="preserve">PROPRIETARIO </t>
  </si>
  <si>
    <t>025.029.361-79</t>
  </si>
  <si>
    <t>ROBSON JOSÉ DA SILVA</t>
  </si>
  <si>
    <t>RICHARD VIEIRA DE ALMEIDA</t>
  </si>
  <si>
    <t>ATENDENTE</t>
  </si>
  <si>
    <t>ADÃO APOLINÁRIO DOS SANTOS</t>
  </si>
  <si>
    <t>FRETEIRO/ CAMINHÃO</t>
  </si>
  <si>
    <t>ÍTALO MOREIRA DOS SANTOS</t>
  </si>
  <si>
    <t>715.664.111-57</t>
  </si>
  <si>
    <t xml:space="preserve">EVERTON NARCISO DE OLIVEIRA </t>
  </si>
  <si>
    <t xml:space="preserve">ENGENHEIRO CÍVIL </t>
  </si>
  <si>
    <t>RONI ALVES DA COSTA</t>
  </si>
  <si>
    <t>SARAH ARAUJO GIRALDI MANTOVANI</t>
  </si>
  <si>
    <t xml:space="preserve">ELIEZEBE PEREIRA MACIEL </t>
  </si>
  <si>
    <t xml:space="preserve">MARCOS VINICIOS QUINTO DE OLIVEIRA </t>
  </si>
  <si>
    <t xml:space="preserve">JHONATAN ALVES DA SILVA </t>
  </si>
  <si>
    <t>FLORISVALTER CARDOSO RIBEIRO</t>
  </si>
  <si>
    <t>LUCAS CALDAS NERI</t>
  </si>
  <si>
    <t>AUXILIAR DE LED</t>
  </si>
  <si>
    <t xml:space="preserve">Cordenador Técnico </t>
  </si>
  <si>
    <t xml:space="preserve">Thyson Resplandes da Silva </t>
  </si>
  <si>
    <t xml:space="preserve">Wellington Dimas Teles Morais </t>
  </si>
  <si>
    <t xml:space="preserve">Fagner de Oliveira Nascimento </t>
  </si>
  <si>
    <t xml:space="preserve">Leandro Da Silva Nogueira </t>
  </si>
  <si>
    <t xml:space="preserve">Darlison Resplandes da Slva </t>
  </si>
  <si>
    <t xml:space="preserve">João Pedro Moreira dos Santos </t>
  </si>
  <si>
    <t xml:space="preserve">Marco Aurelio Carneiro Neves </t>
  </si>
  <si>
    <t xml:space="preserve">Thiago Witallo Alves Coelho Siqueira </t>
  </si>
  <si>
    <t xml:space="preserve">Yan Vitor de Freitas Reis </t>
  </si>
  <si>
    <t xml:space="preserve">Estácio de Sá Santos </t>
  </si>
  <si>
    <t xml:space="preserve">Felipe Gonçalves Medrado </t>
  </si>
  <si>
    <t xml:space="preserve">Joacir Barbosa Cordeiro </t>
  </si>
  <si>
    <t xml:space="preserve">Magno Ferreira da Silva </t>
  </si>
  <si>
    <t>064.042.755-38</t>
  </si>
  <si>
    <t xml:space="preserve">Jose Arnaldo Sanches Junior </t>
  </si>
  <si>
    <t>097.319.761-75</t>
  </si>
  <si>
    <t xml:space="preserve">Rubens Alan Teixeira da Silva </t>
  </si>
  <si>
    <t>Técnico em Led</t>
  </si>
  <si>
    <t>050.418.361-32</t>
  </si>
  <si>
    <t>Lucas Caldas Neri</t>
  </si>
  <si>
    <t>Auxiliar Técnico em Led</t>
  </si>
  <si>
    <t>701.390.211-08</t>
  </si>
  <si>
    <t>Welington Ferreira do Amaral</t>
  </si>
  <si>
    <t>KAUAN FERREIRA DA MATA ARAUJO</t>
  </si>
  <si>
    <t xml:space="preserve">EDSON BENTO CORREIA </t>
  </si>
  <si>
    <t xml:space="preserve">RICARDO BORGES FERNANDES DUARTE </t>
  </si>
  <si>
    <t>LANCAR 23:16</t>
  </si>
  <si>
    <t>CLAUDIO PIRES MATOS</t>
  </si>
  <si>
    <t>699408001-34</t>
  </si>
  <si>
    <t>354876661-02</t>
  </si>
  <si>
    <t>KEZIA FÉLIX DE JESUS TORRES</t>
  </si>
  <si>
    <t>037901951-54</t>
  </si>
  <si>
    <t>EDNA MARIA DA SILVA OLIVEIRA</t>
  </si>
  <si>
    <t>ENFERMAGEM</t>
  </si>
  <si>
    <t>380863791-91</t>
  </si>
  <si>
    <t>JOSÉ ALBERTO DE OLIVEIRA</t>
  </si>
  <si>
    <t>CONDUTOR</t>
  </si>
  <si>
    <t>612049941-53</t>
  </si>
  <si>
    <t>CELENE CONÇALVES DE OLIVEIRA MATOS</t>
  </si>
  <si>
    <t>533103061-00</t>
  </si>
  <si>
    <t>ELIAS ARMODES MATOS</t>
  </si>
  <si>
    <t>ASSITENTE</t>
  </si>
  <si>
    <t>124857148-78</t>
  </si>
  <si>
    <t xml:space="preserve">PEDRO HENRIQUE DA SILVA GONCALVES </t>
  </si>
  <si>
    <t>LANÇAR 23:18</t>
  </si>
  <si>
    <t>GUSTAVO LELES</t>
  </si>
  <si>
    <t>ANDERLEY SANTOS DA SILVA</t>
  </si>
  <si>
    <t>MAYCON SANTANNA CRUZ DINIZ</t>
  </si>
  <si>
    <t>SHERIDAN TATIELE SILVA</t>
  </si>
  <si>
    <t>ARQUITETA</t>
  </si>
  <si>
    <t xml:space="preserve">LUIZ TAVARES DA CRUZ NETO </t>
  </si>
  <si>
    <t xml:space="preserve">ANDERSON OLIVEIRA DA SILVA </t>
  </si>
  <si>
    <t>ARTHUR JEFFERSSON OLIVEIRA MOURA</t>
  </si>
  <si>
    <t>CARREGADOR</t>
  </si>
  <si>
    <t>PEDRO HENRIQUE DE CASTRO MAGALHAES</t>
  </si>
  <si>
    <t>GERENTE DE COMUNICAÇAO</t>
  </si>
  <si>
    <t>MARCIO FERNANDO CARDOSO ZAGO</t>
  </si>
  <si>
    <t>VINYCIUS DA SILVA</t>
  </si>
  <si>
    <t xml:space="preserve">JEMERSON PEREIRA DE OLIVEIRA </t>
  </si>
  <si>
    <t>NEILTON RIBEIRO DA SILVA</t>
  </si>
  <si>
    <t xml:space="preserve">Alexandre Felicio de Medeiros Farias </t>
  </si>
  <si>
    <t>carregador</t>
  </si>
  <si>
    <t>LANÇAR 23:11</t>
  </si>
  <si>
    <t>706.437.741-14</t>
  </si>
  <si>
    <t xml:space="preserve">Alexandre Gonçalves da Silva </t>
  </si>
  <si>
    <t>lançar 23;28</t>
  </si>
  <si>
    <t xml:space="preserve">Álvaro Felipe </t>
  </si>
  <si>
    <t xml:space="preserve">Arthur Jefferson </t>
  </si>
  <si>
    <t xml:space="preserve">carlos rodrigo nascimento oliveira </t>
  </si>
  <si>
    <t>lançar 23:26</t>
  </si>
  <si>
    <t>daniel gomes amaral</t>
  </si>
  <si>
    <t xml:space="preserve">Gustavo Alves dos Santos </t>
  </si>
  <si>
    <t>lançar 23:15</t>
  </si>
  <si>
    <t>Henrique Soriano da Conceição</t>
  </si>
  <si>
    <t>LANÇAR 23:15</t>
  </si>
  <si>
    <t xml:space="preserve">João Gabriel Nascimento Camargo </t>
  </si>
  <si>
    <t>LANÇAR 23:28</t>
  </si>
  <si>
    <t xml:space="preserve">Luiz Tavares </t>
  </si>
  <si>
    <t>coordenador</t>
  </si>
  <si>
    <t xml:space="preserve">Maycon Diniz </t>
  </si>
  <si>
    <t>neilton ribeiro</t>
  </si>
  <si>
    <t xml:space="preserve">Pedro Henrique Gonçalves </t>
  </si>
  <si>
    <t>rhyan victor batista araujo alves</t>
  </si>
  <si>
    <t xml:space="preserve">Ricardo Duarte </t>
  </si>
  <si>
    <t xml:space="preserve">Ronycley Santos </t>
  </si>
  <si>
    <t xml:space="preserve">Sarah Araújo </t>
  </si>
  <si>
    <t>Vinycius silva</t>
  </si>
  <si>
    <t xml:space="preserve">Wellington </t>
  </si>
  <si>
    <t>Jamerson pereira de oliveira</t>
  </si>
  <si>
    <t xml:space="preserve">PEDRO HENRIQUE COSTA DA SILVA </t>
  </si>
  <si>
    <t>LANÇAR 23:04</t>
  </si>
  <si>
    <t>710.979.091-66</t>
  </si>
  <si>
    <t>FANEL CLIVENSON MERILUS</t>
  </si>
  <si>
    <t>LANÇAR 23:35</t>
  </si>
  <si>
    <t>129.043.451-40</t>
  </si>
  <si>
    <t>MATHEUS VENANCIO MACIEL</t>
  </si>
  <si>
    <t>714.284.601-10</t>
  </si>
  <si>
    <t xml:space="preserve">FAUSTO GONCALVES RODRIGUES </t>
  </si>
  <si>
    <t>389.059.901-00</t>
  </si>
  <si>
    <t xml:space="preserve">WARLEN MAXWELL SILVA REIS </t>
  </si>
  <si>
    <t xml:space="preserve">PADRE </t>
  </si>
  <si>
    <t>JOSE ANDRADE DA SILVA FLAUZINO</t>
  </si>
  <si>
    <t xml:space="preserve">IMPRENSA </t>
  </si>
  <si>
    <t xml:space="preserve">BIANKA CARNEIRO LEANDRO </t>
  </si>
  <si>
    <t>FABIO FERREIRA LEOA</t>
  </si>
  <si>
    <t>RAFAELA SIMONE DE OLIVEIRA SIMOES BESSA</t>
  </si>
  <si>
    <t>IMPRENSA</t>
  </si>
  <si>
    <t>873.255.271-87</t>
  </si>
  <si>
    <t>CARLOS EDUARDO DA SILVA</t>
  </si>
  <si>
    <t>VENDEDOR</t>
  </si>
  <si>
    <t>043.138.831-85</t>
  </si>
  <si>
    <t>ADEMIR DE OLIVEIRA LEITE</t>
  </si>
  <si>
    <t xml:space="preserve">ENTREGADOR </t>
  </si>
  <si>
    <t>887.942.961-20</t>
  </si>
  <si>
    <t xml:space="preserve">MICHEL RODRIGUES DOS SANTOS </t>
  </si>
  <si>
    <t xml:space="preserve">ENGENHEIRO </t>
  </si>
  <si>
    <t>000.063.551-02</t>
  </si>
  <si>
    <t>EDMAR MARTINS PIMENTEL</t>
  </si>
  <si>
    <t>821.866.001-10</t>
  </si>
  <si>
    <t>MARCIO ENRIQUE SANTOS</t>
  </si>
  <si>
    <t>REUNIÃO TEC.</t>
  </si>
  <si>
    <t>783.758.001-04</t>
  </si>
  <si>
    <t>MARLUCIO CAMPOS DE OLIVEIRA</t>
  </si>
  <si>
    <t>ELETRICISTA</t>
  </si>
  <si>
    <t xml:space="preserve">MARCOS SILVA MILHOMEM </t>
  </si>
  <si>
    <t>TEC DE SEGURANÇA</t>
  </si>
  <si>
    <t>LANÇÇAR</t>
  </si>
  <si>
    <t>MATHEUS HENRIQUE BRANDÃO</t>
  </si>
  <si>
    <t xml:space="preserve">VICTOR VINICIUS FURTADO ALMEIDA </t>
  </si>
  <si>
    <t xml:space="preserve">CRREGADOR </t>
  </si>
  <si>
    <t>057.101.152-74</t>
  </si>
  <si>
    <t xml:space="preserve">JOSE PAULO COSTA </t>
  </si>
  <si>
    <t>012.632.841-24</t>
  </si>
  <si>
    <t>MYRLEY MAYCON SILVA DA CONCEICAO</t>
  </si>
  <si>
    <t>710.921.541-59</t>
  </si>
  <si>
    <t xml:space="preserve">MOZARTH ALVES FERREIRA JUNIOR </t>
  </si>
  <si>
    <t>039.181.241-69</t>
  </si>
  <si>
    <t>CHARLES KENNEDY FERREIRA ALVES</t>
  </si>
  <si>
    <t xml:space="preserve">WALISSON EURIPEDES SILVA SANTOS </t>
  </si>
  <si>
    <t xml:space="preserve">AFONSO DUTRA REZENDE </t>
  </si>
  <si>
    <t>751.194.551-15</t>
  </si>
  <si>
    <t>WILMAR FERREIRA DE ASSIS NETO</t>
  </si>
  <si>
    <t xml:space="preserve">SUELMA HENRIQUE DE CARVALHO SOUSA </t>
  </si>
  <si>
    <t>025.682.521-11</t>
  </si>
  <si>
    <t xml:space="preserve">ADRIEL JONATHAN LOPES NASCIMENTO </t>
  </si>
  <si>
    <t>LANÇAR 23:23</t>
  </si>
  <si>
    <t>114.579.042-92</t>
  </si>
  <si>
    <t>RHYAN VICTOR BATISTA</t>
  </si>
  <si>
    <t xml:space="preserve">JOSE FILHO SOUZA FERREIRA </t>
  </si>
  <si>
    <t xml:space="preserve">FREDERY JOSE RIVAS ROMERO </t>
  </si>
  <si>
    <t>LANÇAR 23:05</t>
  </si>
  <si>
    <t>JEFERSSON DE JESUS</t>
  </si>
  <si>
    <t>GABRIEL BERNARDES DA SILVA LEMES</t>
  </si>
  <si>
    <t xml:space="preserve">CARREGAR </t>
  </si>
  <si>
    <t xml:space="preserve">GUILHERME HENRIQUE PEREIRA SUDARIO DOS SANTOS </t>
  </si>
  <si>
    <t>CARRREGADOR</t>
  </si>
  <si>
    <t>LANÇAR 23:29</t>
  </si>
  <si>
    <t>069.051.522-77</t>
  </si>
  <si>
    <t>RHUAN MIGUEL FERREIRA ARAUJO</t>
  </si>
  <si>
    <t>LANÇAR 23:06</t>
  </si>
  <si>
    <t>ROSIELSON BATISTA TAVEIRA</t>
  </si>
  <si>
    <t xml:space="preserve">FORRAÇÃO </t>
  </si>
  <si>
    <t>LANÇAR 22:53</t>
  </si>
  <si>
    <t>035.061.402-48</t>
  </si>
  <si>
    <t>FORRAÇAO</t>
  </si>
  <si>
    <t>ELITON LIMA FERREIRA</t>
  </si>
  <si>
    <t>LANÇAR 23:31</t>
  </si>
  <si>
    <t xml:space="preserve">JONATAS ALMEIDA DOS SANTOS </t>
  </si>
  <si>
    <t>FORRAÇÃO</t>
  </si>
  <si>
    <t>LANÇAR  22:53</t>
  </si>
  <si>
    <t>ELIAS SOUSA COSTA</t>
  </si>
  <si>
    <t>EVERTON MONTEIRO DOS SANTOS</t>
  </si>
  <si>
    <t>LANÇAR 18:55 - 23:25</t>
  </si>
  <si>
    <t>LUIZ FELIPE JESUS MACHADO</t>
  </si>
  <si>
    <t>109.454.035-85</t>
  </si>
  <si>
    <t>MATHEUS DOS SANTOS CORREIA</t>
  </si>
  <si>
    <t>DANIEL GOMES AMARAL</t>
  </si>
  <si>
    <t>NATALIA CRISTINA DA SILVA</t>
  </si>
  <si>
    <t xml:space="preserve">SOCIAL MIDIA </t>
  </si>
  <si>
    <t>JAVIER FAUSTINO GONDIM LEAO</t>
  </si>
  <si>
    <t>LANÇAR 23:17</t>
  </si>
  <si>
    <t>PABLO VINICIUS DA SILVA ALVES</t>
  </si>
  <si>
    <t>LANÇAR 23:20</t>
  </si>
  <si>
    <t>GABRIEL CAVALCANTE DE OLIVEIRA</t>
  </si>
  <si>
    <t>BRUNA SILVA DA CONCEICAO</t>
  </si>
  <si>
    <t>PREVENSAO DE PERDAS</t>
  </si>
  <si>
    <t>010.833.210-13</t>
  </si>
  <si>
    <t>ELESSANDRO FERREIRA DE SOUZA</t>
  </si>
  <si>
    <t>818.249.121-53</t>
  </si>
  <si>
    <t>ANNY GABRIELLY PEREIRA CARDOSO</t>
  </si>
  <si>
    <t>ALEXANDRE DE SOUZA PEREIRA</t>
  </si>
  <si>
    <t>INSTALAÇAO CARPETES</t>
  </si>
  <si>
    <t>VICTORIA MARIANA SOARES ALVES PEREIRA</t>
  </si>
  <si>
    <t>JOSE LUIS BATISTA DOS SANTOS</t>
  </si>
  <si>
    <t>707.212.421-70</t>
  </si>
  <si>
    <t xml:space="preserve">FABIO DA CUNHA LIMA </t>
  </si>
  <si>
    <t xml:space="preserve">VERA LUCIA NOBRE </t>
  </si>
  <si>
    <t>TEC ENFERMAGEM</t>
  </si>
  <si>
    <t xml:space="preserve">MANOEL FELIPHE FERREIRA BARCELAR </t>
  </si>
  <si>
    <t xml:space="preserve">CLEBER ARAULO DE ALMEIDA JIUNIOR </t>
  </si>
  <si>
    <t xml:space="preserve">KAUA SILVA DO NASCIMENTO </t>
  </si>
  <si>
    <t xml:space="preserve">GILDOMAR SANTOS </t>
  </si>
  <si>
    <t>BRUNO HUGO ARAÚJO DOS SANTOS</t>
  </si>
  <si>
    <t>708.177.961-18</t>
  </si>
  <si>
    <t xml:space="preserve">CARLOS DANIEL MACIEL </t>
  </si>
  <si>
    <t>714.284.501-57</t>
  </si>
  <si>
    <t xml:space="preserve">GUILHERME DE CASTRO FERREIRA FREITAS </t>
  </si>
  <si>
    <t>068.142.681-08</t>
  </si>
  <si>
    <t>JOÃO VICTOR TEODORO PEDROSO</t>
  </si>
  <si>
    <t>701.432.981-27</t>
  </si>
  <si>
    <t>LUIS ANTONIO MOREIRA ROCHA</t>
  </si>
  <si>
    <t>109.367.451-26</t>
  </si>
  <si>
    <t xml:space="preserve">LUIZ FERNANDO BEZERRA BORGES </t>
  </si>
  <si>
    <t>048.694.832-38</t>
  </si>
  <si>
    <t>MATHEUS VENÂNCIO</t>
  </si>
  <si>
    <t xml:space="preserve">VICTOR HUGGO DIAS DOS SANTOS </t>
  </si>
  <si>
    <t>064.326.041-25</t>
  </si>
  <si>
    <t xml:space="preserve">JANE TALITA FERREIRA DOS SANTOS </t>
  </si>
  <si>
    <t xml:space="preserve">MARCONDES DIVINO MAREGA </t>
  </si>
  <si>
    <t xml:space="preserve">AMANDA LIMA DOS SANTOS </t>
  </si>
  <si>
    <t>444.097.41-47</t>
  </si>
  <si>
    <t xml:space="preserve">ANDERSON FERREIRA REIS </t>
  </si>
  <si>
    <t>033.408.751-11</t>
  </si>
  <si>
    <t xml:space="preserve">KEVEN RODRIGUES DE LIMA </t>
  </si>
  <si>
    <t>PROPRIETÁRIO</t>
  </si>
  <si>
    <t>066.390.551-63</t>
  </si>
  <si>
    <t xml:space="preserve">LAIANA DE LIMA DUARDE DE OLIVEIRA </t>
  </si>
  <si>
    <t>PROPRIETÁRIA</t>
  </si>
  <si>
    <t>024.081.771-03</t>
  </si>
  <si>
    <t>WENDEL JOSE DE SOUSA</t>
  </si>
  <si>
    <t>TECNICO DE LUZ</t>
  </si>
  <si>
    <t>968.177.551-15</t>
  </si>
  <si>
    <t xml:space="preserve">LEIDISMAR BARBOSA LOPES </t>
  </si>
  <si>
    <t xml:space="preserve">ANDRE PARDINHO COSTA </t>
  </si>
  <si>
    <t xml:space="preserve">EDIMAR DE SOUZA BRITO </t>
  </si>
  <si>
    <t>Aldeir de oliveira</t>
  </si>
  <si>
    <t>Railan Ferreira de sousa</t>
  </si>
  <si>
    <t xml:space="preserve">Tiago Oliveira de Jesus </t>
  </si>
  <si>
    <t>Montaddor</t>
  </si>
  <si>
    <t xml:space="preserve">DANILO DA COSTA </t>
  </si>
  <si>
    <t>gabriel camara martins</t>
  </si>
  <si>
    <t xml:space="preserve">cenografista </t>
  </si>
  <si>
    <t>izaias lima queiroz</t>
  </si>
  <si>
    <t>Eduardo Silva de Jesus</t>
  </si>
  <si>
    <t xml:space="preserve">FRANKLIN SANTANA BARBOSA </t>
  </si>
  <si>
    <t xml:space="preserve">MATHEUS MARTINS DE CASTRO </t>
  </si>
  <si>
    <t>denis william santana</t>
  </si>
  <si>
    <t xml:space="preserve">Orisvaldo Maldonado Bianconcini </t>
  </si>
  <si>
    <t xml:space="preserve">Marielen Peixoto Neris </t>
  </si>
  <si>
    <t>009.423.061-71</t>
  </si>
  <si>
    <t xml:space="preserve">Romulo Pereira de Oliveira </t>
  </si>
  <si>
    <t xml:space="preserve">Sandra Marly Mendes de Oliveira </t>
  </si>
  <si>
    <t>106.219.202-82</t>
  </si>
  <si>
    <t>Fernando João Kroebel</t>
  </si>
  <si>
    <t>054.123.537-03</t>
  </si>
  <si>
    <t xml:space="preserve">VINICIUS DIEGO DE REITAS OLIVEIRA </t>
  </si>
  <si>
    <t>Claybson Meireles Marques</t>
  </si>
  <si>
    <t>Jurací dos Santo</t>
  </si>
  <si>
    <t xml:space="preserve">RENATO BRGA MARTINS </t>
  </si>
  <si>
    <t xml:space="preserve">TECNICO OPERACIONAL </t>
  </si>
  <si>
    <t>GABRIEL MORAIS MARRA</t>
  </si>
  <si>
    <t>71077788118N</t>
  </si>
  <si>
    <t xml:space="preserve">Matheus Araujo Ferreira </t>
  </si>
  <si>
    <t>DESCARREGAR</t>
  </si>
  <si>
    <t xml:space="preserve">ISLAURO LOURENÇO BEZERRA </t>
  </si>
  <si>
    <t>Wilson Antonio Nunes</t>
  </si>
  <si>
    <t xml:space="preserve">CARLOS HENRIQUE REIS SANTOS </t>
  </si>
  <si>
    <t>Kaiky Rodrigues Caetano</t>
  </si>
  <si>
    <t>PAULA LAVINIA FELICIANO MOREIRA</t>
  </si>
  <si>
    <t>061.070.051-02</t>
  </si>
  <si>
    <t xml:space="preserve">LUCAS GABRIEL FERREIRA PIRES </t>
  </si>
  <si>
    <t xml:space="preserve">PREVENÇÃO DE PERCAS </t>
  </si>
  <si>
    <t xml:space="preserve">PAULA RODRIGUES DA SILVA </t>
  </si>
  <si>
    <t xml:space="preserve">YARA DOS REIS FIGUEREDO </t>
  </si>
  <si>
    <t>DIEGO SANTOS VELOSO</t>
  </si>
  <si>
    <t>daniel nogueira da siva</t>
  </si>
  <si>
    <t>DESCARREGADOR</t>
  </si>
  <si>
    <t>TULIO PEREIRA DA SILVA</t>
  </si>
  <si>
    <t xml:space="preserve">DAYANE ANDRESSA MARTINS ROSA </t>
  </si>
  <si>
    <t>JOAO HENRIQUE DA SILVA CARDOSO SOUZA</t>
  </si>
  <si>
    <t xml:space="preserve">ATENDENTE </t>
  </si>
  <si>
    <t>REYLA COSTA E SILVA</t>
  </si>
  <si>
    <t>PATRICK MARTINS GENUINO</t>
  </si>
  <si>
    <t xml:space="preserve">PAULO FABRICIO DE OLIVEIRA DELFINO </t>
  </si>
  <si>
    <t>Eduardo Humberto Silva</t>
  </si>
  <si>
    <t>MARIANNA DE MORAIS OLIVEIRA</t>
  </si>
  <si>
    <t>FELIPE DOS SANTOS MEIRA</t>
  </si>
  <si>
    <t>DIEMESSON SANTOS DE SOUZA</t>
  </si>
  <si>
    <t>CARRGADOR</t>
  </si>
  <si>
    <t>PATRYCK CORREA</t>
  </si>
  <si>
    <t>Adenides Severino da Silva</t>
  </si>
  <si>
    <t>335.959.091-00</t>
  </si>
  <si>
    <t>Anderson Carlos Pereira Rocha</t>
  </si>
  <si>
    <t xml:space="preserve"> 018.903.081-02</t>
  </si>
  <si>
    <t xml:space="preserve">Pedro Henrique Ferreira </t>
  </si>
  <si>
    <t xml:space="preserve">DIEGO HENRIQUE DE ARAUJO </t>
  </si>
  <si>
    <t xml:space="preserve">ATENDENDE </t>
  </si>
  <si>
    <t xml:space="preserve">ALESSANDRA SOUZA BORGES </t>
  </si>
  <si>
    <t>GERENTE GERAL</t>
  </si>
  <si>
    <t>Natyelle do Carmo</t>
  </si>
  <si>
    <t>YASMIN MARIE ISHIZUKA DE REZENDE</t>
  </si>
  <si>
    <t>LAIS SILVA COSTA</t>
  </si>
  <si>
    <t>VENDEDORA</t>
  </si>
  <si>
    <t>SANDOVAL ALVES LOPES</t>
  </si>
  <si>
    <t>GLAUCO ALFONSO BORGES</t>
  </si>
  <si>
    <t>DESCARREGADR</t>
  </si>
  <si>
    <t>LUIZ HENRIQUE RODRIGUES DE SOUZA</t>
  </si>
  <si>
    <t>JOÃO VICTOR PORTO</t>
  </si>
  <si>
    <t>JOAO PAULO ROCHET CORREA</t>
  </si>
  <si>
    <t>PROPRIETARIO</t>
  </si>
  <si>
    <t xml:space="preserve">Anselmo Troncoso Guimarães </t>
  </si>
  <si>
    <t>648.815.391-91</t>
  </si>
  <si>
    <t>⏱️  CONTROLE DE ENTRADA E SAÍDA  —  EVENTO</t>
  </si>
  <si>
    <t>NOME (selecione ▼)</t>
  </si>
  <si>
    <t>FUNÇÃO</t>
  </si>
  <si>
    <t>COORD.?</t>
  </si>
  <si>
    <t>DATA</t>
  </si>
  <si>
    <t>⏺ MARCAR ENTRADA
(via Menu ⏱️ Ponto)</t>
  </si>
  <si>
    <t>ENTRADA</t>
  </si>
  <si>
    <t>⏺ MARCAR SAÍDA
(via Menu ⏱️ Ponto)</t>
  </si>
  <si>
    <t>SAÍDA</t>
  </si>
  <si>
    <t>⏳ HORAS</t>
  </si>
  <si>
    <t>STATUS</t>
  </si>
  <si>
    <t>07:30</t>
  </si>
  <si>
    <t>17:43</t>
  </si>
  <si>
    <t>08:00</t>
  </si>
  <si>
    <t>17:19</t>
  </si>
  <si>
    <t>17:17</t>
  </si>
  <si>
    <t>UP MUSIC</t>
  </si>
  <si>
    <t>11:36</t>
  </si>
  <si>
    <t>16:31</t>
  </si>
  <si>
    <t xml:space="preserve">Kauan de Souza Morais </t>
  </si>
  <si>
    <t>ENFERMEIRA</t>
  </si>
  <si>
    <t>08:53</t>
  </si>
  <si>
    <t>flASH MED</t>
  </si>
  <si>
    <t>09:33</t>
  </si>
  <si>
    <t>Iago Oliveira de Souza</t>
  </si>
  <si>
    <t>18:04</t>
  </si>
  <si>
    <t>18:49</t>
  </si>
  <si>
    <t>18:47</t>
  </si>
  <si>
    <t>18:51</t>
  </si>
  <si>
    <t>18:43</t>
  </si>
  <si>
    <t>18:45</t>
  </si>
  <si>
    <t>18:40</t>
  </si>
  <si>
    <t>18:44</t>
  </si>
  <si>
    <t>18:42</t>
  </si>
  <si>
    <t>18:41</t>
  </si>
  <si>
    <t>18:46</t>
  </si>
  <si>
    <t>09:27</t>
  </si>
  <si>
    <t>09:52</t>
  </si>
  <si>
    <t>10:38</t>
  </si>
  <si>
    <t>09:54</t>
  </si>
  <si>
    <t>11:53</t>
  </si>
  <si>
    <t>15:10</t>
  </si>
  <si>
    <t>15:37</t>
  </si>
  <si>
    <t>15:30</t>
  </si>
  <si>
    <t>16:22</t>
  </si>
  <si>
    <t>15:34</t>
  </si>
  <si>
    <t>16:07</t>
  </si>
  <si>
    <t>08:03</t>
  </si>
  <si>
    <t>08:06</t>
  </si>
  <si>
    <t>08:07</t>
  </si>
  <si>
    <t>08:08</t>
  </si>
  <si>
    <t>08:09</t>
  </si>
  <si>
    <t>08:10</t>
  </si>
  <si>
    <t>08:11</t>
  </si>
  <si>
    <t>18;25</t>
  </si>
  <si>
    <t>08:12</t>
  </si>
  <si>
    <t>08:13</t>
  </si>
  <si>
    <t>08:14</t>
  </si>
  <si>
    <t>08:15</t>
  </si>
  <si>
    <t>08:16</t>
  </si>
  <si>
    <t>08:17</t>
  </si>
  <si>
    <t>08:29</t>
  </si>
  <si>
    <t>10:03</t>
  </si>
  <si>
    <t>10:04</t>
  </si>
  <si>
    <t>10:05</t>
  </si>
  <si>
    <t>13:45</t>
  </si>
  <si>
    <t>13:47</t>
  </si>
  <si>
    <t>14:30</t>
  </si>
  <si>
    <t>14:34</t>
  </si>
  <si>
    <t>14:36</t>
  </si>
  <si>
    <t>15:13</t>
  </si>
  <si>
    <t>14:35</t>
  </si>
  <si>
    <t>///</t>
  </si>
  <si>
    <t>/</t>
  </si>
  <si>
    <t>maicon correa lopes</t>
  </si>
  <si>
    <t>13:49</t>
  </si>
  <si>
    <t>09:06</t>
  </si>
  <si>
    <t>21:52</t>
  </si>
  <si>
    <t>18:08</t>
  </si>
  <si>
    <t>21:51</t>
  </si>
  <si>
    <t>21:48</t>
  </si>
  <si>
    <t>21:55</t>
  </si>
  <si>
    <t>13:41</t>
  </si>
  <si>
    <t>12:14</t>
  </si>
  <si>
    <t>15:48</t>
  </si>
  <si>
    <t>21:50</t>
  </si>
  <si>
    <t>08:40</t>
  </si>
  <si>
    <t>08:41</t>
  </si>
  <si>
    <t>08:48</t>
  </si>
  <si>
    <t>17:47</t>
  </si>
  <si>
    <t>08:49</t>
  </si>
  <si>
    <t>17:46</t>
  </si>
  <si>
    <t>08:51</t>
  </si>
  <si>
    <t>17:45</t>
  </si>
  <si>
    <t>08:52</t>
  </si>
  <si>
    <t>08:54</t>
  </si>
  <si>
    <t>08:56</t>
  </si>
  <si>
    <t>i</t>
  </si>
  <si>
    <t>08:57</t>
  </si>
  <si>
    <t>08:58</t>
  </si>
  <si>
    <t>13:40</t>
  </si>
  <si>
    <t>08:59</t>
  </si>
  <si>
    <t>13:44</t>
  </si>
  <si>
    <t>09:07</t>
  </si>
  <si>
    <t>09:08</t>
  </si>
  <si>
    <t>09:09</t>
  </si>
  <si>
    <t>21:46</t>
  </si>
  <si>
    <t>09:10</t>
  </si>
  <si>
    <t>21:45</t>
  </si>
  <si>
    <t>09:11</t>
  </si>
  <si>
    <t>09:12</t>
  </si>
  <si>
    <t>09:15</t>
  </si>
  <si>
    <t>09:22</t>
  </si>
  <si>
    <t>15:29</t>
  </si>
  <si>
    <t>09:23</t>
  </si>
  <si>
    <t>15:28</t>
  </si>
  <si>
    <t>09:25</t>
  </si>
  <si>
    <t>22:00</t>
  </si>
  <si>
    <t>09:35</t>
  </si>
  <si>
    <t>17:48</t>
  </si>
  <si>
    <t>09:36</t>
  </si>
  <si>
    <t>21:49</t>
  </si>
  <si>
    <t>09:37</t>
  </si>
  <si>
    <t>10:10</t>
  </si>
  <si>
    <t>09:39</t>
  </si>
  <si>
    <t>10:07</t>
  </si>
  <si>
    <t>09:40</t>
  </si>
  <si>
    <t>13:50</t>
  </si>
  <si>
    <t>09:41</t>
  </si>
  <si>
    <t>09:42</t>
  </si>
  <si>
    <t>10:06</t>
  </si>
  <si>
    <t>19:18</t>
  </si>
  <si>
    <t xml:space="preserve">ALESSANDRO SOUSA NASCIMENTO </t>
  </si>
  <si>
    <t>10:19</t>
  </si>
  <si>
    <t xml:space="preserve">RAFFAEL SOARES DE SANTANA </t>
  </si>
  <si>
    <t>10:20</t>
  </si>
  <si>
    <t>10:23</t>
  </si>
  <si>
    <t>11:05</t>
  </si>
  <si>
    <t>11:10</t>
  </si>
  <si>
    <t>11:13</t>
  </si>
  <si>
    <t>13:00</t>
  </si>
  <si>
    <t>11:14</t>
  </si>
  <si>
    <t>11:15</t>
  </si>
  <si>
    <t>11:33</t>
  </si>
  <si>
    <t>11:20</t>
  </si>
  <si>
    <t>11:22</t>
  </si>
  <si>
    <t>12:59</t>
  </si>
  <si>
    <t>11:25</t>
  </si>
  <si>
    <t>11:26</t>
  </si>
  <si>
    <t>19:19</t>
  </si>
  <si>
    <t>11:27</t>
  </si>
  <si>
    <t>18:01</t>
  </si>
  <si>
    <t>11:28</t>
  </si>
  <si>
    <t>16;00</t>
  </si>
  <si>
    <t>11:30</t>
  </si>
  <si>
    <t>11:31</t>
  </si>
  <si>
    <t>11:32</t>
  </si>
  <si>
    <t>11:34</t>
  </si>
  <si>
    <t>11:39</t>
  </si>
  <si>
    <t>11:40</t>
  </si>
  <si>
    <t>11:41</t>
  </si>
  <si>
    <t>11:47</t>
  </si>
  <si>
    <t>11:56</t>
  </si>
  <si>
    <t>13:51</t>
  </si>
  <si>
    <t>13:54</t>
  </si>
  <si>
    <t>14:15</t>
  </si>
  <si>
    <t>15:09</t>
  </si>
  <si>
    <t>14:16</t>
  </si>
  <si>
    <t>14:17</t>
  </si>
  <si>
    <t>14:18</t>
  </si>
  <si>
    <t>14:22</t>
  </si>
  <si>
    <t>17:49</t>
  </si>
  <si>
    <t>15:15</t>
  </si>
  <si>
    <t>17:51</t>
  </si>
  <si>
    <t>15:16</t>
  </si>
  <si>
    <t>15:17</t>
  </si>
  <si>
    <t>15:18</t>
  </si>
  <si>
    <t>17:50</t>
  </si>
  <si>
    <t>15:19</t>
  </si>
  <si>
    <t>15:38</t>
  </si>
  <si>
    <t>15:56</t>
  </si>
  <si>
    <t>16:59</t>
  </si>
  <si>
    <t>17:06</t>
  </si>
  <si>
    <t>17:07</t>
  </si>
  <si>
    <t>17:08</t>
  </si>
  <si>
    <t>18:29</t>
  </si>
  <si>
    <t>08:18</t>
  </si>
  <si>
    <t>08:19</t>
  </si>
  <si>
    <t>18:14</t>
  </si>
  <si>
    <t>08:20</t>
  </si>
  <si>
    <t>17:44</t>
  </si>
  <si>
    <t>08:21</t>
  </si>
  <si>
    <t>08:22</t>
  </si>
  <si>
    <t>08:24</t>
  </si>
  <si>
    <t>19:08</t>
  </si>
  <si>
    <t>08:25</t>
  </si>
  <si>
    <t>08:26</t>
  </si>
  <si>
    <t>13:48</t>
  </si>
  <si>
    <t>08:27</t>
  </si>
  <si>
    <t>08:28</t>
  </si>
  <si>
    <t>18:30</t>
  </si>
  <si>
    <t>08:31</t>
  </si>
  <si>
    <t>17:36</t>
  </si>
  <si>
    <t>08:32</t>
  </si>
  <si>
    <t>17:34</t>
  </si>
  <si>
    <t>08:34</t>
  </si>
  <si>
    <t>17:39</t>
  </si>
  <si>
    <t>16:36</t>
  </si>
  <si>
    <t>08:35</t>
  </si>
  <si>
    <t>17:38</t>
  </si>
  <si>
    <t>08:36</t>
  </si>
  <si>
    <t>08:38</t>
  </si>
  <si>
    <t>08:42</t>
  </si>
  <si>
    <t>08:45</t>
  </si>
  <si>
    <t>08:46</t>
  </si>
  <si>
    <t>08:47</t>
  </si>
  <si>
    <t>17:10</t>
  </si>
  <si>
    <t>08:55</t>
  </si>
  <si>
    <t>17:11</t>
  </si>
  <si>
    <t>09:00</t>
  </si>
  <si>
    <t>09:02</t>
  </si>
  <si>
    <t>17:40</t>
  </si>
  <si>
    <t>09:13</t>
  </si>
  <si>
    <t>09:16</t>
  </si>
  <si>
    <t>09:17</t>
  </si>
  <si>
    <t>19:39</t>
  </si>
  <si>
    <t>09:19</t>
  </si>
  <si>
    <t>09:20</t>
  </si>
  <si>
    <t>09:21</t>
  </si>
  <si>
    <t>19:40</t>
  </si>
  <si>
    <t>09:24</t>
  </si>
  <si>
    <t>09:26</t>
  </si>
  <si>
    <t>09:28</t>
  </si>
  <si>
    <t>09:30</t>
  </si>
  <si>
    <t>09:31</t>
  </si>
  <si>
    <t>09:32</t>
  </si>
  <si>
    <t>09:34</t>
  </si>
  <si>
    <t>21:58</t>
  </si>
  <si>
    <t>09:38</t>
  </si>
  <si>
    <t>18:28</t>
  </si>
  <si>
    <t>09:43</t>
  </si>
  <si>
    <t>13:20</t>
  </si>
  <si>
    <t>09:44</t>
  </si>
  <si>
    <t>09:45</t>
  </si>
  <si>
    <t>09:47</t>
  </si>
  <si>
    <t>09:48</t>
  </si>
  <si>
    <t>19:02</t>
  </si>
  <si>
    <t>D</t>
  </si>
  <si>
    <t>09:49</t>
  </si>
  <si>
    <t>09:50</t>
  </si>
  <si>
    <t>09:55</t>
  </si>
  <si>
    <t>09:57</t>
  </si>
  <si>
    <t>09:58</t>
  </si>
  <si>
    <t>09:59</t>
  </si>
  <si>
    <t>10:01</t>
  </si>
  <si>
    <t>10:08</t>
  </si>
  <si>
    <t>10:12</t>
  </si>
  <si>
    <t>10:14</t>
  </si>
  <si>
    <t>10:15</t>
  </si>
  <si>
    <t>10:16</t>
  </si>
  <si>
    <t>10:17</t>
  </si>
  <si>
    <t>17:14</t>
  </si>
  <si>
    <t>10:21</t>
  </si>
  <si>
    <t>10:28</t>
  </si>
  <si>
    <t>10:45</t>
  </si>
  <si>
    <t>19:44</t>
  </si>
  <si>
    <t>10:46</t>
  </si>
  <si>
    <t>19:43</t>
  </si>
  <si>
    <t>10:51</t>
  </si>
  <si>
    <t>11:04</t>
  </si>
  <si>
    <t>11:12</t>
  </si>
  <si>
    <t>12:00</t>
  </si>
  <si>
    <t>12:02</t>
  </si>
  <si>
    <t>12:11</t>
  </si>
  <si>
    <t>12:12</t>
  </si>
  <si>
    <t>12:13</t>
  </si>
  <si>
    <t>12:15</t>
  </si>
  <si>
    <t>12:26</t>
  </si>
  <si>
    <t>12:39</t>
  </si>
  <si>
    <t>12:40</t>
  </si>
  <si>
    <t>12:42</t>
  </si>
  <si>
    <t>13:19</t>
  </si>
  <si>
    <t>13:21</t>
  </si>
  <si>
    <t>13:22</t>
  </si>
  <si>
    <t>13:32</t>
  </si>
  <si>
    <t>13:46</t>
  </si>
  <si>
    <t>13:56</t>
  </si>
  <si>
    <t>14:12</t>
  </si>
  <si>
    <t>14:21</t>
  </si>
  <si>
    <t>14;47</t>
  </si>
  <si>
    <t>15;02</t>
  </si>
  <si>
    <t>15;04</t>
  </si>
  <si>
    <t>17:12</t>
  </si>
  <si>
    <t>16:46</t>
  </si>
  <si>
    <t>17:52</t>
  </si>
  <si>
    <t>17:53</t>
  </si>
  <si>
    <t>07:57</t>
  </si>
  <si>
    <t>16:32</t>
  </si>
  <si>
    <t>07:58</t>
  </si>
  <si>
    <t>07:59</t>
  </si>
  <si>
    <t>08:05</t>
  </si>
  <si>
    <t>18:13</t>
  </si>
  <si>
    <t>21;40</t>
  </si>
  <si>
    <t>13:35</t>
  </si>
  <si>
    <t>16:34</t>
  </si>
  <si>
    <t>16:33</t>
  </si>
  <si>
    <t>08:23</t>
  </si>
  <si>
    <t>08:33</t>
  </si>
  <si>
    <t>08:37</t>
  </si>
  <si>
    <t>17:29</t>
  </si>
  <si>
    <t>08:50</t>
  </si>
  <si>
    <t>17:31</t>
  </si>
  <si>
    <t>09:01</t>
  </si>
  <si>
    <t>09:03</t>
  </si>
  <si>
    <t>09:05</t>
  </si>
  <si>
    <t>18:36</t>
  </si>
  <si>
    <t>09:18</t>
  </si>
  <si>
    <t>09:29</t>
  </si>
  <si>
    <t>21;54</t>
  </si>
  <si>
    <t>07:50</t>
  </si>
  <si>
    <t>09:51</t>
  </si>
  <si>
    <t>09:56</t>
  </si>
  <si>
    <t>9:58</t>
  </si>
  <si>
    <t>19:00</t>
  </si>
  <si>
    <t>10:34</t>
  </si>
  <si>
    <t>10/;07</t>
  </si>
  <si>
    <t>10:11</t>
  </si>
  <si>
    <t>18:37</t>
  </si>
  <si>
    <t>10:13</t>
  </si>
  <si>
    <t>18:38</t>
  </si>
  <si>
    <t>10:26</t>
  </si>
  <si>
    <t>10:27</t>
  </si>
  <si>
    <t>10:32</t>
  </si>
  <si>
    <t>10:33</t>
  </si>
  <si>
    <t>10:41</t>
  </si>
  <si>
    <t>10:43</t>
  </si>
  <si>
    <t>10:42</t>
  </si>
  <si>
    <t>10:52</t>
  </si>
  <si>
    <t>10:54</t>
  </si>
  <si>
    <t>11:58</t>
  </si>
  <si>
    <t>11:07</t>
  </si>
  <si>
    <t>11:17</t>
  </si>
  <si>
    <t>18:35</t>
  </si>
  <si>
    <t>17:30</t>
  </si>
  <si>
    <t>12:17</t>
  </si>
  <si>
    <t>12:10</t>
  </si>
  <si>
    <t>12:18</t>
  </si>
  <si>
    <t>12:41</t>
  </si>
  <si>
    <t>13:23</t>
  </si>
  <si>
    <t>14:09</t>
  </si>
  <si>
    <t>15:53</t>
  </si>
  <si>
    <t>15:07</t>
  </si>
  <si>
    <t>15:08</t>
  </si>
  <si>
    <t>15:27</t>
  </si>
  <si>
    <t>17:20</t>
  </si>
  <si>
    <t>17:22</t>
  </si>
  <si>
    <t>17:33</t>
  </si>
  <si>
    <t>18:19</t>
  </si>
  <si>
    <t>18:24</t>
  </si>
  <si>
    <t>18:56</t>
  </si>
  <si>
    <t>19:01</t>
  </si>
  <si>
    <t>19:13</t>
  </si>
  <si>
    <t>19:15</t>
  </si>
  <si>
    <t>19:35</t>
  </si>
  <si>
    <t>19:50</t>
  </si>
  <si>
    <t>20;00</t>
  </si>
  <si>
    <t>20:04</t>
  </si>
  <si>
    <t>20:05</t>
  </si>
  <si>
    <t>20;33</t>
  </si>
  <si>
    <t>21;03</t>
  </si>
  <si>
    <t>21:05</t>
  </si>
  <si>
    <t>21;05</t>
  </si>
  <si>
    <t>21:11</t>
  </si>
  <si>
    <t>07:51</t>
  </si>
  <si>
    <t>07:52</t>
  </si>
  <si>
    <t>07:53</t>
  </si>
  <si>
    <t>07:56</t>
  </si>
  <si>
    <t>07:09</t>
  </si>
  <si>
    <t>08:01</t>
  </si>
  <si>
    <t>08:04</t>
  </si>
  <si>
    <t>ruan andrade</t>
  </si>
  <si>
    <t>08:30</t>
  </si>
  <si>
    <t>08:39</t>
  </si>
  <si>
    <t xml:space="preserve"> </t>
  </si>
  <si>
    <t>09:14</t>
  </si>
  <si>
    <t>09:46</t>
  </si>
  <si>
    <t>10:00</t>
  </si>
  <si>
    <t>10:18</t>
  </si>
  <si>
    <t>PONCIANO</t>
  </si>
  <si>
    <t>10:29</t>
  </si>
  <si>
    <t>10:30</t>
  </si>
  <si>
    <t>10:39</t>
  </si>
  <si>
    <t>10:40</t>
  </si>
  <si>
    <t>10:47</t>
  </si>
  <si>
    <t>10:48</t>
  </si>
  <si>
    <t>10:50</t>
  </si>
  <si>
    <t>shara</t>
  </si>
  <si>
    <t>ELEMENT</t>
  </si>
  <si>
    <t>10:56</t>
  </si>
  <si>
    <t>10:58</t>
  </si>
  <si>
    <t>11:00</t>
  </si>
  <si>
    <t>11:02</t>
  </si>
  <si>
    <t>11:03</t>
  </si>
  <si>
    <t>11:11</t>
  </si>
  <si>
    <t>11:18</t>
  </si>
  <si>
    <t>11:38</t>
  </si>
  <si>
    <t>📊  RESUMO GERAL DO EVENTO</t>
  </si>
  <si>
    <t>📅  FILTRO POR DATA — Selecione a data na célula H3 para filtrar os indicadores</t>
  </si>
  <si>
    <t>DATA FILTRO (deixe vazio = todos):</t>
  </si>
  <si>
    <t>📋 Datas disponíveis em Entrada e Saída:</t>
  </si>
  <si>
    <t>(Consulte coluna DATA em ⏱️ Entrada e Saída)</t>
  </si>
  <si>
    <t>⬆️ Digite ou selecione a data</t>
  </si>
  <si>
    <t>🔢  INDICADORES EM TEMPO REAL</t>
  </si>
  <si>
    <t>🟢 DENTRO DO EVENTO AGORA</t>
  </si>
  <si>
    <t>✅ FINALIZADOS</t>
  </si>
  <si>
    <t>⏳ NÃO ENTRARAM</t>
  </si>
  <si>
    <t>👥 TOTAL NO DIA</t>
  </si>
  <si>
    <t>⭐ COORDENADORES</t>
  </si>
  <si>
    <t>🏢 EMPRESAS</t>
  </si>
  <si>
    <t>⏱️  HORAS TRABALHADAS NO DIA FILTRADO</t>
  </si>
  <si>
    <t>TOTAL DE HORAS</t>
  </si>
  <si>
    <t>🏢  FUNCIONÁRIOS POR EMPRESA (DIA FILTRADO)</t>
  </si>
  <si>
    <t>TOTAL</t>
  </si>
  <si>
    <t>NO EVENTO</t>
  </si>
  <si>
    <t>FINALIZADOS</t>
  </si>
  <si>
    <t>NÃO ENTRARAM</t>
  </si>
  <si>
    <t>% PRESENÇA</t>
  </si>
  <si>
    <t>HORAS TRABALHADAS</t>
  </si>
  <si>
    <t>📌  INSTRUÇÕES DE USO</t>
  </si>
  <si>
    <t>1.</t>
  </si>
  <si>
    <t>Aba '📋 Empresas': cadastre todas as empresas prestadoras.</t>
  </si>
  <si>
    <t>2.</t>
  </si>
  <si>
    <t>Aba '👥 Funcionários': cadastre funcionários. Use o dropdown para selecionar a empresa.</t>
  </si>
  <si>
    <t>3.</t>
  </si>
  <si>
    <t>Aba '⏱️ Entrada e Saída': selecione o FUNCIONÁRIO pelo dropdown (col B). EMPRESA, FUNÇÃO e COORD preenchem automaticamente.</t>
  </si>
  <si>
    <t>4.</t>
  </si>
  <si>
    <t>Registre a DATA e clique nos campos de ENTRADA / SAÍDA para registrar o horário (formato HH:MM).</t>
  </si>
  <si>
    <t>5.</t>
  </si>
  <si>
    <t>As colunas HORAS e STATUS são calculadas automaticamente.</t>
  </si>
  <si>
    <t>6.</t>
  </si>
  <si>
    <t>Neste painel, use a célula amarela H3/H4 para filtrar por data. Vazio = todos os dias.</t>
  </si>
  <si>
    <t>✉️  MODELO DE MENSAGEM — CREDENCIAMENTO</t>
  </si>
  <si>
    <t>📢</t>
  </si>
  <si>
    <t>MENSAGEM PADRÃO PARA ENVIO ÀS EMPRESAS:</t>
  </si>
  <si>
    <t>Prezado(a) responsável,</t>
  </si>
  <si>
    <t>Peço que todas as empresas encaminhem os dados completos dos colaboradores que irão</t>
  </si>
  <si>
    <t>participar do credenciamento, preenchendo todas as informações corretamente e sem</t>
  </si>
  <si>
    <t>faltar nenhum dado.</t>
  </si>
  <si>
    <t>Ressalto também que, caso haja qualquer alteração de colaborador, substituição ou</t>
  </si>
  <si>
    <t>mudança de informações, é indispensável que seja avisado com antecedência, para</t>
  </si>
  <si>
    <t>evitar problemas no credenciamento e no acesso ao evento.</t>
  </si>
  <si>
    <t>Todos os colaboradores que irão trabalhar precisam estar devidamente informados na</t>
  </si>
  <si>
    <t>lista, com os dados corretos e atualizados.</t>
  </si>
  <si>
    <t>Conto com a colaboração de todos para mantermos a organização e agilidade no processo.</t>
  </si>
  <si>
    <t>Obrigado!</t>
  </si>
  <si>
    <t>🚨</t>
  </si>
  <si>
    <t>ATENÇÃO: COLOQUEM O NOME DA EMPRESA, RESPONSÁVEL E DESTAQUEM QUEM SÃO OS</t>
  </si>
  <si>
    <t>COORDENADORES, PARA QUE NÃO HAJA NENHUMA DIVERGÊNCIA NO CREDENCIAMENTO! 🚨</t>
  </si>
  <si>
    <t>📋</t>
  </si>
  <si>
    <t>DADOS NECESSÁRIOS POR COLABORADOR:</t>
  </si>
  <si>
    <t>✅</t>
  </si>
  <si>
    <t>Nome completo</t>
  </si>
  <si>
    <t>Função / Cargo</t>
  </si>
  <si>
    <t>Área de acesso</t>
  </si>
  <si>
    <t>Telefone de contato</t>
  </si>
  <si>
    <t>Indicar se é COORDENADOR (SIM / NÃO)</t>
  </si>
  <si>
    <t>Horário previsto de entrada e saída</t>
  </si>
  <si>
    <t>⚠️</t>
  </si>
  <si>
    <t>Informações incompletas ou divergentes podem impedir o acesso ao evento.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</si>
</sst>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00000000\-00"/>
    <numFmt numFmtId="165" formatCode="hh:mm"/>
    <numFmt numFmtId="166" formatCode="000&quot;.&quot;000&quot;.&quot;000&quot;-&quot;00"/>
    <numFmt numFmtId="167" formatCode="dd/mm/yyyy"/>
    <numFmt numFmtId="168" formatCode="[h]:mm"/>
    <numFmt numFmtId="169" formatCode="General"/>
    <numFmt numFmtId="170" formatCode="hh:mm:ss"/>
  </numFmts>
  <fonts count="56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sz val="10.0"/>
      <color rgb="FFFFFFFF"/>
      <name val="Arial"/>
    </font>
    <font>
      <color theme="1"/>
      <name val="Arial"/>
    </font>
    <font>
      <color rgb="FF000000"/>
      <name val="Roboto"/>
    </font>
    <font>
      <sz val="11.0"/>
      <color rgb="FF000000"/>
      <name val="Calibri"/>
    </font>
    <font>
      <sz val="11.0"/>
      <color rgb="FF000000"/>
      <name val="Roboto"/>
    </font>
    <font>
      <sz val="12.0"/>
      <color theme="1"/>
      <name val="-webkit-standard"/>
    </font>
    <font>
      <color rgb="FF434343"/>
      <name val="Roboto"/>
    </font>
    <font>
      <sz val="12.0"/>
      <color theme="1"/>
      <name val="Aptos"/>
    </font>
    <font>
      <sz val="12.0"/>
      <color theme="1"/>
      <name val="Aptos Narrow"/>
    </font>
    <font>
      <sz val="11.0"/>
      <color theme="1"/>
      <name val="Aptos Narrow"/>
    </font>
    <font>
      <color theme="1"/>
      <name val="Calibri"/>
      <scheme val="minor"/>
    </font>
    <font>
      <sz val="11.0"/>
      <color rgb="FF434343"/>
      <name val="Roboto"/>
    </font>
    <font>
      <sz val="11.0"/>
      <color theme="1"/>
      <name val="Arial"/>
    </font>
    <font>
      <sz val="12.0"/>
      <color theme="1"/>
      <name val="Arial"/>
    </font>
    <font>
      <b/>
      <sz val="15.0"/>
      <color rgb="FFFFFFFF"/>
      <name val="Arial"/>
    </font>
    <font>
      <b/>
      <sz val="9.0"/>
      <color rgb="FFFFFFFF"/>
      <name val="Arial"/>
    </font>
    <font>
      <sz val="10.0"/>
      <color theme="1"/>
      <name val="Arial"/>
    </font>
    <font>
      <sz val="10.0"/>
      <color rgb="FF16213E"/>
      <name val="Arial"/>
    </font>
    <font>
      <i/>
      <sz val="10.0"/>
      <color rgb="FF1A5276"/>
      <name val="Arial"/>
    </font>
    <font>
      <i/>
      <sz val="8.0"/>
      <color rgb="FF1E8449"/>
      <name val="Arial"/>
    </font>
    <font>
      <i/>
      <sz val="8.0"/>
      <color rgb="FFC0392B"/>
      <name val="Arial"/>
    </font>
    <font>
      <b/>
      <i/>
      <sz val="8.0"/>
      <color rgb="FF1E8449"/>
      <name val="Arial"/>
    </font>
    <font>
      <b/>
      <color rgb="FF1E8449"/>
      <name val="Arial"/>
    </font>
    <font>
      <sz val="8.0"/>
      <color rgb="FF1E8449"/>
      <name val="Arial"/>
    </font>
    <font>
      <i/>
      <sz val="9.0"/>
      <color rgb="FF1E8449"/>
      <name val="Arial"/>
    </font>
    <font>
      <b/>
      <sz val="9.0"/>
      <color rgb="FF1A1A2E"/>
      <name val="Arial"/>
    </font>
    <font>
      <b/>
      <sz val="9.0"/>
      <color rgb="FF16213E"/>
      <name val="Arial"/>
    </font>
    <font>
      <b/>
      <sz val="12.0"/>
      <color rgb="FF1A1A2E"/>
      <name val="Arial"/>
    </font>
    <font>
      <i/>
      <sz val="8.0"/>
      <color rgb="FF888888"/>
      <name val="Arial"/>
    </font>
    <font>
      <b/>
      <sz val="12.0"/>
      <color rgb="FFFFFFFF"/>
      <name val="Arial"/>
    </font>
    <font>
      <b/>
      <sz val="20.0"/>
      <color rgb="FF27AE60"/>
      <name val="Arial"/>
    </font>
    <font>
      <b/>
      <sz val="20.0"/>
      <color rgb="FF2980B9"/>
      <name val="Arial"/>
    </font>
    <font>
      <b/>
      <sz val="20.0"/>
      <color rgb="FFE67E22"/>
      <name val="Arial"/>
    </font>
    <font>
      <b/>
      <sz val="20.0"/>
      <color rgb="FF1A1A2E"/>
      <name val="Arial"/>
    </font>
    <font>
      <b/>
      <sz val="20.0"/>
      <color rgb="FF8E44AD"/>
      <name val="Arial"/>
    </font>
    <font>
      <b/>
      <sz val="20.0"/>
      <color rgb="FF2C3E50"/>
      <name val="Arial"/>
    </font>
    <font>
      <b/>
      <sz val="11.0"/>
      <color rgb="FFFFFFFF"/>
      <name val="Arial"/>
    </font>
    <font>
      <b/>
      <sz val="18.0"/>
      <color rgb="FF1A1A2E"/>
      <name val="Arial"/>
    </font>
    <font>
      <b/>
      <sz val="10.0"/>
      <color rgb="FF1A1A2E"/>
      <name val="Arial"/>
    </font>
    <font>
      <sz val="10.0"/>
      <color rgb="FF1A1A2E"/>
      <name val="Arial"/>
    </font>
    <font>
      <b/>
      <sz val="10.0"/>
      <color rgb="FF1E8449"/>
      <name val="Arial"/>
    </font>
    <font>
      <b/>
      <sz val="10.0"/>
      <color rgb="FF1A5276"/>
      <name val="Arial"/>
    </font>
    <font>
      <b/>
      <sz val="10.0"/>
      <color rgb="FF784212"/>
      <name val="Arial"/>
    </font>
    <font>
      <b/>
      <sz val="10.0"/>
      <color rgb="FF5B2C6F"/>
      <name val="Arial"/>
    </font>
    <font>
      <b/>
      <sz val="10.0"/>
      <color rgb="FFE94560"/>
      <name val="Arial"/>
    </font>
    <font>
      <sz val="10.0"/>
      <color rgb="FF2C3E50"/>
      <name val="Arial"/>
    </font>
    <font>
      <sz val="11.0"/>
      <color rgb="FF000000"/>
      <name val="Arial"/>
    </font>
    <font>
      <sz val="11.0"/>
      <color rgb="FF2C3E50"/>
      <name val="Arial"/>
    </font>
    <font>
      <b/>
      <sz val="14.0"/>
      <color rgb="FFE94560"/>
      <name val="Arial"/>
    </font>
    <font>
      <b/>
      <sz val="11.0"/>
      <color rgb="FFE94560"/>
      <name val="Arial"/>
    </font>
    <font>
      <b/>
      <sz val="11.0"/>
      <color rgb="FF1A1A2E"/>
      <name val="Arial"/>
    </font>
    <font>
      <sz val="11.0"/>
      <color rgb="FF27AE60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E94560"/>
        <bgColor rgb="FFE94560"/>
      </patternFill>
    </fill>
    <fill>
      <patternFill patternType="solid">
        <fgColor rgb="FF16213E"/>
        <bgColor rgb="FF16213E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1E8449"/>
        <bgColor rgb="FF1E8449"/>
      </patternFill>
    </fill>
    <fill>
      <patternFill patternType="solid">
        <fgColor rgb="FFC0392B"/>
        <bgColor rgb="FFC0392B"/>
      </patternFill>
    </fill>
    <fill>
      <patternFill patternType="solid">
        <fgColor rgb="FFDDEEFF"/>
        <bgColor rgb="FFDDEEFF"/>
      </patternFill>
    </fill>
    <fill>
      <patternFill patternType="solid">
        <fgColor rgb="FFE9F7EF"/>
        <bgColor rgb="FFE9F7EF"/>
      </patternFill>
    </fill>
    <fill>
      <patternFill patternType="solid">
        <fgColor rgb="FFFDEDEC"/>
        <bgColor rgb="FFFDEDEC"/>
      </patternFill>
    </fill>
    <fill>
      <patternFill patternType="solid">
        <fgColor rgb="FFEAF2FF"/>
        <bgColor rgb="FFEAF2FF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D5F5E3"/>
        <bgColor rgb="FFD5F5E3"/>
      </patternFill>
    </fill>
    <fill>
      <patternFill patternType="solid">
        <fgColor rgb="FFFFF9C4"/>
        <bgColor rgb="FFFFF9C4"/>
      </patternFill>
    </fill>
    <fill>
      <patternFill patternType="solid">
        <fgColor rgb="FFFFF176"/>
        <bgColor rgb="FFFFF176"/>
      </patternFill>
    </fill>
    <fill>
      <patternFill patternType="solid">
        <fgColor rgb="FF27AE60"/>
        <bgColor rgb="FF27AE60"/>
      </patternFill>
    </fill>
    <fill>
      <patternFill patternType="solid">
        <fgColor rgb="FF2980B9"/>
        <bgColor rgb="FF2980B9"/>
      </patternFill>
    </fill>
    <fill>
      <patternFill patternType="solid">
        <fgColor rgb="FFE67E22"/>
        <bgColor rgb="FFE67E22"/>
      </patternFill>
    </fill>
    <fill>
      <patternFill patternType="solid">
        <fgColor rgb="FF8E44AD"/>
        <bgColor rgb="FF8E44AD"/>
      </patternFill>
    </fill>
    <fill>
      <patternFill patternType="solid">
        <fgColor rgb="FF2C3E50"/>
        <bgColor rgb="FF2C3E50"/>
      </patternFill>
    </fill>
    <fill>
      <patternFill patternType="solid">
        <fgColor rgb="FFC27BA0"/>
        <bgColor rgb="FFC27BA0"/>
      </patternFill>
    </fill>
  </fills>
  <borders count="22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shrinkToFit="0" vertical="bottom" wrapText="0"/>
    </xf>
    <xf borderId="4" fillId="4" fontId="4" numFmtId="0" xfId="0" applyAlignment="1" applyBorder="1" applyFill="1" applyFont="1">
      <alignment horizontal="center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readingOrder="0" shrinkToFit="0" vertical="center" wrapText="1"/>
    </xf>
    <xf borderId="4" fillId="6" fontId="3" numFmtId="0" xfId="0" applyAlignment="1" applyBorder="1" applyFont="1">
      <alignment horizontal="center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7" fontId="3" numFmtId="0" xfId="0" applyAlignment="1" applyBorder="1" applyFont="1">
      <alignment horizontal="left" readingOrder="0" shrinkToFit="0" vertical="center" wrapText="1"/>
    </xf>
    <xf borderId="4" fillId="7" fontId="3" numFmtId="0" xfId="0" applyAlignment="1" applyBorder="1" applyFont="1">
      <alignment horizontal="left" shrinkToFit="0" vertical="center" wrapText="1"/>
    </xf>
    <xf borderId="4" fillId="5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shrinkToFit="0" vertical="bottom" wrapText="0"/>
    </xf>
    <xf borderId="5" fillId="4" fontId="4" numFmtId="0" xfId="0" applyAlignment="1" applyBorder="1" applyFont="1">
      <alignment horizontal="center" shrinkToFit="0" vertical="center" wrapText="1"/>
    </xf>
    <xf borderId="6" fillId="6" fontId="3" numFmtId="0" xfId="0" applyAlignment="1" applyBorder="1" applyFont="1">
      <alignment horizontal="center" shrinkToFit="0" vertical="center" wrapText="1"/>
    </xf>
    <xf borderId="6" fillId="6" fontId="3" numFmtId="0" xfId="0" applyAlignment="1" applyBorder="1" applyFont="1">
      <alignment horizontal="center" readingOrder="0" shrinkToFit="0" vertical="center" wrapText="1"/>
    </xf>
    <xf borderId="6" fillId="6" fontId="4" numFmtId="0" xfId="0" applyAlignment="1" applyBorder="1" applyFont="1">
      <alignment horizontal="center" readingOrder="0" shrinkToFit="0" vertical="center" wrapText="1"/>
    </xf>
    <xf borderId="7" fillId="6" fontId="3" numFmtId="0" xfId="0" applyAlignment="1" applyBorder="1" applyFont="1">
      <alignment horizontal="center" shrinkToFit="0" vertical="center" wrapText="1"/>
    </xf>
    <xf borderId="8" fillId="6" fontId="3" numFmtId="0" xfId="0" applyAlignment="1" applyBorder="1" applyFont="1">
      <alignment horizontal="center" shrinkToFit="0" vertical="center" wrapText="1"/>
    </xf>
    <xf borderId="9" fillId="6" fontId="3" numFmtId="0" xfId="0" applyAlignment="1" applyBorder="1" applyFont="1">
      <alignment horizontal="center" readingOrder="0" shrinkToFit="0" vertical="center" wrapText="1"/>
    </xf>
    <xf borderId="8" fillId="6" fontId="3" numFmtId="0" xfId="0" applyAlignment="1" applyBorder="1" applyFont="1">
      <alignment horizontal="center" readingOrder="0" shrinkToFit="0" vertical="center" wrapText="1"/>
    </xf>
    <xf borderId="9" fillId="6" fontId="3" numFmtId="0" xfId="0" applyAlignment="1" applyBorder="1" applyFont="1">
      <alignment horizontal="center" shrinkToFit="0" vertical="center" wrapText="1"/>
    </xf>
    <xf borderId="6" fillId="6" fontId="5" numFmtId="0" xfId="0" applyAlignment="1" applyBorder="1" applyFont="1">
      <alignment horizontal="center"/>
    </xf>
    <xf borderId="6" fillId="6" fontId="5" numFmtId="0" xfId="0" applyAlignment="1" applyBorder="1" applyFont="1">
      <alignment horizontal="center" shrinkToFit="0" wrapText="1"/>
    </xf>
    <xf borderId="6" fillId="6" fontId="3" numFmtId="0" xfId="0" applyAlignment="1" applyBorder="1" applyFont="1">
      <alignment horizontal="left" readingOrder="0" shrinkToFit="0" vertical="center" wrapText="1"/>
    </xf>
    <xf borderId="6" fillId="6" fontId="3" numFmtId="0" xfId="0" applyAlignment="1" applyBorder="1" applyFont="1">
      <alignment horizontal="left" shrinkToFit="0" vertical="center" wrapText="1"/>
    </xf>
    <xf borderId="10" fillId="6" fontId="3" numFmtId="0" xfId="0" applyAlignment="1" applyBorder="1" applyFont="1">
      <alignment horizontal="center" readingOrder="0" shrinkToFit="0" vertical="center" wrapText="1"/>
    </xf>
    <xf borderId="7" fillId="6" fontId="3" numFmtId="0" xfId="0" applyAlignment="1" applyBorder="1" applyFont="1">
      <alignment horizontal="center" readingOrder="0" shrinkToFit="0" vertical="center" wrapText="1"/>
    </xf>
    <xf borderId="9" fillId="6" fontId="3" numFmtId="0" xfId="0" applyAlignment="1" applyBorder="1" applyFont="1">
      <alignment horizontal="left" shrinkToFit="0" vertical="center" wrapText="1"/>
    </xf>
    <xf borderId="8" fillId="6" fontId="3" numFmtId="0" xfId="0" applyAlignment="1" applyBorder="1" applyFont="1">
      <alignment horizontal="center" readingOrder="0" shrinkToFit="0" vertical="bottom" wrapText="0"/>
    </xf>
    <xf borderId="8" fillId="6" fontId="3" numFmtId="0" xfId="0" applyAlignment="1" applyBorder="1" applyFont="1">
      <alignment horizontal="center" shrinkToFit="0" vertical="bottom" wrapText="0"/>
    </xf>
    <xf borderId="8" fillId="0" fontId="3" numFmtId="0" xfId="0" applyAlignment="1" applyBorder="1" applyFont="1">
      <alignment horizontal="center" readingOrder="0"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8" fillId="0" fontId="3" numFmtId="0" xfId="0" applyAlignment="1" applyBorder="1" applyFont="1">
      <alignment horizontal="center" shrinkToFit="0" vertical="bottom" wrapText="0"/>
    </xf>
    <xf borderId="8" fillId="7" fontId="6" numFmtId="0" xfId="0" applyAlignment="1" applyBorder="1" applyFont="1">
      <alignment horizontal="center" shrinkToFit="0" wrapText="0"/>
    </xf>
    <xf quotePrefix="1" borderId="8" fillId="7" fontId="6" numFmtId="0" xfId="0" applyAlignment="1" applyBorder="1" applyFont="1">
      <alignment horizontal="center" shrinkToFit="0" wrapText="0"/>
    </xf>
    <xf borderId="8" fillId="7" fontId="7" numFmtId="0" xfId="0" applyAlignment="1" applyBorder="1" applyFont="1">
      <alignment horizontal="center" readingOrder="0" shrinkToFit="0" vertical="bottom" wrapText="0"/>
    </xf>
    <xf borderId="11" fillId="7" fontId="6" numFmtId="0" xfId="0" applyAlignment="1" applyBorder="1" applyFont="1">
      <alignment horizontal="center" shrinkToFit="0" wrapText="0"/>
    </xf>
    <xf borderId="8" fillId="7" fontId="8" numFmtId="0" xfId="0" applyAlignment="1" applyBorder="1" applyFont="1">
      <alignment horizontal="center" readingOrder="0" shrinkToFit="0" vertical="bottom" wrapText="0"/>
    </xf>
    <xf borderId="8" fillId="7" fontId="8" numFmtId="0" xfId="0" applyAlignment="1" applyBorder="1" applyFont="1">
      <alignment horizontal="center" readingOrder="0" shrinkToFit="0" vertical="bottom" wrapText="0"/>
    </xf>
    <xf borderId="8" fillId="7" fontId="3" numFmtId="0" xfId="0" applyAlignment="1" applyBorder="1" applyFont="1">
      <alignment horizontal="center" readingOrder="0" shrinkToFit="0" vertical="bottom" wrapText="0"/>
    </xf>
    <xf borderId="8" fillId="7" fontId="9" numFmtId="0" xfId="0" applyAlignment="1" applyBorder="1" applyFont="1">
      <alignment horizontal="center" vertical="bottom"/>
    </xf>
    <xf borderId="8" fillId="7" fontId="10" numFmtId="0" xfId="0" applyAlignment="1" applyBorder="1" applyFont="1">
      <alignment horizontal="center" shrinkToFit="0" wrapText="1"/>
    </xf>
    <xf borderId="8" fillId="7" fontId="9" numFmtId="164" xfId="0" applyAlignment="1" applyBorder="1" applyFont="1" applyNumberFormat="1">
      <alignment horizontal="center"/>
    </xf>
    <xf borderId="8" fillId="7" fontId="11" numFmtId="0" xfId="0" applyAlignment="1" applyBorder="1" applyFont="1">
      <alignment horizontal="center"/>
    </xf>
    <xf borderId="8" fillId="7" fontId="9" numFmtId="0" xfId="0" applyAlignment="1" applyBorder="1" applyFont="1">
      <alignment horizontal="center" readingOrder="0" shrinkToFit="0" vertical="bottom" wrapText="0"/>
    </xf>
    <xf borderId="12" fillId="0" fontId="12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horizontal="center" shrinkToFit="0" vertical="top" wrapText="1"/>
    </xf>
    <xf borderId="8" fillId="0" fontId="12" numFmtId="0" xfId="0" applyAlignment="1" applyBorder="1" applyFont="1">
      <alignment horizontal="center" vertical="top"/>
    </xf>
    <xf borderId="12" fillId="0" fontId="12" numFmtId="0" xfId="0" applyAlignment="1" applyBorder="1" applyFont="1">
      <alignment horizontal="center"/>
    </xf>
    <xf borderId="12" fillId="0" fontId="12" numFmtId="0" xfId="0" applyAlignment="1" applyBorder="1" applyFont="1">
      <alignment horizontal="center" vertical="bottom"/>
    </xf>
    <xf borderId="8" fillId="0" fontId="13" numFmtId="0" xfId="0" applyAlignment="1" applyBorder="1" applyFont="1">
      <alignment horizontal="center" vertical="bottom"/>
    </xf>
    <xf borderId="13" fillId="0" fontId="12" numFmtId="0" xfId="0" applyAlignment="1" applyBorder="1" applyFont="1">
      <alignment horizontal="center" shrinkToFit="0" vertical="top" wrapText="1"/>
    </xf>
    <xf borderId="8" fillId="0" fontId="11" numFmtId="0" xfId="0" applyAlignment="1" applyBorder="1" applyFont="1">
      <alignment horizontal="center" shrinkToFit="0" vertical="top" wrapText="1"/>
    </xf>
    <xf borderId="8" fillId="0" fontId="12" numFmtId="0" xfId="0" applyAlignment="1" applyBorder="1" applyFont="1">
      <alignment horizontal="center"/>
    </xf>
    <xf borderId="8" fillId="0" fontId="3" numFmtId="0" xfId="0" applyAlignment="1" applyBorder="1" applyFont="1">
      <alignment shrinkToFit="0" vertical="bottom" wrapText="0"/>
    </xf>
    <xf borderId="8" fillId="0" fontId="12" numFmtId="0" xfId="0" applyAlignment="1" applyBorder="1" applyFont="1">
      <alignment horizontal="center" readingOrder="0" shrinkToFit="0" vertical="bottom" wrapText="0"/>
    </xf>
    <xf borderId="0" fillId="0" fontId="14" numFmtId="0" xfId="0" applyAlignment="1" applyFont="1">
      <alignment horizontal="center" readingOrder="0"/>
    </xf>
    <xf borderId="8" fillId="7" fontId="10" numFmtId="0" xfId="0" applyAlignment="1" applyBorder="1" applyFont="1">
      <alignment horizontal="center" shrinkToFit="0" wrapText="0"/>
    </xf>
    <xf borderId="8" fillId="8" fontId="10" numFmtId="0" xfId="0" applyAlignment="1" applyBorder="1" applyFill="1" applyFont="1">
      <alignment horizontal="center" shrinkToFit="0" wrapText="0"/>
    </xf>
    <xf quotePrefix="1" borderId="8" fillId="7" fontId="10" numFmtId="0" xfId="0" applyAlignment="1" applyBorder="1" applyFont="1">
      <alignment horizontal="center" shrinkToFit="0" wrapText="0"/>
    </xf>
    <xf quotePrefix="1" borderId="8" fillId="8" fontId="10" numFmtId="0" xfId="0" applyAlignment="1" applyBorder="1" applyFont="1">
      <alignment horizontal="center" shrinkToFit="0" wrapText="0"/>
    </xf>
    <xf borderId="8" fillId="8" fontId="5" numFmtId="0" xfId="0" applyAlignment="1" applyBorder="1" applyFont="1">
      <alignment horizontal="center"/>
    </xf>
    <xf borderId="8" fillId="8" fontId="7" numFmtId="0" xfId="0" applyAlignment="1" applyBorder="1" applyFont="1">
      <alignment horizontal="center" readingOrder="0" shrinkToFit="0" vertical="bottom" wrapText="0"/>
    </xf>
    <xf borderId="8" fillId="8" fontId="15" numFmtId="0" xfId="0" applyAlignment="1" applyBorder="1" applyFont="1">
      <alignment horizontal="center" readingOrder="0" shrinkToFit="0" vertical="bottom" wrapText="0"/>
    </xf>
    <xf borderId="8" fillId="8" fontId="15" numFmtId="0" xfId="0" applyAlignment="1" applyBorder="1" applyFont="1">
      <alignment horizontal="center" readingOrder="0" shrinkToFit="0" vertical="bottom" wrapText="0"/>
    </xf>
    <xf borderId="8" fillId="0" fontId="9" numFmtId="0" xfId="0" applyAlignment="1" applyBorder="1" applyFont="1">
      <alignment horizontal="center" vertical="bottom"/>
    </xf>
    <xf borderId="8" fillId="0" fontId="9" numFmtId="164" xfId="0" applyAlignment="1" applyBorder="1" applyFont="1" applyNumberFormat="1">
      <alignment horizontal="center" vertical="bottom"/>
    </xf>
    <xf borderId="8" fillId="7" fontId="10" numFmtId="164" xfId="0" applyAlignment="1" applyBorder="1" applyFont="1" applyNumberFormat="1">
      <alignment horizontal="center" shrinkToFit="0" wrapText="1"/>
    </xf>
    <xf borderId="8" fillId="0" fontId="3" numFmtId="0" xfId="0" applyAlignment="1" applyBorder="1" applyFont="1">
      <alignment horizontal="center"/>
    </xf>
    <xf borderId="14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8" fillId="7" fontId="3" numFmtId="0" xfId="0" applyAlignment="1" applyBorder="1" applyFont="1">
      <alignment horizontal="center"/>
    </xf>
    <xf borderId="8" fillId="0" fontId="14" numFmtId="0" xfId="0" applyAlignment="1" applyBorder="1" applyFont="1">
      <alignment horizontal="center" readingOrder="0"/>
    </xf>
    <xf borderId="8" fillId="0" fontId="16" numFmtId="0" xfId="0" applyAlignment="1" applyBorder="1" applyFont="1">
      <alignment horizontal="center" shrinkToFit="0" wrapText="1"/>
    </xf>
    <xf borderId="8" fillId="0" fontId="9" numFmtId="164" xfId="0" applyAlignment="1" applyBorder="1" applyFont="1" applyNumberFormat="1">
      <alignment vertical="bottom"/>
    </xf>
    <xf borderId="8" fillId="0" fontId="3" numFmtId="165" xfId="0" applyAlignment="1" applyBorder="1" applyFont="1" applyNumberFormat="1">
      <alignment readingOrder="0" shrinkToFit="0" vertical="bottom" wrapText="0"/>
    </xf>
    <xf borderId="8" fillId="0" fontId="5" numFmtId="0" xfId="0" applyBorder="1" applyFont="1"/>
    <xf borderId="8" fillId="0" fontId="5" numFmtId="0" xfId="0" applyAlignment="1" applyBorder="1" applyFont="1">
      <alignment horizontal="center"/>
    </xf>
    <xf borderId="8" fillId="0" fontId="5" numFmtId="166" xfId="0" applyAlignment="1" applyBorder="1" applyFont="1" applyNumberFormat="1">
      <alignment horizontal="center"/>
    </xf>
    <xf borderId="8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vertical="bottom"/>
    </xf>
    <xf borderId="15" fillId="0" fontId="5" numFmtId="164" xfId="0" applyAlignment="1" applyBorder="1" applyFont="1" applyNumberFormat="1">
      <alignment horizontal="center" vertical="bottom"/>
    </xf>
    <xf borderId="8" fillId="0" fontId="5" numFmtId="0" xfId="0" applyAlignment="1" applyBorder="1" applyFont="1">
      <alignment vertical="bottom"/>
    </xf>
    <xf borderId="8" fillId="0" fontId="5" numFmtId="164" xfId="0" applyAlignment="1" applyBorder="1" applyFont="1" applyNumberFormat="1">
      <alignment horizontal="center" vertical="bottom"/>
    </xf>
    <xf borderId="8" fillId="0" fontId="9" numFmtId="0" xfId="0" applyAlignment="1" applyBorder="1" applyFont="1">
      <alignment vertical="bottom"/>
    </xf>
    <xf borderId="8" fillId="0" fontId="16" numFmtId="0" xfId="0" applyBorder="1" applyFont="1"/>
    <xf borderId="8" fillId="0" fontId="16" numFmtId="166" xfId="0" applyAlignment="1" applyBorder="1" applyFont="1" applyNumberFormat="1">
      <alignment horizontal="center"/>
    </xf>
    <xf borderId="8" fillId="0" fontId="17" numFmtId="0" xfId="0" applyAlignment="1" applyBorder="1" applyFont="1">
      <alignment readingOrder="0" vertical="bottom"/>
    </xf>
    <xf borderId="8" fillId="0" fontId="3" numFmtId="164" xfId="0" applyAlignment="1" applyBorder="1" applyFont="1" applyNumberFormat="1">
      <alignment horizontal="center" readingOrder="0" vertical="bottom"/>
    </xf>
    <xf borderId="8" fillId="0" fontId="3" numFmtId="164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8" fillId="7" fontId="10" numFmtId="0" xfId="0" applyAlignment="1" applyBorder="1" applyFont="1">
      <alignment shrinkToFit="0" wrapText="1"/>
    </xf>
    <xf borderId="8" fillId="0" fontId="16" numFmtId="0" xfId="0" applyAlignment="1" applyBorder="1" applyFont="1">
      <alignment horizontal="center" shrinkToFit="0" vertical="center" wrapText="1"/>
    </xf>
    <xf borderId="8" fillId="0" fontId="16" numFmtId="0" xfId="0" applyAlignment="1" applyBorder="1" applyFont="1">
      <alignment horizontal="center"/>
    </xf>
    <xf borderId="8" fillId="7" fontId="16" numFmtId="0" xfId="0" applyAlignment="1" applyBorder="1" applyFont="1">
      <alignment horizontal="center" shrinkToFit="0" wrapText="1"/>
    </xf>
    <xf borderId="8" fillId="0" fontId="9" numFmtId="164" xfId="0" applyAlignment="1" applyBorder="1" applyFont="1" applyNumberFormat="1">
      <alignment horizontal="center"/>
    </xf>
    <xf borderId="8" fillId="0" fontId="9" numFmtId="0" xfId="0" applyAlignment="1" applyBorder="1" applyFont="1">
      <alignment vertical="bottom"/>
    </xf>
    <xf borderId="8" fillId="0" fontId="11" numFmtId="0" xfId="0" applyAlignment="1" applyBorder="1" applyFont="1">
      <alignment horizontal="center"/>
    </xf>
    <xf borderId="8" fillId="7" fontId="10" numFmtId="0" xfId="0" applyAlignment="1" applyBorder="1" applyFont="1">
      <alignment horizontal="center" shrinkToFit="0" wrapText="0"/>
    </xf>
    <xf borderId="8" fillId="7" fontId="10" numFmtId="0" xfId="0" applyAlignment="1" applyBorder="1" applyFont="1">
      <alignment horizontal="center" readingOrder="0" shrinkToFit="0" wrapText="0"/>
    </xf>
    <xf borderId="8" fillId="7" fontId="3" numFmtId="0" xfId="0" applyAlignment="1" applyBorder="1" applyFont="1">
      <alignment horizontal="center" shrinkToFit="0" vertical="bottom" wrapText="0"/>
    </xf>
    <xf borderId="8" fillId="7" fontId="10" numFmtId="0" xfId="0" applyAlignment="1" applyBorder="1" applyFont="1">
      <alignment horizontal="center" readingOrder="0" shrinkToFit="0" wrapText="0"/>
    </xf>
    <xf borderId="8" fillId="7" fontId="15" numFmtId="0" xfId="0" applyAlignment="1" applyBorder="1" applyFont="1">
      <alignment horizontal="center" readingOrder="0" shrinkToFit="0" vertical="bottom" wrapText="0"/>
    </xf>
    <xf borderId="0" fillId="0" fontId="14" numFmtId="0" xfId="0" applyAlignment="1" applyFont="1">
      <alignment readingOrder="0"/>
    </xf>
    <xf borderId="1" fillId="2" fontId="1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bottom" wrapText="0"/>
    </xf>
    <xf borderId="4" fillId="9" fontId="19" numFmtId="0" xfId="0" applyAlignment="1" applyBorder="1" applyFill="1" applyFont="1">
      <alignment horizontal="center" shrinkToFit="0" vertical="center" wrapText="1"/>
    </xf>
    <xf borderId="4" fillId="10" fontId="19" numFmtId="0" xfId="0" applyAlignment="1" applyBorder="1" applyFill="1" applyFont="1">
      <alignment horizontal="center" shrinkToFit="0" vertical="center" wrapText="1"/>
    </xf>
    <xf borderId="16" fillId="7" fontId="20" numFmtId="0" xfId="0" applyAlignment="1" applyBorder="1" applyFont="1">
      <alignment shrinkToFit="0" vertical="bottom" wrapText="0"/>
    </xf>
    <xf borderId="4" fillId="6" fontId="21" numFmtId="0" xfId="0" applyAlignment="1" applyBorder="1" applyFont="1">
      <alignment horizontal="center" shrinkToFit="0" vertical="center" wrapText="1"/>
    </xf>
    <xf borderId="4" fillId="6" fontId="20" numFmtId="0" xfId="0" applyAlignment="1" applyBorder="1" applyFont="1">
      <alignment horizontal="left" readingOrder="0" shrinkToFit="0" vertical="center" wrapText="1"/>
    </xf>
    <xf borderId="4" fillId="11" fontId="22" numFmtId="0" xfId="0" applyAlignment="1" applyBorder="1" applyFill="1" applyFont="1">
      <alignment horizontal="center" shrinkToFit="0" vertical="center" wrapText="1"/>
    </xf>
    <xf borderId="4" fillId="5" fontId="20" numFmtId="167" xfId="0" applyAlignment="1" applyBorder="1" applyFont="1" applyNumberFormat="1">
      <alignment horizontal="center" readingOrder="0" shrinkToFit="0" vertical="center" wrapText="1"/>
    </xf>
    <xf borderId="4" fillId="12" fontId="23" numFmtId="0" xfId="0" applyAlignment="1" applyBorder="1" applyFill="1" applyFont="1">
      <alignment horizontal="center" shrinkToFit="0" vertical="center" wrapText="1"/>
    </xf>
    <xf borderId="4" fillId="6" fontId="20" numFmtId="49" xfId="0" applyAlignment="1" applyBorder="1" applyFont="1" applyNumberFormat="1">
      <alignment horizontal="center" readingOrder="0" shrinkToFit="0" vertical="center" wrapText="1"/>
    </xf>
    <xf borderId="4" fillId="13" fontId="24" numFmtId="0" xfId="0" applyAlignment="1" applyBorder="1" applyFill="1" applyFont="1">
      <alignment horizontal="center" shrinkToFit="0" vertical="center" wrapText="1"/>
    </xf>
    <xf borderId="4" fillId="6" fontId="20" numFmtId="168" xfId="0" applyAlignment="1" applyBorder="1" applyFont="1" applyNumberFormat="1">
      <alignment horizontal="center" readingOrder="0" shrinkToFit="0" vertical="center" wrapText="1"/>
    </xf>
    <xf borderId="4" fillId="7" fontId="20" numFmtId="0" xfId="0" applyAlignment="1" applyBorder="1" applyFont="1">
      <alignment horizontal="center" shrinkToFit="0" vertical="center" wrapText="1"/>
    </xf>
    <xf borderId="4" fillId="14" fontId="22" numFmtId="0" xfId="0" applyAlignment="1" applyBorder="1" applyFill="1" applyFont="1">
      <alignment horizontal="center" readingOrder="0" shrinkToFit="0" vertical="center" wrapText="1"/>
    </xf>
    <xf borderId="4" fillId="6" fontId="20" numFmtId="165" xfId="0" applyAlignment="1" applyBorder="1" applyFont="1" applyNumberFormat="1">
      <alignment horizontal="center" readingOrder="0" shrinkToFit="0" vertical="center" wrapText="1"/>
    </xf>
    <xf borderId="4" fillId="5" fontId="20" numFmtId="0" xfId="0" applyAlignment="1" applyBorder="1" applyFont="1">
      <alignment horizontal="center" shrinkToFit="0" vertical="center" wrapText="1"/>
    </xf>
    <xf borderId="4" fillId="14" fontId="22" numFmtId="0" xfId="0" applyAlignment="1" applyBorder="1" applyFont="1">
      <alignment horizontal="center" shrinkToFit="0" vertical="center" wrapText="1"/>
    </xf>
    <xf borderId="4" fillId="11" fontId="22" numFmtId="0" xfId="0" applyAlignment="1" applyBorder="1" applyFont="1">
      <alignment horizontal="center" readingOrder="0" shrinkToFit="0" vertical="center" wrapText="1"/>
    </xf>
    <xf borderId="4" fillId="6" fontId="3" numFmtId="0" xfId="0" applyAlignment="1" applyBorder="1" applyFont="1">
      <alignment horizontal="left" readingOrder="0" shrinkToFit="0" vertical="center" wrapText="1"/>
    </xf>
    <xf borderId="4" fillId="6" fontId="20" numFmtId="168" xfId="0" applyAlignment="1" applyBorder="1" applyFont="1" applyNumberFormat="1">
      <alignment horizontal="center" shrinkToFit="0" vertical="center" wrapText="1"/>
    </xf>
    <xf borderId="4" fillId="6" fontId="20" numFmtId="0" xfId="0" applyAlignment="1" applyBorder="1" applyFont="1">
      <alignment horizontal="center" shrinkToFit="0" vertical="center" wrapText="1"/>
    </xf>
    <xf borderId="4" fillId="15" fontId="20" numFmtId="0" xfId="0" applyAlignment="1" applyBorder="1" applyFill="1" applyFont="1">
      <alignment horizontal="left" readingOrder="0" shrinkToFit="0" vertical="center" wrapText="1"/>
    </xf>
    <xf borderId="4" fillId="15" fontId="22" numFmtId="0" xfId="0" applyAlignment="1" applyBorder="1" applyFont="1">
      <alignment horizontal="center" readingOrder="0" shrinkToFit="0" vertical="center" wrapText="1"/>
    </xf>
    <xf borderId="4" fillId="15" fontId="22" numFmtId="0" xfId="0" applyAlignment="1" applyBorder="1" applyFont="1">
      <alignment horizontal="center" shrinkToFit="0" vertical="center" wrapText="1"/>
    </xf>
    <xf borderId="4" fillId="15" fontId="20" numFmtId="167" xfId="0" applyAlignment="1" applyBorder="1" applyFont="1" applyNumberFormat="1">
      <alignment horizontal="center" readingOrder="0" shrinkToFit="0" vertical="center" wrapText="1"/>
    </xf>
    <xf borderId="4" fillId="15" fontId="23" numFmtId="0" xfId="0" applyAlignment="1" applyBorder="1" applyFont="1">
      <alignment horizontal="center" shrinkToFit="0" vertical="center" wrapText="1"/>
    </xf>
    <xf borderId="4" fillId="15" fontId="20" numFmtId="49" xfId="0" applyAlignment="1" applyBorder="1" applyFont="1" applyNumberFormat="1">
      <alignment horizontal="center" readingOrder="0" shrinkToFit="0" vertical="center" wrapText="1"/>
    </xf>
    <xf borderId="4" fillId="15" fontId="24" numFmtId="0" xfId="0" applyAlignment="1" applyBorder="1" applyFont="1">
      <alignment horizontal="center" shrinkToFit="0" vertical="center" wrapText="1"/>
    </xf>
    <xf borderId="4" fillId="15" fontId="20" numFmtId="165" xfId="0" applyAlignment="1" applyBorder="1" applyFont="1" applyNumberFormat="1">
      <alignment horizontal="center" readingOrder="0" shrinkToFit="0" vertical="center" wrapText="1"/>
    </xf>
    <xf borderId="4" fillId="15" fontId="20" numFmtId="169" xfId="0" applyAlignment="1" applyBorder="1" applyFont="1" applyNumberFormat="1">
      <alignment horizontal="center" shrinkToFit="0" vertical="center" wrapText="1"/>
    </xf>
    <xf borderId="4" fillId="15" fontId="20" numFmtId="0" xfId="0" applyAlignment="1" applyBorder="1" applyFont="1">
      <alignment horizontal="center" shrinkToFit="0" vertical="center" wrapText="1"/>
    </xf>
    <xf borderId="4" fillId="6" fontId="20" numFmtId="167" xfId="0" applyAlignment="1" applyBorder="1" applyFont="1" applyNumberFormat="1">
      <alignment horizontal="center" readingOrder="0" shrinkToFit="0" vertical="center" wrapText="1"/>
    </xf>
    <xf borderId="4" fillId="6" fontId="20" numFmtId="169" xfId="0" applyAlignment="1" applyBorder="1" applyFont="1" applyNumberFormat="1">
      <alignment horizontal="center" shrinkToFit="0" vertical="center" wrapText="1"/>
    </xf>
    <xf borderId="4" fillId="15" fontId="22" numFmtId="0" xfId="0" applyAlignment="1" applyBorder="1" applyFont="1">
      <alignment horizontal="left" shrinkToFit="0" vertical="center" wrapText="1"/>
    </xf>
    <xf borderId="4" fillId="15" fontId="20" numFmtId="165" xfId="0" applyAlignment="1" applyBorder="1" applyFont="1" applyNumberFormat="1">
      <alignment horizontal="center" shrinkToFit="0" vertical="center" wrapText="1"/>
    </xf>
    <xf borderId="4" fillId="6" fontId="5" numFmtId="167" xfId="0" applyAlignment="1" applyBorder="1" applyFont="1" applyNumberFormat="1">
      <alignment horizontal="center" shrinkToFit="0" wrapText="1"/>
    </xf>
    <xf borderId="4" fillId="11" fontId="22" numFmtId="0" xfId="0" applyAlignment="1" applyBorder="1" applyFont="1">
      <alignment horizontal="left" shrinkToFit="0" vertical="center" wrapText="1"/>
    </xf>
    <xf borderId="4" fillId="14" fontId="22" numFmtId="0" xfId="0" applyAlignment="1" applyBorder="1" applyFont="1">
      <alignment horizontal="left" shrinkToFit="0" vertical="center" wrapText="1"/>
    </xf>
    <xf borderId="4" fillId="15" fontId="20" numFmtId="0" xfId="0" applyAlignment="1" applyBorder="1" applyFont="1">
      <alignment horizontal="left" shrinkToFit="0" vertical="center" wrapText="1"/>
    </xf>
    <xf borderId="4" fillId="15" fontId="20" numFmtId="167" xfId="0" applyAlignment="1" applyBorder="1" applyFont="1" applyNumberFormat="1">
      <alignment horizontal="center" shrinkToFit="0" vertical="center" wrapText="1"/>
    </xf>
    <xf borderId="4" fillId="15" fontId="20" numFmtId="168" xfId="0" applyAlignment="1" applyBorder="1" applyFont="1" applyNumberFormat="1">
      <alignment horizontal="center" shrinkToFit="0" vertical="center" wrapText="1"/>
    </xf>
    <xf borderId="4" fillId="6" fontId="5" numFmtId="168" xfId="0" applyAlignment="1" applyBorder="1" applyFont="1" applyNumberFormat="1">
      <alignment horizontal="center" shrinkToFit="0" wrapText="1"/>
    </xf>
    <xf borderId="4" fillId="6" fontId="5" numFmtId="168" xfId="0" applyAlignment="1" applyBorder="1" applyFont="1" applyNumberFormat="1">
      <alignment horizontal="center" shrinkToFit="0" wrapText="1"/>
    </xf>
    <xf borderId="4" fillId="6" fontId="20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/>
    </xf>
    <xf borderId="4" fillId="6" fontId="21" numFmtId="0" xfId="0" applyAlignment="1" applyBorder="1" applyFont="1">
      <alignment horizontal="center" readingOrder="0" shrinkToFit="0" vertical="center" wrapText="1"/>
    </xf>
    <xf borderId="4" fillId="14" fontId="22" numFmtId="0" xfId="0" applyAlignment="1" applyBorder="1" applyFont="1">
      <alignment horizontal="left" readingOrder="0" shrinkToFit="0" vertical="center" wrapText="1"/>
    </xf>
    <xf borderId="4" fillId="11" fontId="22" numFmtId="0" xfId="0" applyAlignment="1" applyBorder="1" applyFont="1">
      <alignment horizontal="left" readingOrder="0" shrinkToFit="0" vertical="center" wrapText="1"/>
    </xf>
    <xf borderId="4" fillId="6" fontId="20" numFmtId="170" xfId="0" applyAlignment="1" applyBorder="1" applyFont="1" applyNumberFormat="1">
      <alignment horizontal="center" readingOrder="0" shrinkToFit="0" vertical="center" wrapText="1"/>
    </xf>
    <xf borderId="4" fillId="16" fontId="21" numFmtId="0" xfId="0" applyAlignment="1" applyBorder="1" applyFill="1" applyFont="1">
      <alignment horizontal="center" shrinkToFit="0" vertical="center" wrapText="1"/>
    </xf>
    <xf borderId="4" fillId="16" fontId="20" numFmtId="0" xfId="0" applyAlignment="1" applyBorder="1" applyFont="1">
      <alignment horizontal="left" readingOrder="0" shrinkToFit="0" vertical="center" wrapText="1"/>
    </xf>
    <xf borderId="4" fillId="16" fontId="22" numFmtId="0" xfId="0" applyAlignment="1" applyBorder="1" applyFont="1">
      <alignment horizontal="left" shrinkToFit="0" vertical="center" wrapText="1"/>
    </xf>
    <xf borderId="4" fillId="16" fontId="22" numFmtId="0" xfId="0" applyAlignment="1" applyBorder="1" applyFont="1">
      <alignment horizontal="center" shrinkToFit="0" vertical="center" wrapText="1"/>
    </xf>
    <xf borderId="4" fillId="16" fontId="20" numFmtId="167" xfId="0" applyAlignment="1" applyBorder="1" applyFont="1" applyNumberFormat="1">
      <alignment horizontal="center" readingOrder="0" shrinkToFit="0" vertical="center" wrapText="1"/>
    </xf>
    <xf borderId="4" fillId="16" fontId="23" numFmtId="0" xfId="0" applyAlignment="1" applyBorder="1" applyFont="1">
      <alignment horizontal="center" shrinkToFit="0" vertical="center" wrapText="1"/>
    </xf>
    <xf borderId="4" fillId="16" fontId="20" numFmtId="165" xfId="0" applyAlignment="1" applyBorder="1" applyFont="1" applyNumberFormat="1">
      <alignment horizontal="center" readingOrder="0" shrinkToFit="0" vertical="center" wrapText="1"/>
    </xf>
    <xf borderId="4" fillId="16" fontId="24" numFmtId="0" xfId="0" applyAlignment="1" applyBorder="1" applyFont="1">
      <alignment horizontal="center" shrinkToFit="0" vertical="center" wrapText="1"/>
    </xf>
    <xf borderId="4" fillId="16" fontId="20" numFmtId="168" xfId="0" applyAlignment="1" applyBorder="1" applyFont="1" applyNumberFormat="1">
      <alignment horizontal="center" shrinkToFit="0" vertical="center" wrapText="1"/>
    </xf>
    <xf borderId="4" fillId="16" fontId="20" numFmtId="0" xfId="0" applyAlignment="1" applyBorder="1" applyFont="1">
      <alignment horizontal="center" shrinkToFit="0" vertical="center" wrapText="1"/>
    </xf>
    <xf borderId="0" fillId="0" fontId="14" numFmtId="167" xfId="0" applyAlignment="1" applyFont="1" applyNumberFormat="1">
      <alignment readingOrder="0"/>
    </xf>
    <xf borderId="4" fillId="15" fontId="21" numFmtId="0" xfId="0" applyAlignment="1" applyBorder="1" applyFont="1">
      <alignment horizontal="center" shrinkToFit="0" vertical="center" wrapText="1"/>
    </xf>
    <xf borderId="4" fillId="6" fontId="20" numFmtId="165" xfId="0" applyAlignment="1" applyBorder="1" applyFont="1" applyNumberFormat="1">
      <alignment horizontal="center" shrinkToFit="0" vertical="center" wrapText="1"/>
    </xf>
    <xf borderId="4" fillId="13" fontId="24" numFmtId="0" xfId="0" applyAlignment="1" applyBorder="1" applyFont="1">
      <alignment horizontal="center" readingOrder="0" shrinkToFit="0" vertical="center" wrapText="1"/>
    </xf>
    <xf borderId="4" fillId="5" fontId="21" numFmtId="0" xfId="0" applyAlignment="1" applyBorder="1" applyFont="1">
      <alignment horizontal="center" shrinkToFit="0" vertical="center" wrapText="1"/>
    </xf>
    <xf borderId="4" fillId="5" fontId="20" numFmtId="0" xfId="0" applyAlignment="1" applyBorder="1" applyFont="1">
      <alignment horizontal="left" readingOrder="0" shrinkToFit="0" vertical="center" wrapText="1"/>
    </xf>
    <xf borderId="4" fillId="7" fontId="21" numFmtId="0" xfId="0" applyAlignment="1" applyBorder="1" applyFont="1">
      <alignment horizontal="center" shrinkToFit="0" vertical="center" wrapText="1"/>
    </xf>
    <xf borderId="4" fillId="7" fontId="20" numFmtId="0" xfId="0" applyAlignment="1" applyBorder="1" applyFont="1">
      <alignment horizontal="left" readingOrder="0" shrinkToFit="0" vertical="center" wrapText="1"/>
    </xf>
    <xf borderId="4" fillId="7" fontId="20" numFmtId="49" xfId="0" applyAlignment="1" applyBorder="1" applyFont="1" applyNumberFormat="1">
      <alignment horizontal="center" readingOrder="0" shrinkToFit="0" vertical="center" wrapText="1"/>
    </xf>
    <xf borderId="4" fillId="7" fontId="20" numFmtId="168" xfId="0" applyAlignment="1" applyBorder="1" applyFont="1" applyNumberFormat="1">
      <alignment horizontal="center" readingOrder="0" shrinkToFit="0" vertical="center" wrapText="1"/>
    </xf>
    <xf borderId="4" fillId="5" fontId="20" numFmtId="49" xfId="0" applyAlignment="1" applyBorder="1" applyFont="1" applyNumberFormat="1">
      <alignment horizontal="center" readingOrder="0" shrinkToFit="0" vertical="center" wrapText="1"/>
    </xf>
    <xf borderId="4" fillId="5" fontId="20" numFmtId="168" xfId="0" applyAlignment="1" applyBorder="1" applyFont="1" applyNumberFormat="1">
      <alignment horizontal="center" readingOrder="0" shrinkToFit="0" vertical="center" wrapText="1"/>
    </xf>
    <xf borderId="4" fillId="7" fontId="20" numFmtId="165" xfId="0" applyAlignment="1" applyBorder="1" applyFont="1" applyNumberFormat="1">
      <alignment horizontal="center" readingOrder="0" shrinkToFit="0" vertical="center" wrapText="1"/>
    </xf>
    <xf borderId="4" fillId="7" fontId="20" numFmtId="169" xfId="0" applyAlignment="1" applyBorder="1" applyFont="1" applyNumberFormat="1">
      <alignment horizontal="center" shrinkToFit="0" vertical="center" wrapText="1"/>
    </xf>
    <xf borderId="4" fillId="7" fontId="20" numFmtId="165" xfId="0" applyAlignment="1" applyBorder="1" applyFont="1" applyNumberFormat="1">
      <alignment horizontal="center" shrinkToFit="0" vertical="center" wrapText="1"/>
    </xf>
    <xf borderId="4" fillId="5" fontId="20" numFmtId="165" xfId="0" applyAlignment="1" applyBorder="1" applyFont="1" applyNumberFormat="1">
      <alignment horizontal="center" shrinkToFit="0" vertical="center" wrapText="1"/>
    </xf>
    <xf borderId="4" fillId="5" fontId="20" numFmtId="169" xfId="0" applyAlignment="1" applyBorder="1" applyFont="1" applyNumberFormat="1">
      <alignment horizontal="center" shrinkToFit="0" vertical="center" wrapText="1"/>
    </xf>
    <xf borderId="4" fillId="5" fontId="20" numFmtId="165" xfId="0" applyAlignment="1" applyBorder="1" applyFont="1" applyNumberFormat="1">
      <alignment horizontal="center" readingOrder="0" shrinkToFit="0" vertical="center" wrapText="1"/>
    </xf>
    <xf borderId="4" fillId="7" fontId="20" numFmtId="0" xfId="0" applyAlignment="1" applyBorder="1" applyFont="1">
      <alignment horizontal="center" readingOrder="0" shrinkToFit="0" vertical="center" wrapText="1"/>
    </xf>
    <xf borderId="4" fillId="5" fontId="20" numFmtId="170" xfId="0" applyAlignment="1" applyBorder="1" applyFont="1" applyNumberFormat="1">
      <alignment horizontal="center" readingOrder="0" shrinkToFit="0" vertical="center" wrapText="1"/>
    </xf>
    <xf borderId="4" fillId="5" fontId="20" numFmtId="168" xfId="0" applyAlignment="1" applyBorder="1" applyFont="1" applyNumberFormat="1">
      <alignment horizontal="center" shrinkToFit="0" vertical="center" wrapText="1"/>
    </xf>
    <xf borderId="5" fillId="7" fontId="20" numFmtId="0" xfId="0" applyAlignment="1" applyBorder="1" applyFont="1">
      <alignment horizontal="left" readingOrder="0" shrinkToFit="0" vertical="center" wrapText="1"/>
    </xf>
    <xf borderId="5" fillId="11" fontId="22" numFmtId="0" xfId="0" applyAlignment="1" applyBorder="1" applyFont="1">
      <alignment horizontal="left" shrinkToFit="0" vertical="center" wrapText="1"/>
    </xf>
    <xf borderId="5" fillId="11" fontId="22" numFmtId="0" xfId="0" applyAlignment="1" applyBorder="1" applyFont="1">
      <alignment horizontal="center" shrinkToFit="0" vertical="center" wrapText="1"/>
    </xf>
    <xf borderId="5" fillId="12" fontId="23" numFmtId="0" xfId="0" applyAlignment="1" applyBorder="1" applyFont="1">
      <alignment horizontal="center" shrinkToFit="0" vertical="center" wrapText="1"/>
    </xf>
    <xf borderId="5" fillId="7" fontId="20" numFmtId="49" xfId="0" applyAlignment="1" applyBorder="1" applyFont="1" applyNumberFormat="1">
      <alignment horizontal="center" readingOrder="0" shrinkToFit="0" vertical="center" wrapText="1"/>
    </xf>
    <xf borderId="5" fillId="13" fontId="24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readingOrder="0"/>
    </xf>
    <xf borderId="4" fillId="14" fontId="3" numFmtId="0" xfId="0" applyBorder="1" applyFont="1"/>
    <xf borderId="4" fillId="12" fontId="23" numFmtId="0" xfId="0" applyAlignment="1" applyBorder="1" applyFont="1">
      <alignment horizontal="center" shrinkToFit="0" wrapText="1"/>
    </xf>
    <xf borderId="4" fillId="5" fontId="3" numFmtId="49" xfId="0" applyAlignment="1" applyBorder="1" applyFont="1" applyNumberFormat="1">
      <alignment horizontal="center" readingOrder="0"/>
    </xf>
    <xf borderId="4" fillId="13" fontId="24" numFmtId="0" xfId="0" applyAlignment="1" applyBorder="1" applyFont="1">
      <alignment horizontal="center" shrinkToFit="0" wrapText="1"/>
    </xf>
    <xf borderId="4" fillId="7" fontId="3" numFmtId="0" xfId="0" applyAlignment="1" applyBorder="1" applyFont="1">
      <alignment readingOrder="0"/>
    </xf>
    <xf borderId="4" fillId="11" fontId="3" numFmtId="0" xfId="0" applyBorder="1" applyFont="1"/>
    <xf borderId="4" fillId="7" fontId="3" numFmtId="49" xfId="0" applyAlignment="1" applyBorder="1" applyFont="1" applyNumberFormat="1">
      <alignment horizontal="center" readingOrder="0"/>
    </xf>
    <xf borderId="4" fillId="12" fontId="25" numFmtId="0" xfId="0" applyAlignment="1" applyBorder="1" applyFont="1">
      <alignment horizontal="center" shrinkToFit="0" wrapText="1"/>
    </xf>
    <xf borderId="4" fillId="12" fontId="23" numFmtId="0" xfId="0" applyAlignment="1" applyBorder="1" applyFont="1">
      <alignment horizontal="center" readingOrder="0" shrinkToFit="0" wrapText="1"/>
    </xf>
    <xf borderId="4" fillId="11" fontId="3" numFmtId="0" xfId="0" applyAlignment="1" applyBorder="1" applyFont="1">
      <alignment readingOrder="0"/>
    </xf>
    <xf borderId="5" fillId="5" fontId="3" numFmtId="0" xfId="0" applyAlignment="1" applyBorder="1" applyFont="1">
      <alignment readingOrder="0"/>
    </xf>
    <xf borderId="0" fillId="0" fontId="3" numFmtId="0" xfId="0" applyAlignment="1" applyFont="1">
      <alignment readingOrder="0" shrinkToFit="0" vertical="bottom" wrapText="0"/>
    </xf>
    <xf borderId="17" fillId="11" fontId="3" numFmtId="0" xfId="0" applyBorder="1" applyFont="1"/>
    <xf borderId="18" fillId="7" fontId="3" numFmtId="0" xfId="0" applyAlignment="1" applyBorder="1" applyFont="1">
      <alignment readingOrder="0"/>
    </xf>
    <xf borderId="4" fillId="5" fontId="3" numFmtId="165" xfId="0" applyAlignment="1" applyBorder="1" applyFont="1" applyNumberFormat="1">
      <alignment horizontal="center"/>
    </xf>
    <xf borderId="4" fillId="5" fontId="3" numFmtId="169" xfId="0" applyAlignment="1" applyBorder="1" applyFont="1" applyNumberFormat="1">
      <alignment horizontal="center"/>
    </xf>
    <xf borderId="4" fillId="17" fontId="26" numFmtId="0" xfId="0" applyAlignment="1" applyBorder="1" applyFill="1" applyFont="1">
      <alignment horizontal="center" shrinkToFit="0" wrapText="1"/>
    </xf>
    <xf borderId="4" fillId="7" fontId="3" numFmtId="165" xfId="0" applyAlignment="1" applyBorder="1" applyFont="1" applyNumberFormat="1">
      <alignment horizontal="center"/>
    </xf>
    <xf borderId="4" fillId="7" fontId="3" numFmtId="169" xfId="0" applyAlignment="1" applyBorder="1" applyFont="1" applyNumberFormat="1">
      <alignment horizontal="center"/>
    </xf>
    <xf borderId="4" fillId="5" fontId="20" numFmtId="169" xfId="0" applyAlignment="1" applyBorder="1" applyFont="1" applyNumberFormat="1">
      <alignment horizontal="center" readingOrder="0" shrinkToFit="0" vertical="center" wrapText="1"/>
    </xf>
    <xf borderId="4" fillId="12" fontId="27" numFmtId="0" xfId="0" applyAlignment="1" applyBorder="1" applyFont="1">
      <alignment horizontal="center" shrinkToFit="0" vertical="center" wrapText="1"/>
    </xf>
    <xf borderId="4" fillId="7" fontId="20" numFmtId="169" xfId="0" applyAlignment="1" applyBorder="1" applyFont="1" applyNumberFormat="1">
      <alignment horizontal="center" readingOrder="0" shrinkToFit="0" vertical="center" wrapText="1"/>
    </xf>
    <xf borderId="0" fillId="16" fontId="3" numFmtId="0" xfId="0" applyAlignment="1" applyFont="1">
      <alignment shrinkToFit="0" vertical="bottom" wrapText="0"/>
    </xf>
    <xf borderId="4" fillId="16" fontId="3" numFmtId="0" xfId="0" applyBorder="1" applyFont="1"/>
    <xf borderId="4" fillId="16" fontId="20" numFmtId="49" xfId="0" applyAlignment="1" applyBorder="1" applyFont="1" applyNumberFormat="1">
      <alignment horizontal="center" readingOrder="0" shrinkToFit="0" vertical="center" wrapText="1"/>
    </xf>
    <xf borderId="4" fillId="16" fontId="20" numFmtId="165" xfId="0" applyAlignment="1" applyBorder="1" applyFont="1" applyNumberFormat="1">
      <alignment horizontal="center" shrinkToFit="0" vertical="center" wrapText="1"/>
    </xf>
    <xf borderId="4" fillId="16" fontId="20" numFmtId="169" xfId="0" applyAlignment="1" applyBorder="1" applyFont="1" applyNumberFormat="1">
      <alignment horizontal="center" shrinkToFit="0" vertical="center" wrapText="1"/>
    </xf>
    <xf borderId="0" fillId="0" fontId="3" numFmtId="0" xfId="0" applyFont="1"/>
    <xf borderId="18" fillId="7" fontId="20" numFmtId="0" xfId="0" applyAlignment="1" applyBorder="1" applyFont="1">
      <alignment horizontal="left" readingOrder="0" shrinkToFit="0" vertical="center" wrapText="1"/>
    </xf>
    <xf borderId="0" fillId="7" fontId="20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readingOrder="0" vertical="bottom"/>
    </xf>
    <xf borderId="4" fillId="12" fontId="23" numFmtId="0" xfId="0" applyAlignment="1" applyBorder="1" applyFont="1">
      <alignment horizontal="center" readingOrder="0" shrinkToFit="0" vertical="center" wrapText="1"/>
    </xf>
    <xf borderId="4" fillId="12" fontId="28" numFmtId="0" xfId="0" applyAlignment="1" applyBorder="1" applyFont="1">
      <alignment horizontal="center" shrinkToFit="0" vertical="center" wrapText="1"/>
    </xf>
    <xf borderId="0" fillId="0" fontId="3" numFmtId="167" xfId="0" applyAlignment="1" applyFont="1" applyNumberFormat="1">
      <alignment readingOrder="0" shrinkToFit="0" vertical="bottom" wrapText="0"/>
    </xf>
    <xf borderId="1" fillId="3" fontId="20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horizontal="center" shrinkToFit="0" vertical="center" wrapText="1"/>
    </xf>
    <xf borderId="4" fillId="18" fontId="29" numFmtId="0" xfId="0" applyAlignment="1" applyBorder="1" applyFill="1" applyFont="1">
      <alignment horizontal="center" shrinkToFit="0" vertical="center" wrapText="1"/>
    </xf>
    <xf borderId="0" fillId="0" fontId="30" numFmtId="0" xfId="0" applyAlignment="1" applyFont="1">
      <alignment horizontal="left" shrinkToFit="0" vertical="center" wrapText="1"/>
    </xf>
    <xf borderId="4" fillId="19" fontId="31" numFmtId="167" xfId="0" applyAlignment="1" applyBorder="1" applyFill="1" applyFont="1" applyNumberFormat="1">
      <alignment horizontal="center" readingOrder="0" shrinkToFit="0" vertical="center" wrapText="1"/>
    </xf>
    <xf borderId="0" fillId="0" fontId="32" numFmtId="0" xfId="0" applyAlignment="1" applyFont="1">
      <alignment horizontal="left" shrinkToFit="0" vertical="center" wrapText="1"/>
    </xf>
    <xf borderId="16" fillId="7" fontId="32" numFmtId="0" xfId="0" applyAlignment="1" applyBorder="1" applyFont="1">
      <alignment horizontal="center" shrinkToFit="0" vertical="center" wrapText="1"/>
    </xf>
    <xf borderId="1" fillId="4" fontId="33" numFmtId="0" xfId="0" applyAlignment="1" applyBorder="1" applyFont="1">
      <alignment horizontal="center" shrinkToFit="0" vertical="center" wrapText="1"/>
    </xf>
    <xf borderId="4" fillId="20" fontId="19" numFmtId="0" xfId="0" applyAlignment="1" applyBorder="1" applyFill="1" applyFont="1">
      <alignment horizontal="center" shrinkToFit="0" vertical="center" wrapText="1"/>
    </xf>
    <xf borderId="4" fillId="21" fontId="19" numFmtId="0" xfId="0" applyAlignment="1" applyBorder="1" applyFill="1" applyFont="1">
      <alignment horizontal="center" shrinkToFit="0" vertical="center" wrapText="1"/>
    </xf>
    <xf borderId="4" fillId="22" fontId="19" numFmtId="0" xfId="0" applyAlignment="1" applyBorder="1" applyFill="1" applyFont="1">
      <alignment horizontal="center" shrinkToFit="0" vertical="center" wrapText="1"/>
    </xf>
    <xf borderId="4" fillId="2" fontId="19" numFmtId="0" xfId="0" applyAlignment="1" applyBorder="1" applyFont="1">
      <alignment horizontal="center" shrinkToFit="0" vertical="center" wrapText="1"/>
    </xf>
    <xf borderId="4" fillId="23" fontId="19" numFmtId="0" xfId="0" applyAlignment="1" applyBorder="1" applyFill="1" applyFont="1">
      <alignment horizontal="center" shrinkToFit="0" vertical="center" wrapText="1"/>
    </xf>
    <xf borderId="4" fillId="24" fontId="19" numFmtId="0" xfId="0" applyAlignment="1" applyBorder="1" applyFill="1" applyFont="1">
      <alignment horizontal="center" shrinkToFit="0" vertical="center" wrapText="1"/>
    </xf>
    <xf borderId="4" fillId="7" fontId="34" numFmtId="0" xfId="0" applyAlignment="1" applyBorder="1" applyFont="1">
      <alignment horizontal="center" shrinkToFit="0" vertical="center" wrapText="1"/>
    </xf>
    <xf borderId="4" fillId="7" fontId="35" numFmtId="0" xfId="0" applyAlignment="1" applyBorder="1" applyFont="1">
      <alignment horizontal="center" shrinkToFit="0" vertical="center" wrapText="1"/>
    </xf>
    <xf borderId="4" fillId="7" fontId="36" numFmtId="0" xfId="0" applyAlignment="1" applyBorder="1" applyFont="1">
      <alignment horizontal="center" shrinkToFit="0" vertical="center" wrapText="1"/>
    </xf>
    <xf borderId="4" fillId="7" fontId="37" numFmtId="0" xfId="0" applyAlignment="1" applyBorder="1" applyFont="1">
      <alignment horizontal="center" shrinkToFit="0" vertical="center" wrapText="1"/>
    </xf>
    <xf borderId="4" fillId="7" fontId="38" numFmtId="0" xfId="0" applyAlignment="1" applyBorder="1" applyFont="1">
      <alignment horizontal="center" shrinkToFit="0" vertical="center" wrapText="1"/>
    </xf>
    <xf borderId="4" fillId="7" fontId="39" numFmtId="0" xfId="0" applyAlignment="1" applyBorder="1" applyFont="1">
      <alignment horizontal="center" shrinkToFit="0" vertical="center" wrapText="1"/>
    </xf>
    <xf borderId="1" fillId="4" fontId="40" numFmtId="0" xfId="0" applyAlignment="1" applyBorder="1" applyFont="1">
      <alignment horizontal="center" shrinkToFit="0" vertical="center" wrapText="1"/>
    </xf>
    <xf borderId="4" fillId="7" fontId="41" numFmtId="168" xfId="0" applyAlignment="1" applyBorder="1" applyFont="1" applyNumberFormat="1">
      <alignment horizontal="center" shrinkToFit="0" vertical="center" wrapText="1"/>
    </xf>
    <xf borderId="4" fillId="4" fontId="19" numFmtId="0" xfId="0" applyAlignment="1" applyBorder="1" applyFont="1">
      <alignment horizontal="center" shrinkToFit="0" vertical="center" wrapText="1"/>
    </xf>
    <xf borderId="4" fillId="25" fontId="19" numFmtId="0" xfId="0" applyAlignment="1" applyBorder="1" applyFill="1" applyFont="1">
      <alignment horizontal="center" readingOrder="0" shrinkToFit="0" vertical="center" wrapText="1"/>
    </xf>
    <xf borderId="4" fillId="5" fontId="42" numFmtId="0" xfId="0" applyAlignment="1" applyBorder="1" applyFont="1">
      <alignment horizontal="left" shrinkToFit="0" vertical="center" wrapText="1"/>
    </xf>
    <xf borderId="4" fillId="5" fontId="43" numFmtId="0" xfId="0" applyAlignment="1" applyBorder="1" applyFont="1">
      <alignment horizontal="center" shrinkToFit="0" vertical="center" wrapText="1"/>
    </xf>
    <xf borderId="4" fillId="5" fontId="44" numFmtId="0" xfId="0" applyAlignment="1" applyBorder="1" applyFont="1">
      <alignment horizontal="center" shrinkToFit="0" vertical="center" wrapText="1"/>
    </xf>
    <xf borderId="4" fillId="5" fontId="45" numFmtId="0" xfId="0" applyAlignment="1" applyBorder="1" applyFont="1">
      <alignment horizontal="center" shrinkToFit="0" vertical="center" wrapText="1"/>
    </xf>
    <xf borderId="4" fillId="5" fontId="46" numFmtId="0" xfId="0" applyAlignment="1" applyBorder="1" applyFont="1">
      <alignment horizontal="center" shrinkToFit="0" vertical="center" wrapText="1"/>
    </xf>
    <xf borderId="4" fillId="5" fontId="47" numFmtId="9" xfId="0" applyAlignment="1" applyBorder="1" applyFont="1" applyNumberFormat="1">
      <alignment horizontal="center" shrinkToFit="0" vertical="center" wrapText="1"/>
    </xf>
    <xf borderId="4" fillId="5" fontId="47" numFmtId="46" xfId="0" applyAlignment="1" applyBorder="1" applyFont="1" applyNumberFormat="1">
      <alignment horizontal="center" shrinkToFit="0" vertical="center" wrapText="1"/>
    </xf>
    <xf borderId="4" fillId="7" fontId="42" numFmtId="0" xfId="0" applyAlignment="1" applyBorder="1" applyFont="1">
      <alignment horizontal="left" shrinkToFit="0" vertical="center" wrapText="1"/>
    </xf>
    <xf borderId="4" fillId="7" fontId="43" numFmtId="0" xfId="0" applyAlignment="1" applyBorder="1" applyFont="1">
      <alignment horizontal="center" shrinkToFit="0" vertical="center" wrapText="1"/>
    </xf>
    <xf borderId="4" fillId="7" fontId="44" numFmtId="0" xfId="0" applyAlignment="1" applyBorder="1" applyFont="1">
      <alignment horizontal="center" shrinkToFit="0" vertical="center" wrapText="1"/>
    </xf>
    <xf borderId="4" fillId="7" fontId="45" numFmtId="0" xfId="0" applyAlignment="1" applyBorder="1" applyFont="1">
      <alignment horizontal="center" shrinkToFit="0" vertical="center" wrapText="1"/>
    </xf>
    <xf borderId="4" fillId="7" fontId="46" numFmtId="0" xfId="0" applyAlignment="1" applyBorder="1" applyFont="1">
      <alignment horizontal="center" shrinkToFit="0" vertical="center" wrapText="1"/>
    </xf>
    <xf borderId="4" fillId="7" fontId="47" numFmtId="9" xfId="0" applyAlignment="1" applyBorder="1" applyFont="1" applyNumberFormat="1">
      <alignment horizontal="center" shrinkToFit="0" vertical="center" wrapText="1"/>
    </xf>
    <xf borderId="1" fillId="24" fontId="40" numFmtId="0" xfId="0" applyAlignment="1" applyBorder="1" applyFont="1">
      <alignment horizontal="center" shrinkToFit="0" vertical="center" wrapText="1"/>
    </xf>
    <xf borderId="4" fillId="5" fontId="48" numFmtId="0" xfId="0" applyAlignment="1" applyBorder="1" applyFont="1">
      <alignment horizontal="center" shrinkToFit="0" vertical="center" wrapText="1"/>
    </xf>
    <xf borderId="19" fillId="5" fontId="49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21" fillId="0" fontId="2" numFmtId="0" xfId="0" applyBorder="1" applyFont="1"/>
    <xf borderId="4" fillId="7" fontId="48" numFmtId="0" xfId="0" applyAlignment="1" applyBorder="1" applyFont="1">
      <alignment horizontal="center" shrinkToFit="0" vertical="center" wrapText="1"/>
    </xf>
    <xf borderId="19" fillId="7" fontId="49" numFmtId="0" xfId="0" applyAlignment="1" applyBorder="1" applyFont="1">
      <alignment horizontal="left" shrinkToFit="0" vertical="center" wrapText="1"/>
    </xf>
    <xf borderId="0" fillId="0" fontId="50" numFmtId="0" xfId="0" applyAlignment="1" applyFont="1">
      <alignment horizontal="center" shrinkToFit="0" vertical="center" wrapText="1"/>
    </xf>
    <xf borderId="0" fillId="0" fontId="51" numFmtId="0" xfId="0" applyAlignment="1" applyFont="1">
      <alignment horizontal="left" shrinkToFit="0" vertical="center" wrapText="1"/>
    </xf>
    <xf borderId="0" fillId="0" fontId="52" numFmtId="0" xfId="0" applyAlignment="1" applyFont="1">
      <alignment horizontal="center" shrinkToFit="0" vertical="center" wrapText="1"/>
    </xf>
    <xf borderId="0" fillId="0" fontId="31" numFmtId="0" xfId="0" applyAlignment="1" applyFont="1">
      <alignment horizontal="left" shrinkToFit="0" vertical="center" wrapText="1"/>
    </xf>
    <xf borderId="0" fillId="0" fontId="53" numFmtId="0" xfId="0" applyAlignment="1" applyFont="1">
      <alignment horizontal="left" shrinkToFit="0" vertical="center" wrapText="1"/>
    </xf>
    <xf borderId="0" fillId="0" fontId="54" numFmtId="0" xfId="0" applyAlignment="1" applyFont="1">
      <alignment horizontal="left" shrinkToFit="0" vertical="center" wrapText="1"/>
    </xf>
    <xf borderId="0" fillId="0" fontId="55" numFmtId="0" xfId="0" applyAlignment="1" applyFont="1">
      <alignment horizontal="left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>
        <b/>
        <sz val="11.0"/>
        <color rgb="FFFFFFFF"/>
        <name val="Arial"/>
      </font>
      <fill>
        <patternFill patternType="solid">
          <fgColor rgb="FFF5A623"/>
          <bgColor rgb="FFF5A623"/>
        </patternFill>
      </fill>
      <border/>
    </dxf>
    <dxf>
      <font>
        <b/>
        <sz val="10.0"/>
        <color rgb="FF1E8449"/>
        <name val="Arial"/>
      </font>
      <fill>
        <patternFill patternType="solid">
          <fgColor rgb="FFD5F5E3"/>
          <bgColor rgb="FFD5F5E3"/>
        </patternFill>
      </fill>
      <border/>
    </dxf>
    <dxf>
      <font>
        <b/>
        <sz val="10.0"/>
        <color rgb="FF1A5276"/>
        <name val="Arial"/>
      </font>
      <fill>
        <patternFill patternType="solid">
          <fgColor rgb="FFD6EAF8"/>
          <bgColor rgb="FFD6EAF8"/>
        </patternFill>
      </fill>
      <border/>
    </dxf>
    <dxf>
      <font>
        <b/>
        <sz val="10.0"/>
        <color rgb="FF784212"/>
        <name val="Arial"/>
      </font>
      <fill>
        <patternFill patternType="solid">
          <fgColor rgb="FFFDEBD0"/>
          <bgColor rgb="FFFDEBD0"/>
        </patternFill>
      </fill>
      <border/>
    </dxf>
    <dxf>
      <font>
        <b/>
        <sz val="10.0"/>
        <color rgb="FFFFFFFF"/>
        <name val="Arial"/>
      </font>
      <fill>
        <patternFill patternType="solid">
          <fgColor rgb="FFF5A623"/>
          <bgColor rgb="FFF5A623"/>
        </patternFill>
      </fill>
      <border/>
    </dxf>
  </dxfs>
  <tableStyles count="6">
    <tableStyle count="2" pivot="0" name="FUNCIONÁRIOS-style">
      <tableStyleElement dxfId="1" type="firstRowStripe"/>
      <tableStyleElement dxfId="2" type="secondRowStripe"/>
    </tableStyle>
    <tableStyle count="2" pivot="0" name="FUNCIONÁRIOS-style 2">
      <tableStyleElement dxfId="1" type="firstRowStripe"/>
      <tableStyleElement dxfId="2" type="secondRowStripe"/>
    </tableStyle>
    <tableStyle count="2" pivot="0" name="FUNCIONÁRIOS-style 3">
      <tableStyleElement dxfId="1" type="firstRowStripe"/>
      <tableStyleElement dxfId="2" type="secondRowStripe"/>
    </tableStyle>
    <tableStyle count="2" pivot="0" name="FUNCIONÁRIOS-style 4">
      <tableStyleElement dxfId="1" type="firstRowStripe"/>
      <tableStyleElement dxfId="2" type="secondRowStripe"/>
    </tableStyle>
    <tableStyle count="2" pivot="0" name="FUNCIONÁRIOS-style 5">
      <tableStyleElement dxfId="1" type="firstRowStripe"/>
      <tableStyleElement dxfId="2" type="secondRowStripe"/>
    </tableStyle>
    <tableStyle count="2" pivot="0" name="FUNCIONÁRIOS-style 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63:D271" displayName="Table_1" name="Table_1" id="1">
  <tableColumns count="2">
    <tableColumn name="Column1" id="1"/>
    <tableColumn name="Column2" id="2"/>
  </tableColumns>
  <tableStyleInfo name="FUNCIONÁRIOS-style" showColumnStripes="0" showFirstColumn="1" showLastColumn="1" showRowStripes="1"/>
</table>
</file>

<file path=xl/tables/table2.xml><?xml version="1.0" encoding="utf-8"?>
<table xmlns="http://schemas.openxmlformats.org/spreadsheetml/2006/main" headerRowCount="0" ref="F263:F318" displayName="Table_2" name="Table_2" id="2">
  <tableColumns count="1">
    <tableColumn name="Column1" id="1"/>
  </tableColumns>
  <tableStyleInfo name="FUNCIONÁRI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C394:D424" displayName="Table_3" name="Table_3" id="3">
  <tableColumns count="2">
    <tableColumn name="Column1" id="1"/>
    <tableColumn name="Column2" id="2"/>
  </tableColumns>
  <tableStyleInfo name="FUNCIONÁRIOS-style 3" showColumnStripes="0" showFirstColumn="1" showLastColumn="1" showRowStripes="1"/>
</table>
</file>

<file path=xl/tables/table4.xml><?xml version="1.0" encoding="utf-8"?>
<table xmlns="http://schemas.openxmlformats.org/spreadsheetml/2006/main" headerRowCount="0" ref="F394:F424" displayName="Table_4" name="Table_4" id="4">
  <tableColumns count="1">
    <tableColumn name="Column1" id="1"/>
  </tableColumns>
  <tableStyleInfo name="FUNCIONÁRIOS-style 4" showColumnStripes="0" showFirstColumn="1" showLastColumn="1" showRowStripes="1"/>
</table>
</file>

<file path=xl/tables/table5.xml><?xml version="1.0" encoding="utf-8"?>
<table xmlns="http://schemas.openxmlformats.org/spreadsheetml/2006/main" headerRowCount="0" ref="C930:D949" displayName="Table_5" name="Table_5" id="5">
  <tableColumns count="2">
    <tableColumn name="Column1" id="1"/>
    <tableColumn name="Column2" id="2"/>
  </tableColumns>
  <tableStyleInfo name="FUNCIONÁRIOS-style 5" showColumnStripes="0" showFirstColumn="1" showLastColumn="1" showRowStripes="1"/>
</table>
</file>

<file path=xl/tables/table6.xml><?xml version="1.0" encoding="utf-8"?>
<table xmlns="http://schemas.openxmlformats.org/spreadsheetml/2006/main" headerRowCount="0" ref="F930:F949" displayName="Table_6" name="Table_6" id="6">
  <tableColumns count="1">
    <tableColumn name="Column1" id="1"/>
  </tableColumns>
  <tableStyleInfo name="FUNCIONÁRIOS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0.0"/>
    <col customWidth="1" min="3" max="3" width="25.0"/>
    <col customWidth="1" min="4" max="4" width="18.0"/>
    <col customWidth="1" min="5" max="5" width="28.0"/>
    <col customWidth="1" min="6" max="6" width="30.0"/>
    <col customWidth="1" min="7" max="26" width="8.71"/>
  </cols>
  <sheetData>
    <row r="1" ht="39.75" customHeight="1">
      <c r="A1" s="1" t="s">
        <v>0</v>
      </c>
      <c r="B1" s="2"/>
      <c r="C1" s="2"/>
      <c r="D1" s="2"/>
      <c r="E1" s="2"/>
      <c r="F1" s="3"/>
    </row>
    <row r="2" ht="7.5" customHeight="1">
      <c r="A2" s="4"/>
      <c r="B2" s="2"/>
      <c r="C2" s="2"/>
      <c r="D2" s="2"/>
      <c r="E2" s="2"/>
      <c r="F2" s="3"/>
    </row>
    <row r="3" ht="30.0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ht="21.75" customHeight="1">
      <c r="A4" s="6">
        <v>1.0</v>
      </c>
      <c r="B4" s="7" t="s">
        <v>7</v>
      </c>
      <c r="C4" s="7" t="s">
        <v>8</v>
      </c>
      <c r="D4" s="8" t="s">
        <v>9</v>
      </c>
      <c r="E4" s="7" t="s">
        <v>10</v>
      </c>
      <c r="F4" s="8"/>
    </row>
    <row r="5" ht="21.75" customHeight="1">
      <c r="A5" s="9">
        <v>2.0</v>
      </c>
      <c r="B5" s="7" t="s">
        <v>11</v>
      </c>
      <c r="C5" s="7" t="s">
        <v>12</v>
      </c>
      <c r="D5" s="7" t="s">
        <v>13</v>
      </c>
      <c r="E5" s="7" t="s">
        <v>14</v>
      </c>
      <c r="F5" s="8"/>
    </row>
    <row r="6" ht="21.75" customHeight="1">
      <c r="A6" s="6">
        <v>3.0</v>
      </c>
      <c r="B6" s="7" t="s">
        <v>15</v>
      </c>
      <c r="C6" s="7" t="s">
        <v>16</v>
      </c>
      <c r="D6" s="7" t="s">
        <v>17</v>
      </c>
      <c r="E6" s="7" t="s">
        <v>14</v>
      </c>
      <c r="F6" s="8"/>
    </row>
    <row r="7" ht="21.75" customHeight="1">
      <c r="A7" s="9">
        <f>4</f>
        <v>4</v>
      </c>
      <c r="B7" s="7" t="s">
        <v>18</v>
      </c>
      <c r="C7" s="7" t="s">
        <v>19</v>
      </c>
      <c r="D7" s="7">
        <v>6.1982032161E10</v>
      </c>
      <c r="E7" s="7" t="s">
        <v>20</v>
      </c>
      <c r="F7" s="8"/>
    </row>
    <row r="8" ht="21.75" customHeight="1">
      <c r="A8" s="6">
        <f>5</f>
        <v>5</v>
      </c>
      <c r="B8" s="7" t="s">
        <v>21</v>
      </c>
      <c r="C8" s="7" t="s">
        <v>14</v>
      </c>
      <c r="D8" s="7" t="s">
        <v>14</v>
      </c>
      <c r="E8" s="7" t="s">
        <v>14</v>
      </c>
      <c r="F8" s="8"/>
    </row>
    <row r="9" ht="21.75" customHeight="1">
      <c r="A9" s="9">
        <f>6</f>
        <v>6</v>
      </c>
      <c r="B9" s="7" t="s">
        <v>22</v>
      </c>
      <c r="C9" s="7" t="s">
        <v>14</v>
      </c>
      <c r="D9" s="7" t="s">
        <v>14</v>
      </c>
      <c r="E9" s="7" t="s">
        <v>14</v>
      </c>
      <c r="F9" s="8"/>
    </row>
    <row r="10" ht="21.75" customHeight="1">
      <c r="A10" s="6">
        <f>7</f>
        <v>7</v>
      </c>
      <c r="B10" s="7" t="s">
        <v>23</v>
      </c>
      <c r="C10" s="7" t="s">
        <v>14</v>
      </c>
      <c r="D10" s="7" t="s">
        <v>14</v>
      </c>
      <c r="E10" s="7" t="s">
        <v>14</v>
      </c>
      <c r="F10" s="8"/>
    </row>
    <row r="11" ht="21.75" customHeight="1">
      <c r="A11" s="9">
        <f>8</f>
        <v>8</v>
      </c>
      <c r="B11" s="7" t="s">
        <v>24</v>
      </c>
      <c r="C11" s="7" t="s">
        <v>25</v>
      </c>
      <c r="D11" s="7" t="s">
        <v>26</v>
      </c>
      <c r="E11" s="7" t="s">
        <v>27</v>
      </c>
      <c r="F11" s="8"/>
    </row>
    <row r="12" ht="21.75" customHeight="1">
      <c r="A12" s="6">
        <f>9</f>
        <v>9</v>
      </c>
      <c r="B12" s="7" t="s">
        <v>28</v>
      </c>
      <c r="C12" s="7" t="s">
        <v>14</v>
      </c>
      <c r="D12" s="7" t="s">
        <v>14</v>
      </c>
      <c r="E12" s="7" t="s">
        <v>14</v>
      </c>
      <c r="F12" s="8"/>
    </row>
    <row r="13" ht="21.75" customHeight="1">
      <c r="A13" s="9">
        <f>10</f>
        <v>10</v>
      </c>
      <c r="B13" s="7" t="s">
        <v>29</v>
      </c>
      <c r="C13" s="7" t="s">
        <v>14</v>
      </c>
      <c r="D13" s="7" t="s">
        <v>14</v>
      </c>
      <c r="E13" s="7" t="s">
        <v>14</v>
      </c>
      <c r="F13" s="8"/>
    </row>
    <row r="14" ht="21.75" customHeight="1">
      <c r="A14" s="6">
        <f>11</f>
        <v>11</v>
      </c>
      <c r="B14" s="7" t="s">
        <v>30</v>
      </c>
      <c r="C14" s="7" t="s">
        <v>14</v>
      </c>
      <c r="D14" s="7" t="s">
        <v>14</v>
      </c>
      <c r="E14" s="7" t="s">
        <v>14</v>
      </c>
      <c r="F14" s="8"/>
    </row>
    <row r="15" ht="21.75" customHeight="1">
      <c r="A15" s="9">
        <f>12</f>
        <v>12</v>
      </c>
      <c r="B15" s="7" t="s">
        <v>31</v>
      </c>
      <c r="C15" s="7"/>
      <c r="D15" s="8"/>
      <c r="E15" s="8"/>
      <c r="F15" s="8"/>
    </row>
    <row r="16" ht="21.75" customHeight="1">
      <c r="A16" s="6">
        <f>13</f>
        <v>13</v>
      </c>
      <c r="B16" s="7" t="s">
        <v>32</v>
      </c>
      <c r="C16" s="8"/>
      <c r="D16" s="8"/>
      <c r="E16" s="8"/>
      <c r="F16" s="8"/>
    </row>
    <row r="17" ht="21.75" customHeight="1">
      <c r="A17" s="9">
        <f>14</f>
        <v>14</v>
      </c>
      <c r="B17" s="7" t="s">
        <v>33</v>
      </c>
      <c r="C17" s="8"/>
      <c r="D17" s="8"/>
      <c r="E17" s="8"/>
      <c r="F17" s="8"/>
    </row>
    <row r="18" ht="21.75" customHeight="1">
      <c r="A18" s="6">
        <f>15</f>
        <v>15</v>
      </c>
      <c r="B18" s="7" t="s">
        <v>34</v>
      </c>
      <c r="C18" s="8"/>
      <c r="D18" s="8"/>
      <c r="E18" s="8"/>
      <c r="F18" s="8"/>
    </row>
    <row r="19" ht="21.75" customHeight="1">
      <c r="A19" s="9">
        <f>16</f>
        <v>16</v>
      </c>
      <c r="B19" s="7" t="s">
        <v>35</v>
      </c>
      <c r="C19" s="8"/>
      <c r="D19" s="8"/>
      <c r="E19" s="8"/>
      <c r="F19" s="8"/>
    </row>
    <row r="20" ht="21.75" customHeight="1">
      <c r="A20" s="6">
        <f>17</f>
        <v>17</v>
      </c>
      <c r="B20" s="7" t="s">
        <v>36</v>
      </c>
      <c r="C20" s="8"/>
      <c r="D20" s="8"/>
      <c r="E20" s="8"/>
      <c r="F20" s="8"/>
    </row>
    <row r="21" ht="21.75" customHeight="1">
      <c r="A21" s="9">
        <f>18</f>
        <v>18</v>
      </c>
      <c r="B21" s="7" t="s">
        <v>37</v>
      </c>
      <c r="C21" s="8"/>
      <c r="D21" s="8"/>
      <c r="E21" s="8"/>
      <c r="F21" s="8"/>
    </row>
    <row r="22" ht="21.75" customHeight="1">
      <c r="A22" s="6">
        <f>19</f>
        <v>19</v>
      </c>
      <c r="B22" s="7" t="s">
        <v>38</v>
      </c>
      <c r="C22" s="8"/>
      <c r="D22" s="8"/>
      <c r="E22" s="8"/>
      <c r="F22" s="8"/>
    </row>
    <row r="23" ht="21.75" customHeight="1">
      <c r="A23" s="9">
        <f>20</f>
        <v>20</v>
      </c>
      <c r="B23" s="7" t="s">
        <v>39</v>
      </c>
      <c r="C23" s="8"/>
      <c r="D23" s="8"/>
      <c r="E23" s="8"/>
      <c r="F23" s="8"/>
    </row>
    <row r="24" ht="21.75" customHeight="1">
      <c r="A24" s="6">
        <f>21</f>
        <v>21</v>
      </c>
      <c r="B24" s="7" t="s">
        <v>40</v>
      </c>
      <c r="C24" s="8"/>
      <c r="D24" s="8"/>
      <c r="E24" s="8"/>
      <c r="F24" s="8"/>
    </row>
    <row r="25" ht="21.75" customHeight="1">
      <c r="A25" s="9">
        <f>22</f>
        <v>22</v>
      </c>
      <c r="B25" s="7" t="s">
        <v>41</v>
      </c>
      <c r="C25" s="8"/>
      <c r="D25" s="8"/>
      <c r="E25" s="8"/>
      <c r="F25" s="8"/>
    </row>
    <row r="26" ht="21.75" customHeight="1">
      <c r="A26" s="6">
        <f>23</f>
        <v>23</v>
      </c>
      <c r="B26" s="7" t="s">
        <v>42</v>
      </c>
      <c r="C26" s="8"/>
      <c r="D26" s="8"/>
      <c r="E26" s="8"/>
      <c r="F26" s="8"/>
    </row>
    <row r="27" ht="21.75" customHeight="1">
      <c r="A27" s="9">
        <f>24</f>
        <v>24</v>
      </c>
      <c r="B27" s="7" t="s">
        <v>43</v>
      </c>
      <c r="C27" s="8"/>
      <c r="D27" s="8"/>
      <c r="E27" s="8"/>
      <c r="F27" s="8"/>
    </row>
    <row r="28" ht="21.75" customHeight="1">
      <c r="A28" s="6">
        <f>25</f>
        <v>25</v>
      </c>
      <c r="B28" s="7" t="s">
        <v>44</v>
      </c>
      <c r="C28" s="8"/>
      <c r="D28" s="8"/>
      <c r="E28" s="8"/>
      <c r="F28" s="8"/>
    </row>
    <row r="29" ht="21.75" customHeight="1">
      <c r="A29" s="9">
        <f>26</f>
        <v>26</v>
      </c>
      <c r="B29" s="7" t="s">
        <v>45</v>
      </c>
      <c r="C29" s="8"/>
      <c r="D29" s="8"/>
      <c r="E29" s="8"/>
      <c r="F29" s="8"/>
    </row>
    <row r="30" ht="21.75" customHeight="1">
      <c r="A30" s="6">
        <f>27</f>
        <v>27</v>
      </c>
      <c r="B30" s="7" t="s">
        <v>46</v>
      </c>
      <c r="C30" s="8"/>
      <c r="D30" s="8"/>
      <c r="E30" s="8"/>
      <c r="F30" s="8"/>
    </row>
    <row r="31" ht="21.75" customHeight="1">
      <c r="A31" s="9">
        <f>28</f>
        <v>28</v>
      </c>
      <c r="B31" s="7" t="s">
        <v>47</v>
      </c>
      <c r="C31" s="8"/>
      <c r="D31" s="8"/>
      <c r="E31" s="8"/>
      <c r="F31" s="8"/>
    </row>
    <row r="32" ht="21.75" customHeight="1">
      <c r="A32" s="6">
        <f>29</f>
        <v>29</v>
      </c>
      <c r="B32" s="7" t="s">
        <v>48</v>
      </c>
      <c r="C32" s="8"/>
      <c r="D32" s="8"/>
      <c r="E32" s="8"/>
      <c r="F32" s="8"/>
    </row>
    <row r="33" ht="21.75" customHeight="1">
      <c r="A33" s="9">
        <f>30</f>
        <v>30</v>
      </c>
      <c r="B33" s="7" t="s">
        <v>49</v>
      </c>
      <c r="C33" s="8"/>
      <c r="D33" s="8"/>
      <c r="E33" s="8"/>
      <c r="F33" s="8"/>
    </row>
    <row r="34" ht="21.75" customHeight="1">
      <c r="A34" s="6">
        <f>31</f>
        <v>31</v>
      </c>
      <c r="B34" s="7" t="s">
        <v>50</v>
      </c>
      <c r="C34" s="8"/>
      <c r="D34" s="8"/>
      <c r="E34" s="8"/>
      <c r="F34" s="8"/>
    </row>
    <row r="35" ht="21.75" customHeight="1">
      <c r="A35" s="9">
        <f>32</f>
        <v>32</v>
      </c>
      <c r="B35" s="7" t="s">
        <v>51</v>
      </c>
      <c r="C35" s="8"/>
      <c r="D35" s="8"/>
      <c r="E35" s="8"/>
      <c r="F35" s="8"/>
    </row>
    <row r="36" ht="21.75" customHeight="1">
      <c r="A36" s="6">
        <f>33</f>
        <v>33</v>
      </c>
      <c r="B36" s="7" t="s">
        <v>52</v>
      </c>
      <c r="C36" s="8"/>
      <c r="D36" s="8"/>
      <c r="E36" s="8"/>
      <c r="F36" s="8"/>
    </row>
    <row r="37" ht="21.75" customHeight="1">
      <c r="A37" s="9">
        <f>34</f>
        <v>34</v>
      </c>
      <c r="B37" s="7" t="s">
        <v>53</v>
      </c>
      <c r="C37" s="8"/>
      <c r="D37" s="8"/>
      <c r="E37" s="8"/>
      <c r="F37" s="8"/>
    </row>
    <row r="38" ht="21.75" customHeight="1">
      <c r="A38" s="6">
        <f>35</f>
        <v>35</v>
      </c>
      <c r="B38" s="7" t="s">
        <v>54</v>
      </c>
      <c r="C38" s="8"/>
      <c r="D38" s="8"/>
      <c r="E38" s="8"/>
      <c r="F38" s="8"/>
    </row>
    <row r="39" ht="21.75" customHeight="1">
      <c r="A39" s="9">
        <f>36</f>
        <v>36</v>
      </c>
      <c r="B39" s="7" t="s">
        <v>55</v>
      </c>
      <c r="C39" s="8"/>
      <c r="D39" s="8"/>
      <c r="E39" s="8"/>
      <c r="F39" s="8"/>
    </row>
    <row r="40" ht="21.75" customHeight="1">
      <c r="A40" s="6">
        <f>37</f>
        <v>37</v>
      </c>
      <c r="B40" s="7" t="s">
        <v>56</v>
      </c>
      <c r="C40" s="8"/>
      <c r="D40" s="8"/>
      <c r="E40" s="8"/>
      <c r="F40" s="8"/>
    </row>
    <row r="41" ht="21.75" customHeight="1">
      <c r="A41" s="9">
        <f>38</f>
        <v>38</v>
      </c>
      <c r="B41" s="7" t="s">
        <v>45</v>
      </c>
      <c r="C41" s="8"/>
      <c r="D41" s="8"/>
      <c r="E41" s="8"/>
      <c r="F41" s="8"/>
    </row>
    <row r="42" ht="21.75" customHeight="1">
      <c r="A42" s="6">
        <f>39</f>
        <v>39</v>
      </c>
      <c r="B42" s="7" t="s">
        <v>57</v>
      </c>
      <c r="C42" s="8"/>
      <c r="D42" s="8"/>
      <c r="E42" s="8"/>
      <c r="F42" s="8"/>
    </row>
    <row r="43" ht="21.75" customHeight="1">
      <c r="A43" s="9">
        <f>40</f>
        <v>40</v>
      </c>
      <c r="B43" s="7" t="s">
        <v>58</v>
      </c>
      <c r="C43" s="8"/>
      <c r="D43" s="8"/>
      <c r="E43" s="8"/>
      <c r="F43" s="8"/>
    </row>
    <row r="44" ht="21.75" customHeight="1">
      <c r="A44" s="6">
        <f>41</f>
        <v>41</v>
      </c>
      <c r="B44" s="7" t="s">
        <v>59</v>
      </c>
      <c r="C44" s="7" t="s">
        <v>60</v>
      </c>
      <c r="D44" s="7" t="s">
        <v>61</v>
      </c>
      <c r="E44" s="7" t="s">
        <v>62</v>
      </c>
      <c r="F44" s="8"/>
    </row>
    <row r="45" ht="21.75" customHeight="1">
      <c r="A45" s="9">
        <f>42</f>
        <v>42</v>
      </c>
      <c r="B45" s="7" t="s">
        <v>63</v>
      </c>
      <c r="C45" s="8"/>
      <c r="D45" s="8"/>
      <c r="E45" s="8"/>
      <c r="F45" s="8"/>
    </row>
    <row r="46" ht="21.75" customHeight="1">
      <c r="A46" s="6">
        <f>43</f>
        <v>43</v>
      </c>
      <c r="B46" s="7" t="s">
        <v>64</v>
      </c>
      <c r="C46" s="8"/>
      <c r="D46" s="8"/>
      <c r="E46" s="8"/>
      <c r="F46" s="8"/>
    </row>
    <row r="47" ht="21.75" customHeight="1">
      <c r="A47" s="9">
        <f>44</f>
        <v>44</v>
      </c>
      <c r="B47" s="7" t="s">
        <v>22</v>
      </c>
      <c r="C47" s="8"/>
      <c r="D47" s="8"/>
      <c r="E47" s="8"/>
      <c r="F47" s="8"/>
    </row>
    <row r="48" ht="21.75" customHeight="1">
      <c r="A48" s="6">
        <f>45</f>
        <v>45</v>
      </c>
      <c r="B48" s="7" t="s">
        <v>65</v>
      </c>
      <c r="C48" s="8"/>
      <c r="D48" s="8"/>
      <c r="E48" s="8"/>
      <c r="F48" s="8"/>
    </row>
    <row r="49" ht="21.75" customHeight="1">
      <c r="A49" s="9">
        <f>46</f>
        <v>46</v>
      </c>
      <c r="B49" s="7" t="s">
        <v>66</v>
      </c>
      <c r="C49" s="8"/>
      <c r="D49" s="8"/>
      <c r="E49" s="8"/>
      <c r="F49" s="8"/>
    </row>
    <row r="50" ht="21.75" customHeight="1">
      <c r="A50" s="6">
        <f>47</f>
        <v>47</v>
      </c>
      <c r="B50" s="7" t="s">
        <v>67</v>
      </c>
      <c r="C50" s="8"/>
      <c r="D50" s="8"/>
      <c r="E50" s="8"/>
      <c r="F50" s="8"/>
    </row>
    <row r="51" ht="21.75" customHeight="1">
      <c r="A51" s="9">
        <f>48</f>
        <v>48</v>
      </c>
      <c r="B51" s="7" t="s">
        <v>68</v>
      </c>
      <c r="C51" s="8"/>
      <c r="D51" s="8"/>
      <c r="E51" s="8"/>
      <c r="F51" s="8"/>
    </row>
    <row r="52" ht="21.75" customHeight="1">
      <c r="A52" s="6">
        <f>49</f>
        <v>49</v>
      </c>
      <c r="B52" s="7" t="s">
        <v>69</v>
      </c>
      <c r="C52" s="8"/>
      <c r="D52" s="8"/>
      <c r="E52" s="8"/>
      <c r="F52" s="8"/>
    </row>
    <row r="53" ht="21.75" customHeight="1">
      <c r="A53" s="9">
        <f>50</f>
        <v>50</v>
      </c>
      <c r="B53" s="7" t="s">
        <v>70</v>
      </c>
      <c r="C53" s="8"/>
      <c r="D53" s="8"/>
      <c r="E53" s="8"/>
      <c r="F53" s="8"/>
    </row>
    <row r="54" ht="21.75" customHeight="1">
      <c r="A54" s="6">
        <f>51</f>
        <v>51</v>
      </c>
      <c r="B54" s="7" t="s">
        <v>71</v>
      </c>
      <c r="C54" s="8"/>
      <c r="D54" s="8"/>
      <c r="E54" s="8"/>
      <c r="F54" s="8"/>
    </row>
    <row r="55" ht="21.75" customHeight="1">
      <c r="A55" s="9">
        <f>52</f>
        <v>52</v>
      </c>
      <c r="B55" s="7" t="s">
        <v>72</v>
      </c>
      <c r="C55" s="8"/>
      <c r="D55" s="8"/>
      <c r="E55" s="8"/>
      <c r="F55" s="8"/>
    </row>
    <row r="56" ht="21.75" customHeight="1">
      <c r="A56" s="6">
        <f>53</f>
        <v>53</v>
      </c>
      <c r="B56" s="7" t="s">
        <v>73</v>
      </c>
      <c r="C56" s="8"/>
      <c r="D56" s="8"/>
      <c r="E56" s="8"/>
      <c r="F56" s="8"/>
    </row>
    <row r="57" ht="21.75" customHeight="1">
      <c r="A57" s="9">
        <f>54</f>
        <v>54</v>
      </c>
      <c r="B57" s="7" t="s">
        <v>74</v>
      </c>
      <c r="C57" s="8"/>
      <c r="D57" s="8"/>
      <c r="E57" s="8"/>
      <c r="F57" s="8"/>
    </row>
    <row r="58" ht="21.75" customHeight="1">
      <c r="A58" s="6">
        <f>55</f>
        <v>55</v>
      </c>
      <c r="B58" s="7" t="s">
        <v>75</v>
      </c>
      <c r="C58" s="8"/>
      <c r="D58" s="8"/>
      <c r="E58" s="8"/>
      <c r="F58" s="8"/>
    </row>
    <row r="59" ht="21.75" customHeight="1">
      <c r="A59" s="9">
        <f>56</f>
        <v>56</v>
      </c>
      <c r="B59" s="7" t="s">
        <v>76</v>
      </c>
      <c r="C59" s="8"/>
      <c r="D59" s="8"/>
      <c r="E59" s="8"/>
      <c r="F59" s="8"/>
    </row>
    <row r="60" ht="21.75" customHeight="1">
      <c r="A60" s="6">
        <f>57</f>
        <v>57</v>
      </c>
      <c r="B60" s="7" t="s">
        <v>77</v>
      </c>
      <c r="C60" s="8"/>
      <c r="D60" s="8"/>
      <c r="E60" s="8"/>
      <c r="F60" s="8"/>
    </row>
    <row r="61" ht="21.75" customHeight="1">
      <c r="A61" s="9">
        <f>58</f>
        <v>58</v>
      </c>
      <c r="B61" s="7" t="s">
        <v>78</v>
      </c>
      <c r="C61" s="8"/>
      <c r="D61" s="8"/>
      <c r="E61" s="8"/>
      <c r="F61" s="8"/>
    </row>
    <row r="62" ht="21.75" customHeight="1">
      <c r="A62" s="6">
        <f>59</f>
        <v>59</v>
      </c>
      <c r="B62" s="7" t="s">
        <v>79</v>
      </c>
      <c r="C62" s="8"/>
      <c r="D62" s="8"/>
      <c r="E62" s="8"/>
      <c r="F62" s="8"/>
    </row>
    <row r="63" ht="21.75" customHeight="1">
      <c r="A63" s="9">
        <f>60</f>
        <v>60</v>
      </c>
      <c r="B63" s="7" t="s">
        <v>80</v>
      </c>
      <c r="C63" s="8"/>
      <c r="D63" s="8"/>
      <c r="E63" s="8"/>
      <c r="F63" s="8"/>
    </row>
    <row r="64" ht="21.75" customHeight="1">
      <c r="A64" s="6">
        <f>61</f>
        <v>61</v>
      </c>
      <c r="B64" s="7" t="s">
        <v>81</v>
      </c>
      <c r="C64" s="8"/>
      <c r="D64" s="8"/>
      <c r="E64" s="8"/>
      <c r="F64" s="8"/>
    </row>
    <row r="65" ht="21.75" customHeight="1">
      <c r="A65" s="9">
        <f>62</f>
        <v>62</v>
      </c>
      <c r="B65" s="7" t="s">
        <v>82</v>
      </c>
      <c r="C65" s="8"/>
      <c r="D65" s="8"/>
      <c r="E65" s="8"/>
      <c r="F65" s="8"/>
    </row>
    <row r="66" ht="21.75" customHeight="1">
      <c r="A66" s="6">
        <f>63</f>
        <v>63</v>
      </c>
      <c r="B66" s="7" t="s">
        <v>83</v>
      </c>
      <c r="C66" s="8"/>
      <c r="D66" s="8"/>
      <c r="E66" s="8"/>
      <c r="F66" s="8"/>
    </row>
    <row r="67" ht="21.75" customHeight="1">
      <c r="A67" s="9">
        <f>64</f>
        <v>64</v>
      </c>
      <c r="B67" s="7" t="s">
        <v>84</v>
      </c>
      <c r="C67" s="8"/>
      <c r="D67" s="8"/>
      <c r="E67" s="8"/>
      <c r="F67" s="8"/>
    </row>
    <row r="68" ht="21.75" customHeight="1">
      <c r="A68" s="6">
        <f>65</f>
        <v>65</v>
      </c>
      <c r="B68" s="7" t="s">
        <v>85</v>
      </c>
      <c r="C68" s="8"/>
      <c r="D68" s="8"/>
      <c r="E68" s="8"/>
      <c r="F68" s="8"/>
    </row>
    <row r="69" ht="21.75" customHeight="1">
      <c r="A69" s="9">
        <f>66</f>
        <v>66</v>
      </c>
      <c r="B69" s="7" t="s">
        <v>86</v>
      </c>
      <c r="C69" s="8"/>
      <c r="D69" s="8"/>
      <c r="E69" s="8"/>
      <c r="F69" s="8"/>
    </row>
    <row r="70" ht="21.75" customHeight="1">
      <c r="A70" s="6">
        <f>67</f>
        <v>67</v>
      </c>
      <c r="B70" s="7" t="s">
        <v>87</v>
      </c>
      <c r="C70" s="8"/>
      <c r="D70" s="8"/>
      <c r="E70" s="8"/>
      <c r="F70" s="8"/>
    </row>
    <row r="71" ht="21.75" customHeight="1">
      <c r="A71" s="9">
        <f>68</f>
        <v>68</v>
      </c>
      <c r="B71" s="10" t="s">
        <v>88</v>
      </c>
      <c r="C71" s="11"/>
      <c r="D71" s="11"/>
      <c r="E71" s="11"/>
      <c r="F71" s="11"/>
    </row>
    <row r="72" ht="21.75" customHeight="1">
      <c r="A72" s="6">
        <f>69</f>
        <v>69</v>
      </c>
      <c r="B72" s="12"/>
      <c r="C72" s="12"/>
      <c r="D72" s="12"/>
      <c r="E72" s="12"/>
      <c r="F72" s="12"/>
    </row>
    <row r="73" ht="21.75" customHeight="1">
      <c r="A73" s="9">
        <f>70</f>
        <v>70</v>
      </c>
      <c r="B73" s="11"/>
      <c r="C73" s="11"/>
      <c r="D73" s="11"/>
      <c r="E73" s="11"/>
      <c r="F73" s="11"/>
    </row>
    <row r="74" ht="21.75" customHeight="1">
      <c r="A74" s="6">
        <f>71</f>
        <v>71</v>
      </c>
      <c r="B74" s="12"/>
      <c r="C74" s="12"/>
      <c r="D74" s="12"/>
      <c r="E74" s="12"/>
      <c r="F74" s="12"/>
    </row>
    <row r="75" ht="21.75" customHeight="1">
      <c r="A75" s="9">
        <f>72</f>
        <v>72</v>
      </c>
      <c r="B75" s="11"/>
      <c r="C75" s="11"/>
      <c r="D75" s="11"/>
      <c r="E75" s="11"/>
      <c r="F75" s="11"/>
    </row>
    <row r="76" ht="21.75" customHeight="1">
      <c r="A76" s="6">
        <f>73</f>
        <v>73</v>
      </c>
      <c r="B76" s="12"/>
      <c r="C76" s="12"/>
      <c r="D76" s="12"/>
      <c r="E76" s="12"/>
      <c r="F76" s="12"/>
    </row>
    <row r="77" ht="21.75" customHeight="1">
      <c r="A77" s="9">
        <f>74</f>
        <v>74</v>
      </c>
      <c r="B77" s="11"/>
      <c r="C77" s="11"/>
      <c r="D77" s="11"/>
      <c r="E77" s="11"/>
      <c r="F77" s="11"/>
    </row>
    <row r="78" ht="21.75" customHeight="1">
      <c r="A78" s="6">
        <f>75</f>
        <v>75</v>
      </c>
      <c r="B78" s="12"/>
      <c r="C78" s="12"/>
      <c r="D78" s="12"/>
      <c r="E78" s="12"/>
      <c r="F78" s="12"/>
    </row>
    <row r="79" ht="21.75" customHeight="1">
      <c r="A79" s="9">
        <f>76</f>
        <v>76</v>
      </c>
      <c r="B79" s="11"/>
      <c r="C79" s="11"/>
      <c r="D79" s="11"/>
      <c r="E79" s="11"/>
      <c r="F79" s="11"/>
    </row>
    <row r="80" ht="21.75" customHeight="1">
      <c r="A80" s="6">
        <f>77</f>
        <v>77</v>
      </c>
      <c r="B80" s="12"/>
      <c r="C80" s="12"/>
      <c r="D80" s="12"/>
      <c r="E80" s="12"/>
      <c r="F80" s="12"/>
    </row>
    <row r="81" ht="21.75" customHeight="1">
      <c r="A81" s="9">
        <f>78</f>
        <v>78</v>
      </c>
      <c r="B81" s="11"/>
      <c r="C81" s="11"/>
      <c r="D81" s="11"/>
      <c r="E81" s="11"/>
      <c r="F81" s="11"/>
    </row>
    <row r="82" ht="21.75" customHeight="1">
      <c r="A82" s="6">
        <f>79</f>
        <v>79</v>
      </c>
      <c r="B82" s="12"/>
      <c r="C82" s="12"/>
      <c r="D82" s="12"/>
      <c r="E82" s="12"/>
      <c r="F82" s="12"/>
    </row>
    <row r="83" ht="21.75" customHeight="1">
      <c r="A83" s="9">
        <f>80</f>
        <v>80</v>
      </c>
      <c r="B83" s="11"/>
      <c r="C83" s="11"/>
      <c r="D83" s="11"/>
      <c r="E83" s="11"/>
      <c r="F83" s="11"/>
    </row>
    <row r="84" ht="21.75" customHeight="1">
      <c r="A84" s="6">
        <f>81</f>
        <v>81</v>
      </c>
      <c r="B84" s="12"/>
      <c r="C84" s="12"/>
      <c r="D84" s="12"/>
      <c r="E84" s="12"/>
      <c r="F84" s="12"/>
    </row>
    <row r="85" ht="21.75" customHeight="1">
      <c r="A85" s="9">
        <f>82</f>
        <v>82</v>
      </c>
      <c r="B85" s="11"/>
      <c r="C85" s="11"/>
      <c r="D85" s="11"/>
      <c r="E85" s="11"/>
      <c r="F85" s="11"/>
    </row>
    <row r="86" ht="21.75" customHeight="1">
      <c r="A86" s="6">
        <f>83</f>
        <v>83</v>
      </c>
      <c r="B86" s="12"/>
      <c r="C86" s="12"/>
      <c r="D86" s="12"/>
      <c r="E86" s="12"/>
      <c r="F86" s="12"/>
    </row>
    <row r="87" ht="21.75" customHeight="1">
      <c r="A87" s="9">
        <f>84</f>
        <v>84</v>
      </c>
      <c r="B87" s="11"/>
      <c r="C87" s="11"/>
      <c r="D87" s="11"/>
      <c r="E87" s="11"/>
      <c r="F87" s="11"/>
    </row>
    <row r="88" ht="21.75" customHeight="1">
      <c r="A88" s="6">
        <f>85</f>
        <v>85</v>
      </c>
      <c r="B88" s="12"/>
      <c r="C88" s="12"/>
      <c r="D88" s="12"/>
      <c r="E88" s="12"/>
      <c r="F88" s="12"/>
    </row>
    <row r="89" ht="21.75" customHeight="1">
      <c r="A89" s="9">
        <f>86</f>
        <v>86</v>
      </c>
      <c r="B89" s="11"/>
      <c r="C89" s="11"/>
      <c r="D89" s="11"/>
      <c r="E89" s="11"/>
      <c r="F89" s="11"/>
    </row>
    <row r="90" ht="21.75" customHeight="1">
      <c r="A90" s="6">
        <f>87</f>
        <v>87</v>
      </c>
      <c r="B90" s="12"/>
      <c r="C90" s="12"/>
      <c r="D90" s="12"/>
      <c r="E90" s="12"/>
      <c r="F90" s="12"/>
    </row>
    <row r="91" ht="21.75" customHeight="1">
      <c r="A91" s="9">
        <f>88</f>
        <v>88</v>
      </c>
      <c r="B91" s="11"/>
      <c r="C91" s="11"/>
      <c r="D91" s="11"/>
      <c r="E91" s="11"/>
      <c r="F91" s="11"/>
    </row>
    <row r="92" ht="21.75" customHeight="1">
      <c r="A92" s="6">
        <f>89</f>
        <v>89</v>
      </c>
      <c r="B92" s="12"/>
      <c r="C92" s="12"/>
      <c r="D92" s="12"/>
      <c r="E92" s="12"/>
      <c r="F92" s="12"/>
    </row>
    <row r="93" ht="21.75" customHeight="1">
      <c r="A93" s="9">
        <f>90</f>
        <v>90</v>
      </c>
      <c r="B93" s="11"/>
      <c r="C93" s="11"/>
      <c r="D93" s="11"/>
      <c r="E93" s="11"/>
      <c r="F93" s="11"/>
    </row>
    <row r="94" ht="21.75" customHeight="1">
      <c r="A94" s="6">
        <f>91</f>
        <v>91</v>
      </c>
      <c r="B94" s="12"/>
      <c r="C94" s="12"/>
      <c r="D94" s="12"/>
      <c r="E94" s="12"/>
      <c r="F94" s="12"/>
    </row>
    <row r="95" ht="21.75" customHeight="1">
      <c r="A95" s="9">
        <f>92</f>
        <v>92</v>
      </c>
      <c r="B95" s="11"/>
      <c r="C95" s="11"/>
      <c r="D95" s="11"/>
      <c r="E95" s="11"/>
      <c r="F95" s="11"/>
    </row>
    <row r="96" ht="21.75" customHeight="1">
      <c r="A96" s="6">
        <f>93</f>
        <v>93</v>
      </c>
      <c r="B96" s="12"/>
      <c r="C96" s="12"/>
      <c r="D96" s="12"/>
      <c r="E96" s="12"/>
      <c r="F96" s="12"/>
    </row>
    <row r="97" ht="21.75" customHeight="1">
      <c r="A97" s="9">
        <f>94</f>
        <v>94</v>
      </c>
      <c r="B97" s="11"/>
      <c r="C97" s="11"/>
      <c r="D97" s="11"/>
      <c r="E97" s="11"/>
      <c r="F97" s="11"/>
    </row>
    <row r="98" ht="21.75" customHeight="1">
      <c r="A98" s="6">
        <f>95</f>
        <v>95</v>
      </c>
      <c r="B98" s="12"/>
      <c r="C98" s="12"/>
      <c r="D98" s="12"/>
      <c r="E98" s="12"/>
      <c r="F98" s="12"/>
    </row>
    <row r="99" ht="21.75" customHeight="1">
      <c r="A99" s="9">
        <f>96</f>
        <v>96</v>
      </c>
      <c r="B99" s="11"/>
      <c r="C99" s="11"/>
      <c r="D99" s="11"/>
      <c r="E99" s="11"/>
      <c r="F99" s="11"/>
    </row>
    <row r="100" ht="21.75" customHeight="1">
      <c r="A100" s="6">
        <f>97</f>
        <v>97</v>
      </c>
      <c r="B100" s="12"/>
      <c r="C100" s="12"/>
      <c r="D100" s="12"/>
      <c r="E100" s="12"/>
      <c r="F100" s="12"/>
    </row>
    <row r="101" ht="21.75" customHeight="1">
      <c r="A101" s="9"/>
      <c r="B101" s="11"/>
      <c r="C101" s="11"/>
      <c r="D101" s="11"/>
      <c r="E101" s="11"/>
      <c r="F101" s="11"/>
    </row>
    <row r="102" ht="15.75" customHeight="1">
      <c r="A102" s="13"/>
      <c r="B102" s="13"/>
      <c r="C102" s="13"/>
      <c r="D102" s="13"/>
      <c r="E102" s="13"/>
      <c r="F102" s="13"/>
    </row>
    <row r="103" ht="15.75" customHeight="1">
      <c r="A103" s="13"/>
      <c r="B103" s="13"/>
      <c r="C103" s="13"/>
      <c r="D103" s="13"/>
      <c r="E103" s="13"/>
      <c r="F103" s="13"/>
    </row>
    <row r="104" ht="15.75" customHeight="1">
      <c r="A104" s="13"/>
      <c r="B104" s="13"/>
      <c r="C104" s="13"/>
      <c r="D104" s="13"/>
      <c r="E104" s="13"/>
      <c r="F104" s="13"/>
    </row>
    <row r="105" ht="15.75" customHeight="1">
      <c r="A105" s="13"/>
      <c r="B105" s="13"/>
      <c r="C105" s="13"/>
      <c r="D105" s="13"/>
      <c r="E105" s="13"/>
      <c r="F105" s="13"/>
    </row>
    <row r="106" ht="15.75" customHeight="1">
      <c r="A106" s="13"/>
      <c r="B106" s="13"/>
      <c r="C106" s="13"/>
      <c r="D106" s="13"/>
      <c r="E106" s="13"/>
      <c r="F106" s="13"/>
    </row>
    <row r="107" ht="15.75" customHeight="1">
      <c r="A107" s="13"/>
      <c r="B107" s="13"/>
      <c r="C107" s="13"/>
      <c r="D107" s="13"/>
      <c r="E107" s="13"/>
      <c r="F107" s="13"/>
    </row>
    <row r="108" ht="15.75" customHeight="1">
      <c r="A108" s="13"/>
      <c r="B108" s="13"/>
      <c r="C108" s="13"/>
      <c r="D108" s="13"/>
      <c r="E108" s="13"/>
      <c r="F108" s="13"/>
    </row>
    <row r="109" ht="15.75" customHeight="1">
      <c r="A109" s="13"/>
      <c r="B109" s="13"/>
      <c r="C109" s="13"/>
      <c r="D109" s="13"/>
      <c r="E109" s="13"/>
      <c r="F109" s="13"/>
    </row>
    <row r="110" ht="15.75" customHeight="1">
      <c r="A110" s="13"/>
      <c r="B110" s="13"/>
      <c r="C110" s="13"/>
      <c r="D110" s="13"/>
      <c r="E110" s="13"/>
      <c r="F110" s="13"/>
    </row>
    <row r="111" ht="15.75" customHeight="1">
      <c r="A111" s="13"/>
      <c r="B111" s="13"/>
      <c r="C111" s="13"/>
      <c r="D111" s="13"/>
      <c r="E111" s="13"/>
      <c r="F111" s="13"/>
    </row>
    <row r="112" ht="15.75" customHeight="1">
      <c r="A112" s="13"/>
      <c r="B112" s="13"/>
      <c r="C112" s="13"/>
      <c r="D112" s="13"/>
      <c r="E112" s="13"/>
      <c r="F112" s="13"/>
    </row>
    <row r="113" ht="15.75" customHeight="1">
      <c r="A113" s="13"/>
      <c r="B113" s="13"/>
      <c r="C113" s="13"/>
      <c r="D113" s="13"/>
      <c r="E113" s="13"/>
      <c r="F113" s="13"/>
    </row>
    <row r="114" ht="15.75" customHeight="1">
      <c r="A114" s="13"/>
      <c r="B114" s="13"/>
      <c r="C114" s="13"/>
      <c r="D114" s="13"/>
      <c r="E114" s="13"/>
      <c r="F114" s="13"/>
    </row>
    <row r="115" ht="15.75" customHeight="1">
      <c r="A115" s="13"/>
      <c r="B115" s="13"/>
      <c r="C115" s="13"/>
      <c r="D115" s="13"/>
      <c r="E115" s="13"/>
      <c r="F115" s="13"/>
    </row>
    <row r="116" ht="15.75" customHeight="1">
      <c r="A116" s="13"/>
      <c r="B116" s="13"/>
      <c r="C116" s="13"/>
      <c r="D116" s="13"/>
      <c r="E116" s="13"/>
      <c r="F116" s="13"/>
    </row>
    <row r="117" ht="15.75" customHeight="1">
      <c r="A117" s="13"/>
      <c r="B117" s="13"/>
      <c r="C117" s="13"/>
      <c r="D117" s="13"/>
      <c r="E117" s="13"/>
      <c r="F117" s="13"/>
    </row>
    <row r="118" ht="15.75" customHeight="1">
      <c r="A118" s="13"/>
      <c r="B118" s="13"/>
      <c r="C118" s="13"/>
      <c r="D118" s="13"/>
      <c r="E118" s="13"/>
      <c r="F118" s="13"/>
    </row>
    <row r="119" ht="15.75" customHeight="1">
      <c r="A119" s="13"/>
      <c r="B119" s="13"/>
      <c r="C119" s="13"/>
      <c r="D119" s="13"/>
      <c r="E119" s="13"/>
      <c r="F119" s="13"/>
    </row>
    <row r="120" ht="15.75" customHeight="1">
      <c r="A120" s="13"/>
      <c r="B120" s="13"/>
      <c r="C120" s="13"/>
      <c r="D120" s="13"/>
      <c r="E120" s="13"/>
      <c r="F120" s="13"/>
    </row>
    <row r="121" ht="15.75" customHeight="1">
      <c r="A121" s="13"/>
      <c r="B121" s="13"/>
      <c r="C121" s="13"/>
      <c r="D121" s="13"/>
      <c r="E121" s="13"/>
      <c r="F121" s="13"/>
    </row>
    <row r="122" ht="15.75" customHeight="1">
      <c r="A122" s="13"/>
      <c r="B122" s="13"/>
      <c r="C122" s="13"/>
      <c r="D122" s="13"/>
      <c r="E122" s="13"/>
      <c r="F122" s="13"/>
    </row>
    <row r="123" ht="15.75" customHeight="1">
      <c r="A123" s="13"/>
      <c r="B123" s="13"/>
      <c r="C123" s="13"/>
      <c r="D123" s="13"/>
      <c r="E123" s="13"/>
      <c r="F123" s="13"/>
    </row>
    <row r="124" ht="15.75" customHeight="1">
      <c r="A124" s="13"/>
      <c r="B124" s="13"/>
      <c r="C124" s="13"/>
      <c r="D124" s="13"/>
      <c r="E124" s="13"/>
      <c r="F124" s="13"/>
    </row>
    <row r="125" ht="15.75" customHeight="1">
      <c r="A125" s="13"/>
      <c r="B125" s="13"/>
      <c r="C125" s="13"/>
      <c r="D125" s="13"/>
      <c r="E125" s="13"/>
      <c r="F125" s="13"/>
    </row>
    <row r="126" ht="15.75" customHeight="1">
      <c r="A126" s="13"/>
      <c r="B126" s="13"/>
      <c r="C126" s="13"/>
      <c r="D126" s="13"/>
      <c r="E126" s="13"/>
      <c r="F126" s="13"/>
    </row>
    <row r="127" ht="15.75" customHeight="1">
      <c r="A127" s="13"/>
      <c r="B127" s="13"/>
      <c r="C127" s="13"/>
      <c r="D127" s="13"/>
      <c r="E127" s="13"/>
      <c r="F127" s="13"/>
    </row>
    <row r="128" ht="15.75" customHeight="1">
      <c r="A128" s="13"/>
      <c r="B128" s="13"/>
      <c r="C128" s="13"/>
      <c r="D128" s="13"/>
      <c r="E128" s="13"/>
      <c r="F128" s="13"/>
    </row>
    <row r="129" ht="15.75" customHeight="1">
      <c r="A129" s="13"/>
      <c r="B129" s="13"/>
      <c r="C129" s="13"/>
      <c r="D129" s="13"/>
      <c r="E129" s="13"/>
      <c r="F129" s="13"/>
    </row>
    <row r="130" ht="15.75" customHeight="1">
      <c r="A130" s="13"/>
      <c r="B130" s="13"/>
      <c r="C130" s="13"/>
      <c r="D130" s="13"/>
      <c r="E130" s="13"/>
      <c r="F130" s="13"/>
    </row>
    <row r="131" ht="15.75" customHeight="1">
      <c r="A131" s="13"/>
      <c r="B131" s="13"/>
      <c r="C131" s="13"/>
      <c r="D131" s="13"/>
      <c r="E131" s="13"/>
      <c r="F131" s="13"/>
    </row>
    <row r="132" ht="15.75" customHeight="1">
      <c r="A132" s="13"/>
      <c r="B132" s="13"/>
      <c r="C132" s="13"/>
      <c r="D132" s="13"/>
      <c r="E132" s="13"/>
      <c r="F132" s="13"/>
    </row>
    <row r="133" ht="15.75" customHeight="1">
      <c r="A133" s="13"/>
      <c r="B133" s="13"/>
      <c r="C133" s="13"/>
      <c r="D133" s="13"/>
      <c r="E133" s="13"/>
      <c r="F133" s="13"/>
    </row>
    <row r="134" ht="15.75" customHeight="1">
      <c r="A134" s="13"/>
      <c r="B134" s="13"/>
      <c r="C134" s="13"/>
      <c r="D134" s="13"/>
      <c r="E134" s="13"/>
      <c r="F134" s="13"/>
    </row>
    <row r="135" ht="15.75" customHeight="1">
      <c r="A135" s="13"/>
      <c r="B135" s="13"/>
      <c r="C135" s="13"/>
      <c r="D135" s="13"/>
      <c r="E135" s="13"/>
      <c r="F135" s="13"/>
    </row>
    <row r="136" ht="15.75" customHeight="1">
      <c r="A136" s="13"/>
      <c r="B136" s="13"/>
      <c r="C136" s="13"/>
      <c r="D136" s="13"/>
      <c r="E136" s="13"/>
      <c r="F136" s="13"/>
    </row>
    <row r="137" ht="15.75" customHeight="1">
      <c r="A137" s="13"/>
      <c r="B137" s="13"/>
      <c r="C137" s="13"/>
      <c r="D137" s="13"/>
      <c r="E137" s="13"/>
      <c r="F137" s="13"/>
    </row>
    <row r="138" ht="15.75" customHeight="1">
      <c r="A138" s="13"/>
      <c r="B138" s="13"/>
      <c r="C138" s="13"/>
      <c r="D138" s="13"/>
      <c r="E138" s="13"/>
      <c r="F138" s="13"/>
    </row>
    <row r="139" ht="15.75" customHeight="1">
      <c r="A139" s="13"/>
      <c r="B139" s="13"/>
      <c r="C139" s="13"/>
      <c r="D139" s="13"/>
      <c r="E139" s="13"/>
      <c r="F139" s="13"/>
    </row>
    <row r="140" ht="15.75" customHeight="1">
      <c r="A140" s="13"/>
      <c r="B140" s="13"/>
      <c r="C140" s="13"/>
      <c r="D140" s="13"/>
      <c r="E140" s="13"/>
      <c r="F140" s="13"/>
    </row>
    <row r="141" ht="15.75" customHeight="1">
      <c r="A141" s="13"/>
      <c r="B141" s="13"/>
      <c r="C141" s="13"/>
      <c r="D141" s="13"/>
      <c r="E141" s="13"/>
      <c r="F141" s="13"/>
    </row>
    <row r="142" ht="15.75" customHeight="1">
      <c r="A142" s="13"/>
      <c r="B142" s="13"/>
      <c r="C142" s="13"/>
      <c r="D142" s="13"/>
      <c r="E142" s="13"/>
      <c r="F142" s="13"/>
    </row>
    <row r="143" ht="15.75" customHeight="1">
      <c r="A143" s="13"/>
      <c r="B143" s="13"/>
      <c r="C143" s="13"/>
      <c r="D143" s="13"/>
      <c r="E143" s="13"/>
      <c r="F143" s="13"/>
    </row>
    <row r="144" ht="15.75" customHeight="1">
      <c r="A144" s="13"/>
      <c r="B144" s="13"/>
      <c r="C144" s="13"/>
      <c r="D144" s="13"/>
      <c r="E144" s="13"/>
      <c r="F144" s="13"/>
    </row>
    <row r="145" ht="15.75" customHeight="1">
      <c r="A145" s="13"/>
      <c r="B145" s="13"/>
      <c r="C145" s="13"/>
      <c r="D145" s="13"/>
      <c r="E145" s="13"/>
      <c r="F145" s="13"/>
    </row>
    <row r="146" ht="15.75" customHeight="1">
      <c r="A146" s="13"/>
      <c r="B146" s="13"/>
      <c r="C146" s="13"/>
      <c r="D146" s="13"/>
      <c r="E146" s="13"/>
      <c r="F146" s="13"/>
    </row>
    <row r="147" ht="15.75" customHeight="1">
      <c r="A147" s="13"/>
      <c r="B147" s="13"/>
      <c r="C147" s="13"/>
      <c r="D147" s="13"/>
      <c r="E147" s="13"/>
      <c r="F147" s="13"/>
    </row>
    <row r="148" ht="15.75" customHeight="1">
      <c r="A148" s="13"/>
      <c r="B148" s="13"/>
      <c r="C148" s="13"/>
      <c r="D148" s="13"/>
      <c r="E148" s="13"/>
      <c r="F148" s="13"/>
    </row>
    <row r="149" ht="15.75" customHeight="1">
      <c r="A149" s="13"/>
      <c r="B149" s="13"/>
      <c r="C149" s="13"/>
      <c r="D149" s="13"/>
      <c r="E149" s="13"/>
      <c r="F149" s="13"/>
    </row>
    <row r="150" ht="15.75" customHeight="1">
      <c r="A150" s="13"/>
      <c r="B150" s="13"/>
      <c r="C150" s="13"/>
      <c r="D150" s="13"/>
      <c r="E150" s="13"/>
      <c r="F150" s="13"/>
    </row>
    <row r="151" ht="15.75" customHeight="1">
      <c r="A151" s="13"/>
      <c r="B151" s="13"/>
      <c r="C151" s="13"/>
      <c r="D151" s="13"/>
      <c r="E151" s="13"/>
      <c r="F151" s="13"/>
    </row>
    <row r="152" ht="15.75" customHeight="1">
      <c r="A152" s="13"/>
      <c r="B152" s="13"/>
      <c r="C152" s="13"/>
      <c r="D152" s="13"/>
      <c r="E152" s="13"/>
      <c r="F152" s="13"/>
    </row>
    <row r="153" ht="15.75" customHeight="1">
      <c r="A153" s="13"/>
      <c r="B153" s="13"/>
      <c r="C153" s="13"/>
      <c r="D153" s="13"/>
      <c r="E153" s="13"/>
      <c r="F153" s="13"/>
    </row>
    <row r="154" ht="15.75" customHeight="1">
      <c r="A154" s="13"/>
      <c r="B154" s="13"/>
      <c r="C154" s="13"/>
      <c r="D154" s="13"/>
      <c r="E154" s="13"/>
      <c r="F154" s="13"/>
    </row>
    <row r="155" ht="15.75" customHeight="1">
      <c r="A155" s="13"/>
      <c r="B155" s="13"/>
      <c r="C155" s="13"/>
      <c r="D155" s="13"/>
      <c r="E155" s="13"/>
      <c r="F155" s="13"/>
    </row>
    <row r="156" ht="15.75" customHeight="1">
      <c r="A156" s="13"/>
      <c r="B156" s="13"/>
      <c r="C156" s="13"/>
      <c r="D156" s="13"/>
      <c r="E156" s="13"/>
      <c r="F156" s="13"/>
    </row>
    <row r="157" ht="15.75" customHeight="1">
      <c r="A157" s="13"/>
      <c r="B157" s="13"/>
      <c r="C157" s="13"/>
      <c r="D157" s="13"/>
      <c r="E157" s="13"/>
      <c r="F157" s="13"/>
    </row>
    <row r="158" ht="15.75" customHeight="1">
      <c r="A158" s="13"/>
      <c r="B158" s="13"/>
      <c r="C158" s="13"/>
      <c r="D158" s="13"/>
      <c r="E158" s="13"/>
      <c r="F158" s="13"/>
    </row>
    <row r="159" ht="15.75" customHeight="1">
      <c r="A159" s="13"/>
      <c r="B159" s="13"/>
      <c r="C159" s="13"/>
      <c r="D159" s="13"/>
      <c r="E159" s="13"/>
      <c r="F159" s="13"/>
    </row>
    <row r="160" ht="15.75" customHeight="1">
      <c r="A160" s="13"/>
      <c r="B160" s="13"/>
      <c r="C160" s="13"/>
      <c r="D160" s="13"/>
      <c r="E160" s="13"/>
      <c r="F160" s="13"/>
    </row>
    <row r="161" ht="15.75" customHeight="1">
      <c r="A161" s="13"/>
      <c r="B161" s="13"/>
      <c r="C161" s="13"/>
      <c r="D161" s="13"/>
      <c r="E161" s="13"/>
      <c r="F161" s="13"/>
    </row>
    <row r="162" ht="15.75" customHeight="1">
      <c r="A162" s="13"/>
      <c r="B162" s="13"/>
      <c r="C162" s="13"/>
      <c r="D162" s="13"/>
      <c r="E162" s="13"/>
      <c r="F162" s="13"/>
    </row>
    <row r="163" ht="15.75" customHeight="1">
      <c r="A163" s="13"/>
      <c r="B163" s="13"/>
      <c r="C163" s="13"/>
      <c r="D163" s="13"/>
      <c r="E163" s="13"/>
      <c r="F163" s="13"/>
    </row>
    <row r="164" ht="15.75" customHeight="1">
      <c r="A164" s="13"/>
      <c r="B164" s="13"/>
      <c r="C164" s="13"/>
      <c r="D164" s="13"/>
      <c r="E164" s="13"/>
      <c r="F164" s="13"/>
    </row>
    <row r="165" ht="15.75" customHeight="1">
      <c r="A165" s="13"/>
      <c r="B165" s="13"/>
      <c r="C165" s="13"/>
      <c r="D165" s="13"/>
      <c r="E165" s="13"/>
      <c r="F165" s="13"/>
    </row>
    <row r="166" ht="15.75" customHeight="1">
      <c r="A166" s="13"/>
      <c r="B166" s="13"/>
      <c r="C166" s="13"/>
      <c r="D166" s="13"/>
      <c r="E166" s="13"/>
      <c r="F166" s="13"/>
    </row>
    <row r="167" ht="15.75" customHeight="1">
      <c r="A167" s="13"/>
      <c r="B167" s="13"/>
      <c r="C167" s="13"/>
      <c r="D167" s="13"/>
      <c r="E167" s="13"/>
      <c r="F167" s="13"/>
    </row>
    <row r="168" ht="15.75" customHeight="1">
      <c r="A168" s="13"/>
      <c r="B168" s="13"/>
      <c r="C168" s="13"/>
      <c r="D168" s="13"/>
      <c r="E168" s="13"/>
      <c r="F168" s="13"/>
    </row>
    <row r="169" ht="15.75" customHeight="1">
      <c r="A169" s="13"/>
      <c r="B169" s="13"/>
      <c r="C169" s="13"/>
      <c r="D169" s="13"/>
      <c r="E169" s="13"/>
      <c r="F169" s="13"/>
    </row>
    <row r="170" ht="15.75" customHeight="1">
      <c r="A170" s="13"/>
      <c r="B170" s="13"/>
      <c r="C170" s="13"/>
      <c r="D170" s="13"/>
      <c r="E170" s="13"/>
      <c r="F170" s="13"/>
    </row>
    <row r="171" ht="15.75" customHeight="1">
      <c r="A171" s="13"/>
      <c r="B171" s="13"/>
      <c r="C171" s="13"/>
      <c r="D171" s="13"/>
      <c r="E171" s="13"/>
      <c r="F171" s="13"/>
    </row>
    <row r="172" ht="15.75" customHeight="1">
      <c r="A172" s="13"/>
      <c r="B172" s="13"/>
      <c r="C172" s="13"/>
      <c r="D172" s="13"/>
      <c r="E172" s="13"/>
      <c r="F172" s="13"/>
    </row>
    <row r="173" ht="15.75" customHeight="1">
      <c r="A173" s="13"/>
      <c r="B173" s="13"/>
      <c r="C173" s="13"/>
      <c r="D173" s="13"/>
      <c r="E173" s="13"/>
      <c r="F173" s="13"/>
    </row>
    <row r="174" ht="15.75" customHeight="1">
      <c r="A174" s="13"/>
      <c r="B174" s="13"/>
      <c r="C174" s="13"/>
      <c r="D174" s="13"/>
      <c r="E174" s="13"/>
      <c r="F174" s="13"/>
    </row>
    <row r="175" ht="15.75" customHeight="1">
      <c r="A175" s="13"/>
      <c r="B175" s="13"/>
      <c r="C175" s="13"/>
      <c r="D175" s="13"/>
      <c r="E175" s="13"/>
      <c r="F175" s="13"/>
    </row>
    <row r="176" ht="15.75" customHeight="1">
      <c r="A176" s="13"/>
      <c r="B176" s="13"/>
      <c r="C176" s="13"/>
      <c r="D176" s="13"/>
      <c r="E176" s="13"/>
      <c r="F176" s="13"/>
    </row>
    <row r="177" ht="15.75" customHeight="1">
      <c r="A177" s="13"/>
      <c r="B177" s="13"/>
      <c r="C177" s="13"/>
      <c r="D177" s="13"/>
      <c r="E177" s="13"/>
      <c r="F177" s="13"/>
    </row>
    <row r="178" ht="15.75" customHeight="1">
      <c r="A178" s="13"/>
      <c r="B178" s="13"/>
      <c r="C178" s="13"/>
      <c r="D178" s="13"/>
      <c r="E178" s="13"/>
      <c r="F178" s="13"/>
    </row>
    <row r="179" ht="15.75" customHeight="1">
      <c r="A179" s="13"/>
      <c r="B179" s="13"/>
      <c r="C179" s="13"/>
      <c r="D179" s="13"/>
      <c r="E179" s="13"/>
      <c r="F179" s="13"/>
    </row>
    <row r="180" ht="15.75" customHeight="1">
      <c r="A180" s="13"/>
      <c r="B180" s="13"/>
      <c r="C180" s="13"/>
      <c r="D180" s="13"/>
      <c r="E180" s="13"/>
      <c r="F180" s="13"/>
    </row>
    <row r="181" ht="15.75" customHeight="1">
      <c r="A181" s="13"/>
      <c r="B181" s="13"/>
      <c r="C181" s="13"/>
      <c r="D181" s="13"/>
      <c r="E181" s="13"/>
      <c r="F181" s="13"/>
    </row>
    <row r="182" ht="15.75" customHeight="1">
      <c r="A182" s="13"/>
      <c r="B182" s="13"/>
      <c r="C182" s="13"/>
      <c r="D182" s="13"/>
      <c r="E182" s="13"/>
      <c r="F182" s="13"/>
    </row>
    <row r="183" ht="15.75" customHeight="1">
      <c r="A183" s="13"/>
      <c r="B183" s="13"/>
      <c r="C183" s="13"/>
      <c r="D183" s="13"/>
      <c r="E183" s="13"/>
      <c r="F183" s="13"/>
    </row>
    <row r="184" ht="15.75" customHeight="1">
      <c r="A184" s="13"/>
      <c r="B184" s="13"/>
      <c r="C184" s="13"/>
      <c r="D184" s="13"/>
      <c r="E184" s="13"/>
      <c r="F184" s="13"/>
    </row>
    <row r="185" ht="15.75" customHeight="1">
      <c r="A185" s="13"/>
      <c r="B185" s="13"/>
      <c r="C185" s="13"/>
      <c r="D185" s="13"/>
      <c r="E185" s="13"/>
      <c r="F185" s="13"/>
    </row>
    <row r="186" ht="15.75" customHeight="1">
      <c r="A186" s="13"/>
      <c r="B186" s="13"/>
      <c r="C186" s="13"/>
      <c r="D186" s="13"/>
      <c r="E186" s="13"/>
      <c r="F186" s="13"/>
    </row>
    <row r="187" ht="15.75" customHeight="1">
      <c r="A187" s="13"/>
      <c r="B187" s="13"/>
      <c r="C187" s="13"/>
      <c r="D187" s="13"/>
      <c r="E187" s="13"/>
      <c r="F187" s="13"/>
    </row>
    <row r="188" ht="15.75" customHeight="1">
      <c r="A188" s="13"/>
      <c r="B188" s="13"/>
      <c r="C188" s="13"/>
      <c r="D188" s="13"/>
      <c r="E188" s="13"/>
      <c r="F188" s="13"/>
    </row>
    <row r="189" ht="15.75" customHeight="1">
      <c r="A189" s="13"/>
      <c r="B189" s="13"/>
      <c r="C189" s="13"/>
      <c r="D189" s="13"/>
      <c r="E189" s="13"/>
      <c r="F189" s="13"/>
    </row>
    <row r="190" ht="15.75" customHeight="1">
      <c r="A190" s="13"/>
      <c r="B190" s="13"/>
      <c r="C190" s="13"/>
      <c r="D190" s="13"/>
      <c r="E190" s="13"/>
      <c r="F190" s="13"/>
    </row>
    <row r="191" ht="15.75" customHeight="1">
      <c r="A191" s="13"/>
      <c r="B191" s="13"/>
      <c r="C191" s="13"/>
      <c r="D191" s="13"/>
      <c r="E191" s="13"/>
      <c r="F191" s="13"/>
    </row>
    <row r="192" ht="15.75" customHeight="1">
      <c r="A192" s="13"/>
      <c r="B192" s="13"/>
      <c r="C192" s="13"/>
      <c r="D192" s="13"/>
      <c r="E192" s="13"/>
      <c r="F192" s="13"/>
    </row>
    <row r="193" ht="15.75" customHeight="1">
      <c r="A193" s="13"/>
      <c r="B193" s="13"/>
      <c r="C193" s="13"/>
      <c r="D193" s="13"/>
      <c r="E193" s="13"/>
      <c r="F193" s="13"/>
    </row>
    <row r="194" ht="15.75" customHeight="1">
      <c r="A194" s="13"/>
      <c r="B194" s="13"/>
      <c r="C194" s="13"/>
      <c r="D194" s="13"/>
      <c r="E194" s="13"/>
      <c r="F194" s="13"/>
    </row>
    <row r="195" ht="15.75" customHeight="1">
      <c r="A195" s="13"/>
      <c r="B195" s="13"/>
      <c r="C195" s="13"/>
      <c r="D195" s="13"/>
      <c r="E195" s="13"/>
      <c r="F195" s="13"/>
    </row>
    <row r="196" ht="15.75" customHeight="1">
      <c r="A196" s="13"/>
      <c r="B196" s="13"/>
      <c r="C196" s="13"/>
      <c r="D196" s="13"/>
      <c r="E196" s="13"/>
      <c r="F196" s="13"/>
    </row>
    <row r="197" ht="15.75" customHeight="1">
      <c r="A197" s="13"/>
      <c r="B197" s="13"/>
      <c r="C197" s="13"/>
      <c r="D197" s="13"/>
      <c r="E197" s="13"/>
      <c r="F197" s="13"/>
    </row>
    <row r="198" ht="15.75" customHeight="1">
      <c r="A198" s="13"/>
      <c r="B198" s="13"/>
      <c r="C198" s="13"/>
      <c r="D198" s="13"/>
      <c r="E198" s="13"/>
      <c r="F198" s="13"/>
    </row>
    <row r="199" ht="15.75" customHeight="1">
      <c r="A199" s="13"/>
      <c r="B199" s="13"/>
      <c r="C199" s="13"/>
      <c r="D199" s="13"/>
      <c r="E199" s="13"/>
      <c r="F199" s="13"/>
    </row>
    <row r="200" ht="15.75" customHeight="1">
      <c r="A200" s="13"/>
      <c r="B200" s="13"/>
      <c r="C200" s="13"/>
      <c r="D200" s="13"/>
      <c r="E200" s="13"/>
      <c r="F200" s="13"/>
    </row>
    <row r="201" ht="15.75" customHeight="1">
      <c r="A201" s="13"/>
      <c r="B201" s="13"/>
      <c r="C201" s="13"/>
      <c r="D201" s="13"/>
      <c r="E201" s="13"/>
      <c r="F201" s="13"/>
    </row>
    <row r="202" ht="15.75" customHeight="1">
      <c r="A202" s="13"/>
      <c r="B202" s="13"/>
      <c r="C202" s="13"/>
      <c r="D202" s="13"/>
      <c r="E202" s="13"/>
      <c r="F202" s="13"/>
    </row>
    <row r="203" ht="15.75" customHeight="1">
      <c r="A203" s="13"/>
      <c r="B203" s="13"/>
      <c r="C203" s="13"/>
      <c r="D203" s="13"/>
      <c r="E203" s="13"/>
      <c r="F203" s="13"/>
    </row>
    <row r="204" ht="15.75" customHeight="1">
      <c r="A204" s="13"/>
      <c r="B204" s="13"/>
      <c r="C204" s="13"/>
      <c r="D204" s="13"/>
      <c r="E204" s="13"/>
      <c r="F204" s="13"/>
    </row>
    <row r="205" ht="15.75" customHeight="1">
      <c r="A205" s="13"/>
      <c r="B205" s="13"/>
      <c r="C205" s="13"/>
      <c r="D205" s="13"/>
      <c r="E205" s="13"/>
      <c r="F205" s="13"/>
    </row>
    <row r="206" ht="15.75" customHeight="1">
      <c r="A206" s="13"/>
      <c r="B206" s="13"/>
      <c r="C206" s="13"/>
      <c r="D206" s="13"/>
      <c r="E206" s="13"/>
      <c r="F206" s="13"/>
    </row>
    <row r="207" ht="15.75" customHeight="1">
      <c r="A207" s="13"/>
      <c r="B207" s="13"/>
      <c r="C207" s="13"/>
      <c r="D207" s="13"/>
      <c r="E207" s="13"/>
      <c r="F207" s="13"/>
    </row>
    <row r="208" ht="15.75" customHeight="1">
      <c r="A208" s="13"/>
      <c r="B208" s="13"/>
      <c r="C208" s="13"/>
      <c r="D208" s="13"/>
      <c r="E208" s="13"/>
      <c r="F208" s="13"/>
    </row>
    <row r="209" ht="15.75" customHeight="1">
      <c r="A209" s="13"/>
      <c r="B209" s="13"/>
      <c r="C209" s="13"/>
      <c r="D209" s="13"/>
      <c r="E209" s="13"/>
      <c r="F209" s="13"/>
    </row>
    <row r="210" ht="15.75" customHeight="1">
      <c r="A210" s="13"/>
      <c r="B210" s="13"/>
      <c r="C210" s="13"/>
      <c r="D210" s="13"/>
      <c r="E210" s="13"/>
      <c r="F210" s="13"/>
    </row>
    <row r="211" ht="15.75" customHeight="1">
      <c r="A211" s="13"/>
      <c r="B211" s="13"/>
      <c r="C211" s="13"/>
      <c r="D211" s="13"/>
      <c r="E211" s="13"/>
      <c r="F211" s="13"/>
    </row>
    <row r="212" ht="15.75" customHeight="1">
      <c r="A212" s="13"/>
      <c r="B212" s="13"/>
      <c r="C212" s="13"/>
      <c r="D212" s="13"/>
      <c r="E212" s="13"/>
      <c r="F212" s="13"/>
    </row>
    <row r="213" ht="15.75" customHeight="1">
      <c r="A213" s="13"/>
      <c r="B213" s="13"/>
      <c r="C213" s="13"/>
      <c r="D213" s="13"/>
      <c r="E213" s="13"/>
      <c r="F213" s="13"/>
    </row>
    <row r="214" ht="15.75" customHeight="1">
      <c r="A214" s="13"/>
      <c r="B214" s="13"/>
      <c r="C214" s="13"/>
      <c r="D214" s="13"/>
      <c r="E214" s="13"/>
      <c r="F214" s="13"/>
    </row>
    <row r="215" ht="15.75" customHeight="1">
      <c r="A215" s="13"/>
      <c r="B215" s="13"/>
      <c r="C215" s="13"/>
      <c r="D215" s="13"/>
      <c r="E215" s="13"/>
      <c r="F215" s="13"/>
    </row>
    <row r="216" ht="15.75" customHeight="1">
      <c r="A216" s="13"/>
      <c r="B216" s="13"/>
      <c r="C216" s="13"/>
      <c r="D216" s="13"/>
      <c r="E216" s="13"/>
      <c r="F216" s="13"/>
    </row>
    <row r="217" ht="15.75" customHeight="1">
      <c r="A217" s="13"/>
      <c r="B217" s="13"/>
      <c r="C217" s="13"/>
      <c r="D217" s="13"/>
      <c r="E217" s="13"/>
      <c r="F217" s="13"/>
    </row>
    <row r="218" ht="15.75" customHeight="1">
      <c r="A218" s="13"/>
      <c r="B218" s="13"/>
      <c r="C218" s="13"/>
      <c r="D218" s="13"/>
      <c r="E218" s="13"/>
      <c r="F218" s="13"/>
    </row>
    <row r="219" ht="15.75" customHeight="1">
      <c r="A219" s="13"/>
      <c r="B219" s="13"/>
      <c r="C219" s="13"/>
      <c r="D219" s="13"/>
      <c r="E219" s="13"/>
      <c r="F219" s="13"/>
    </row>
    <row r="220" ht="15.75" customHeight="1">
      <c r="A220" s="13"/>
      <c r="B220" s="13"/>
      <c r="C220" s="13"/>
      <c r="D220" s="13"/>
      <c r="E220" s="13"/>
      <c r="F220" s="13"/>
    </row>
    <row r="221" ht="15.75" customHeight="1">
      <c r="A221" s="13"/>
      <c r="B221" s="13"/>
      <c r="C221" s="13"/>
      <c r="D221" s="13"/>
      <c r="E221" s="13"/>
      <c r="F221" s="13"/>
    </row>
    <row r="222" ht="15.75" customHeight="1">
      <c r="A222" s="13"/>
      <c r="B222" s="13"/>
      <c r="C222" s="13"/>
      <c r="D222" s="13"/>
      <c r="E222" s="13"/>
      <c r="F222" s="13"/>
    </row>
    <row r="223" ht="15.75" customHeight="1">
      <c r="A223" s="13"/>
      <c r="B223" s="13"/>
      <c r="C223" s="13"/>
      <c r="D223" s="13"/>
      <c r="E223" s="13"/>
      <c r="F223" s="13"/>
    </row>
    <row r="224" ht="15.75" customHeight="1">
      <c r="A224" s="13"/>
      <c r="B224" s="13"/>
      <c r="C224" s="13"/>
      <c r="D224" s="13"/>
      <c r="E224" s="13"/>
      <c r="F224" s="13"/>
    </row>
    <row r="225" ht="15.75" customHeight="1">
      <c r="A225" s="13"/>
      <c r="B225" s="13"/>
      <c r="C225" s="13"/>
      <c r="D225" s="13"/>
      <c r="E225" s="13"/>
      <c r="F225" s="13"/>
    </row>
    <row r="226" ht="15.75" customHeight="1">
      <c r="A226" s="13"/>
      <c r="B226" s="13"/>
      <c r="C226" s="13"/>
      <c r="D226" s="13"/>
      <c r="E226" s="13"/>
      <c r="F226" s="13"/>
    </row>
    <row r="227" ht="15.75" customHeight="1">
      <c r="A227" s="13"/>
      <c r="B227" s="13"/>
      <c r="C227" s="13"/>
      <c r="D227" s="13"/>
      <c r="E227" s="13"/>
      <c r="F227" s="13"/>
    </row>
    <row r="228" ht="15.75" customHeight="1">
      <c r="A228" s="13"/>
      <c r="B228" s="13"/>
      <c r="C228" s="13"/>
      <c r="D228" s="13"/>
      <c r="E228" s="13"/>
      <c r="F228" s="13"/>
    </row>
    <row r="229" ht="15.75" customHeight="1">
      <c r="A229" s="13"/>
      <c r="B229" s="13"/>
      <c r="C229" s="13"/>
      <c r="D229" s="13"/>
      <c r="E229" s="13"/>
      <c r="F229" s="13"/>
    </row>
    <row r="230" ht="15.75" customHeight="1">
      <c r="A230" s="13"/>
      <c r="B230" s="13"/>
      <c r="C230" s="13"/>
      <c r="D230" s="13"/>
      <c r="E230" s="13"/>
      <c r="F230" s="13"/>
    </row>
    <row r="231" ht="15.75" customHeight="1">
      <c r="A231" s="13"/>
      <c r="B231" s="13"/>
      <c r="C231" s="13"/>
      <c r="D231" s="13"/>
      <c r="E231" s="13"/>
      <c r="F231" s="13"/>
    </row>
    <row r="232" ht="15.75" customHeight="1">
      <c r="A232" s="13"/>
      <c r="B232" s="13"/>
      <c r="C232" s="13"/>
      <c r="D232" s="13"/>
      <c r="E232" s="13"/>
      <c r="F232" s="13"/>
    </row>
    <row r="233" ht="15.75" customHeight="1">
      <c r="A233" s="13"/>
      <c r="B233" s="13"/>
      <c r="C233" s="13"/>
      <c r="D233" s="13"/>
      <c r="E233" s="13"/>
      <c r="F233" s="13"/>
    </row>
    <row r="234" ht="15.75" customHeight="1">
      <c r="A234" s="13"/>
      <c r="B234" s="13"/>
      <c r="C234" s="13"/>
      <c r="D234" s="13"/>
      <c r="E234" s="13"/>
      <c r="F234" s="13"/>
    </row>
    <row r="235" ht="15.75" customHeight="1">
      <c r="A235" s="13"/>
      <c r="B235" s="13"/>
      <c r="C235" s="13"/>
      <c r="D235" s="13"/>
      <c r="E235" s="13"/>
      <c r="F235" s="13"/>
    </row>
    <row r="236" ht="15.75" customHeight="1">
      <c r="A236" s="13"/>
      <c r="B236" s="13"/>
      <c r="C236" s="13"/>
      <c r="D236" s="13"/>
      <c r="E236" s="13"/>
      <c r="F236" s="13"/>
    </row>
    <row r="237" ht="15.75" customHeight="1">
      <c r="A237" s="13"/>
      <c r="B237" s="13"/>
      <c r="C237" s="13"/>
      <c r="D237" s="13"/>
      <c r="E237" s="13"/>
      <c r="F237" s="13"/>
    </row>
    <row r="238" ht="15.75" customHeight="1">
      <c r="A238" s="13"/>
      <c r="B238" s="13"/>
      <c r="C238" s="13"/>
      <c r="D238" s="13"/>
      <c r="E238" s="13"/>
      <c r="F238" s="13"/>
    </row>
    <row r="239" ht="15.75" customHeight="1">
      <c r="A239" s="13"/>
      <c r="B239" s="13"/>
      <c r="C239" s="13"/>
      <c r="D239" s="13"/>
      <c r="E239" s="13"/>
      <c r="F239" s="13"/>
    </row>
    <row r="240" ht="15.75" customHeight="1">
      <c r="A240" s="13"/>
      <c r="B240" s="13"/>
      <c r="C240" s="13"/>
      <c r="D240" s="13"/>
      <c r="E240" s="13"/>
      <c r="F240" s="13"/>
    </row>
    <row r="241" ht="15.75" customHeight="1">
      <c r="A241" s="13"/>
      <c r="B241" s="13"/>
      <c r="C241" s="13"/>
      <c r="D241" s="13"/>
      <c r="E241" s="13"/>
      <c r="F241" s="13"/>
    </row>
    <row r="242" ht="15.75" customHeight="1">
      <c r="A242" s="13"/>
      <c r="B242" s="13"/>
      <c r="C242" s="13"/>
      <c r="D242" s="13"/>
      <c r="E242" s="13"/>
      <c r="F242" s="13"/>
    </row>
    <row r="243" ht="15.75" customHeight="1">
      <c r="A243" s="13"/>
      <c r="B243" s="13"/>
      <c r="C243" s="13"/>
      <c r="D243" s="13"/>
      <c r="E243" s="13"/>
      <c r="F243" s="13"/>
    </row>
    <row r="244" ht="15.75" customHeight="1">
      <c r="A244" s="13"/>
      <c r="B244" s="13"/>
      <c r="C244" s="13"/>
      <c r="D244" s="13"/>
      <c r="E244" s="13"/>
      <c r="F244" s="13"/>
    </row>
    <row r="245" ht="15.75" customHeight="1">
      <c r="A245" s="13"/>
      <c r="B245" s="13"/>
      <c r="C245" s="13"/>
      <c r="D245" s="13"/>
      <c r="E245" s="13"/>
      <c r="F245" s="13"/>
    </row>
    <row r="246" ht="15.75" customHeight="1">
      <c r="A246" s="13"/>
      <c r="B246" s="13"/>
      <c r="C246" s="13"/>
      <c r="D246" s="13"/>
      <c r="E246" s="13"/>
      <c r="F246" s="13"/>
    </row>
    <row r="247" ht="15.75" customHeight="1">
      <c r="A247" s="13"/>
      <c r="B247" s="13"/>
      <c r="C247" s="13"/>
      <c r="D247" s="13"/>
      <c r="E247" s="13"/>
      <c r="F247" s="13"/>
    </row>
    <row r="248" ht="15.75" customHeight="1">
      <c r="A248" s="13"/>
      <c r="B248" s="13"/>
      <c r="C248" s="13"/>
      <c r="D248" s="13"/>
      <c r="E248" s="13"/>
      <c r="F248" s="13"/>
    </row>
    <row r="249" ht="15.75" customHeight="1">
      <c r="A249" s="13"/>
      <c r="B249" s="13"/>
      <c r="C249" s="13"/>
      <c r="D249" s="13"/>
      <c r="E249" s="13"/>
      <c r="F249" s="13"/>
    </row>
    <row r="250" ht="15.75" customHeight="1">
      <c r="A250" s="13"/>
      <c r="B250" s="13"/>
      <c r="C250" s="13"/>
      <c r="D250" s="13"/>
      <c r="E250" s="13"/>
      <c r="F250" s="13"/>
    </row>
    <row r="251" ht="15.75" customHeight="1">
      <c r="A251" s="13"/>
      <c r="B251" s="13"/>
      <c r="C251" s="13"/>
      <c r="D251" s="13"/>
      <c r="E251" s="13"/>
      <c r="F251" s="13"/>
    </row>
    <row r="252" ht="15.75" customHeight="1">
      <c r="A252" s="13"/>
      <c r="B252" s="13"/>
      <c r="C252" s="13"/>
      <c r="D252" s="13"/>
      <c r="E252" s="13"/>
      <c r="F252" s="13"/>
    </row>
    <row r="253" ht="15.75" customHeight="1">
      <c r="A253" s="13"/>
      <c r="B253" s="13"/>
      <c r="C253" s="13"/>
      <c r="D253" s="13"/>
      <c r="E253" s="13"/>
      <c r="F253" s="13"/>
    </row>
    <row r="254" ht="15.75" customHeight="1">
      <c r="A254" s="13"/>
      <c r="B254" s="13"/>
      <c r="C254" s="13"/>
      <c r="D254" s="13"/>
      <c r="E254" s="13"/>
      <c r="F254" s="13"/>
    </row>
    <row r="255" ht="15.75" customHeight="1">
      <c r="A255" s="13"/>
      <c r="B255" s="13"/>
      <c r="C255" s="13"/>
      <c r="D255" s="13"/>
      <c r="E255" s="13"/>
      <c r="F255" s="13"/>
    </row>
    <row r="256" ht="15.75" customHeight="1">
      <c r="A256" s="13"/>
      <c r="B256" s="13"/>
      <c r="C256" s="13"/>
      <c r="D256" s="13"/>
      <c r="E256" s="13"/>
      <c r="F256" s="13"/>
    </row>
    <row r="257" ht="15.75" customHeight="1">
      <c r="A257" s="13"/>
      <c r="B257" s="13"/>
      <c r="C257" s="13"/>
      <c r="D257" s="13"/>
      <c r="E257" s="13"/>
      <c r="F257" s="13"/>
    </row>
    <row r="258" ht="15.75" customHeight="1">
      <c r="A258" s="13"/>
      <c r="B258" s="13"/>
      <c r="C258" s="13"/>
      <c r="D258" s="13"/>
      <c r="E258" s="13"/>
      <c r="F258" s="13"/>
    </row>
    <row r="259" ht="15.75" customHeight="1">
      <c r="A259" s="13"/>
      <c r="B259" s="13"/>
      <c r="C259" s="13"/>
      <c r="D259" s="13"/>
      <c r="E259" s="13"/>
      <c r="F259" s="13"/>
    </row>
    <row r="260" ht="15.75" customHeight="1">
      <c r="A260" s="13"/>
      <c r="B260" s="13"/>
      <c r="C260" s="13"/>
      <c r="D260" s="13"/>
      <c r="E260" s="13"/>
      <c r="F260" s="13"/>
    </row>
    <row r="261" ht="15.75" customHeight="1">
      <c r="A261" s="13"/>
      <c r="B261" s="13"/>
      <c r="C261" s="13"/>
      <c r="D261" s="13"/>
      <c r="E261" s="13"/>
      <c r="F261" s="13"/>
    </row>
    <row r="262" ht="15.75" customHeight="1">
      <c r="A262" s="13"/>
      <c r="B262" s="13"/>
      <c r="C262" s="13"/>
      <c r="D262" s="13"/>
      <c r="E262" s="13"/>
      <c r="F262" s="13"/>
    </row>
    <row r="263" ht="15.75" customHeight="1">
      <c r="A263" s="13"/>
      <c r="B263" s="13"/>
      <c r="C263" s="13"/>
      <c r="D263" s="13"/>
      <c r="E263" s="13"/>
      <c r="F263" s="13"/>
    </row>
    <row r="264" ht="15.75" customHeight="1">
      <c r="A264" s="13"/>
      <c r="B264" s="13"/>
      <c r="C264" s="13"/>
      <c r="D264" s="13"/>
      <c r="E264" s="13"/>
      <c r="F264" s="13"/>
    </row>
    <row r="265" ht="15.75" customHeight="1">
      <c r="A265" s="13"/>
      <c r="B265" s="13"/>
      <c r="C265" s="13"/>
      <c r="D265" s="13"/>
      <c r="E265" s="13"/>
      <c r="F265" s="13"/>
    </row>
    <row r="266" ht="15.75" customHeight="1">
      <c r="A266" s="13"/>
      <c r="B266" s="13"/>
      <c r="C266" s="13"/>
      <c r="D266" s="13"/>
      <c r="E266" s="13"/>
      <c r="F266" s="13"/>
    </row>
    <row r="267" ht="15.75" customHeight="1">
      <c r="A267" s="13"/>
      <c r="B267" s="13"/>
      <c r="C267" s="13"/>
      <c r="D267" s="13"/>
      <c r="E267" s="13"/>
      <c r="F267" s="13"/>
    </row>
    <row r="268" ht="15.75" customHeight="1">
      <c r="A268" s="13"/>
      <c r="B268" s="13"/>
      <c r="C268" s="13"/>
      <c r="D268" s="13"/>
      <c r="E268" s="13"/>
      <c r="F268" s="13"/>
    </row>
    <row r="269" ht="15.75" customHeight="1">
      <c r="A269" s="13"/>
      <c r="B269" s="13"/>
      <c r="C269" s="13"/>
      <c r="D269" s="13"/>
      <c r="E269" s="13"/>
      <c r="F269" s="13"/>
    </row>
    <row r="270" ht="15.75" customHeight="1">
      <c r="A270" s="13"/>
      <c r="B270" s="13"/>
      <c r="C270" s="13"/>
      <c r="D270" s="13"/>
      <c r="E270" s="13"/>
      <c r="F270" s="13"/>
    </row>
    <row r="271" ht="15.75" customHeight="1">
      <c r="A271" s="13"/>
      <c r="B271" s="13"/>
      <c r="C271" s="13"/>
      <c r="D271" s="13"/>
      <c r="E271" s="13"/>
      <c r="F271" s="13"/>
    </row>
    <row r="272" ht="15.75" customHeight="1">
      <c r="A272" s="13"/>
      <c r="B272" s="13"/>
      <c r="C272" s="13"/>
      <c r="D272" s="13"/>
      <c r="E272" s="13"/>
      <c r="F272" s="13"/>
    </row>
    <row r="273" ht="15.75" customHeight="1">
      <c r="A273" s="13"/>
      <c r="B273" s="13"/>
      <c r="C273" s="13"/>
      <c r="D273" s="13"/>
      <c r="E273" s="13"/>
      <c r="F273" s="13"/>
    </row>
    <row r="274" ht="15.75" customHeight="1">
      <c r="A274" s="13"/>
      <c r="B274" s="13"/>
      <c r="C274" s="13"/>
      <c r="D274" s="13"/>
      <c r="E274" s="13"/>
      <c r="F274" s="13"/>
    </row>
    <row r="275" ht="15.75" customHeight="1">
      <c r="A275" s="13"/>
      <c r="B275" s="13"/>
      <c r="C275" s="13"/>
      <c r="D275" s="13"/>
      <c r="E275" s="13"/>
      <c r="F275" s="13"/>
    </row>
    <row r="276" ht="15.75" customHeight="1">
      <c r="A276" s="13"/>
      <c r="B276" s="13"/>
      <c r="C276" s="13"/>
      <c r="D276" s="13"/>
      <c r="E276" s="13"/>
      <c r="F276" s="13"/>
    </row>
    <row r="277" ht="15.75" customHeight="1">
      <c r="A277" s="13"/>
      <c r="B277" s="13"/>
      <c r="C277" s="13"/>
      <c r="D277" s="13"/>
      <c r="E277" s="13"/>
      <c r="F277" s="13"/>
    </row>
    <row r="278" ht="15.75" customHeight="1">
      <c r="A278" s="13"/>
      <c r="B278" s="13"/>
      <c r="C278" s="13"/>
      <c r="D278" s="13"/>
      <c r="E278" s="13"/>
      <c r="F278" s="13"/>
    </row>
    <row r="279" ht="15.75" customHeight="1">
      <c r="A279" s="13"/>
      <c r="B279" s="13"/>
      <c r="C279" s="13"/>
      <c r="D279" s="13"/>
      <c r="E279" s="13"/>
      <c r="F279" s="13"/>
    </row>
    <row r="280" ht="15.75" customHeight="1">
      <c r="A280" s="13"/>
      <c r="B280" s="13"/>
      <c r="C280" s="13"/>
      <c r="D280" s="13"/>
      <c r="E280" s="13"/>
      <c r="F280" s="13"/>
    </row>
    <row r="281" ht="15.75" customHeight="1">
      <c r="A281" s="13"/>
      <c r="B281" s="13"/>
      <c r="C281" s="13"/>
      <c r="D281" s="13"/>
      <c r="E281" s="13"/>
      <c r="F281" s="13"/>
    </row>
    <row r="282" ht="15.75" customHeight="1">
      <c r="A282" s="13"/>
      <c r="B282" s="13"/>
      <c r="C282" s="13"/>
      <c r="D282" s="13"/>
      <c r="E282" s="13"/>
      <c r="F282" s="13"/>
    </row>
    <row r="283" ht="15.75" customHeight="1">
      <c r="A283" s="13"/>
      <c r="B283" s="13"/>
      <c r="C283" s="13"/>
      <c r="D283" s="13"/>
      <c r="E283" s="13"/>
      <c r="F283" s="13"/>
    </row>
    <row r="284" ht="15.75" customHeight="1">
      <c r="A284" s="13"/>
      <c r="B284" s="13"/>
      <c r="C284" s="13"/>
      <c r="D284" s="13"/>
      <c r="E284" s="13"/>
      <c r="F284" s="13"/>
    </row>
    <row r="285" ht="15.75" customHeight="1">
      <c r="A285" s="13"/>
      <c r="B285" s="13"/>
      <c r="C285" s="13"/>
      <c r="D285" s="13"/>
      <c r="E285" s="13"/>
      <c r="F285" s="13"/>
    </row>
    <row r="286" ht="15.75" customHeight="1">
      <c r="A286" s="13"/>
      <c r="B286" s="13"/>
      <c r="C286" s="13"/>
      <c r="D286" s="13"/>
      <c r="E286" s="13"/>
      <c r="F286" s="13"/>
    </row>
    <row r="287" ht="15.75" customHeight="1">
      <c r="A287" s="13"/>
      <c r="B287" s="13"/>
      <c r="C287" s="13"/>
      <c r="D287" s="13"/>
      <c r="E287" s="13"/>
      <c r="F287" s="13"/>
    </row>
    <row r="288" ht="15.75" customHeight="1">
      <c r="A288" s="13"/>
      <c r="B288" s="13"/>
      <c r="C288" s="13"/>
      <c r="D288" s="13"/>
      <c r="E288" s="13"/>
      <c r="F288" s="13"/>
    </row>
    <row r="289" ht="15.75" customHeight="1">
      <c r="A289" s="13"/>
      <c r="B289" s="13"/>
      <c r="C289" s="13"/>
      <c r="D289" s="13"/>
      <c r="E289" s="13"/>
      <c r="F289" s="13"/>
    </row>
    <row r="290" ht="15.75" customHeight="1">
      <c r="A290" s="13"/>
      <c r="B290" s="13"/>
      <c r="C290" s="13"/>
      <c r="D290" s="13"/>
      <c r="E290" s="13"/>
      <c r="F290" s="13"/>
    </row>
    <row r="291" ht="15.75" customHeight="1">
      <c r="A291" s="13"/>
      <c r="B291" s="13"/>
      <c r="C291" s="13"/>
      <c r="D291" s="13"/>
      <c r="E291" s="13"/>
      <c r="F291" s="13"/>
    </row>
    <row r="292" ht="15.75" customHeight="1">
      <c r="A292" s="13"/>
      <c r="B292" s="13"/>
      <c r="C292" s="13"/>
      <c r="D292" s="13"/>
      <c r="E292" s="13"/>
      <c r="F292" s="13"/>
    </row>
    <row r="293" ht="15.75" customHeight="1">
      <c r="A293" s="13"/>
      <c r="B293" s="13"/>
      <c r="C293" s="13"/>
      <c r="D293" s="13"/>
      <c r="E293" s="13"/>
      <c r="F293" s="13"/>
    </row>
    <row r="294" ht="15.75" customHeight="1">
      <c r="A294" s="13"/>
      <c r="B294" s="13"/>
      <c r="C294" s="13"/>
      <c r="D294" s="13"/>
      <c r="E294" s="13"/>
      <c r="F294" s="13"/>
    </row>
    <row r="295" ht="15.75" customHeight="1">
      <c r="A295" s="13"/>
      <c r="B295" s="13"/>
      <c r="C295" s="13"/>
      <c r="D295" s="13"/>
      <c r="E295" s="13"/>
      <c r="F295" s="13"/>
    </row>
    <row r="296" ht="15.75" customHeight="1">
      <c r="A296" s="13"/>
      <c r="B296" s="13"/>
      <c r="C296" s="13"/>
      <c r="D296" s="13"/>
      <c r="E296" s="13"/>
      <c r="F296" s="13"/>
    </row>
    <row r="297" ht="15.75" customHeight="1">
      <c r="A297" s="13"/>
      <c r="B297" s="13"/>
      <c r="C297" s="13"/>
      <c r="D297" s="13"/>
      <c r="E297" s="13"/>
      <c r="F297" s="13"/>
    </row>
    <row r="298" ht="15.75" customHeight="1">
      <c r="A298" s="13"/>
      <c r="B298" s="13"/>
      <c r="C298" s="13"/>
      <c r="D298" s="13"/>
      <c r="E298" s="13"/>
      <c r="F298" s="13"/>
    </row>
    <row r="299" ht="15.75" customHeight="1">
      <c r="A299" s="13"/>
      <c r="B299" s="13"/>
      <c r="C299" s="13"/>
      <c r="D299" s="13"/>
      <c r="E299" s="13"/>
      <c r="F299" s="13"/>
    </row>
    <row r="300" ht="15.75" customHeight="1">
      <c r="A300" s="13"/>
      <c r="B300" s="13"/>
      <c r="C300" s="13"/>
      <c r="D300" s="13"/>
      <c r="E300" s="13"/>
      <c r="F300" s="13"/>
    </row>
    <row r="301" ht="15.75" customHeight="1">
      <c r="A301" s="13"/>
      <c r="B301" s="13"/>
      <c r="C301" s="13"/>
      <c r="D301" s="13"/>
      <c r="E301" s="13"/>
      <c r="F301" s="13"/>
    </row>
    <row r="302" ht="15.75" customHeight="1">
      <c r="A302" s="13"/>
      <c r="B302" s="13"/>
      <c r="C302" s="13"/>
      <c r="D302" s="13"/>
      <c r="E302" s="13"/>
      <c r="F302" s="13"/>
    </row>
    <row r="303" ht="15.75" customHeight="1">
      <c r="A303" s="13"/>
      <c r="B303" s="13"/>
      <c r="C303" s="13"/>
      <c r="D303" s="13"/>
      <c r="E303" s="13"/>
      <c r="F303" s="13"/>
    </row>
    <row r="304" ht="15.75" customHeight="1">
      <c r="A304" s="13"/>
      <c r="B304" s="13"/>
      <c r="C304" s="13"/>
      <c r="D304" s="13"/>
      <c r="E304" s="13"/>
      <c r="F304" s="13"/>
    </row>
    <row r="305" ht="15.75" customHeight="1">
      <c r="A305" s="13"/>
      <c r="B305" s="13"/>
      <c r="C305" s="13"/>
      <c r="D305" s="13"/>
      <c r="E305" s="13"/>
      <c r="F305" s="13"/>
    </row>
    <row r="306" ht="15.75" customHeight="1">
      <c r="A306" s="13"/>
      <c r="B306" s="13"/>
      <c r="C306" s="13"/>
      <c r="D306" s="13"/>
      <c r="E306" s="13"/>
      <c r="F306" s="13"/>
    </row>
    <row r="307" ht="15.75" customHeight="1">
      <c r="A307" s="13"/>
      <c r="B307" s="13"/>
      <c r="C307" s="13"/>
      <c r="D307" s="13"/>
      <c r="E307" s="13"/>
      <c r="F307" s="13"/>
    </row>
    <row r="308" ht="15.75" customHeight="1">
      <c r="A308" s="13"/>
      <c r="B308" s="13"/>
      <c r="C308" s="13"/>
      <c r="D308" s="13"/>
      <c r="E308" s="13"/>
      <c r="F308" s="13"/>
    </row>
    <row r="309" ht="15.75" customHeight="1">
      <c r="A309" s="13"/>
      <c r="B309" s="13"/>
      <c r="C309" s="13"/>
      <c r="D309" s="13"/>
      <c r="E309" s="13"/>
      <c r="F309" s="13"/>
    </row>
    <row r="310" ht="15.75" customHeight="1">
      <c r="A310" s="13"/>
      <c r="B310" s="13"/>
      <c r="C310" s="13"/>
      <c r="D310" s="13"/>
      <c r="E310" s="13"/>
      <c r="F310" s="13"/>
    </row>
    <row r="311" ht="15.75" customHeight="1">
      <c r="A311" s="13"/>
      <c r="B311" s="13"/>
      <c r="C311" s="13"/>
      <c r="D311" s="13"/>
      <c r="E311" s="13"/>
      <c r="F311" s="13"/>
    </row>
    <row r="312" ht="15.75" customHeight="1">
      <c r="A312" s="13"/>
      <c r="B312" s="13"/>
      <c r="C312" s="13"/>
      <c r="D312" s="13"/>
      <c r="E312" s="13"/>
      <c r="F312" s="13"/>
    </row>
    <row r="313" ht="15.75" customHeight="1">
      <c r="A313" s="13"/>
      <c r="B313" s="13"/>
      <c r="C313" s="13"/>
      <c r="D313" s="13"/>
      <c r="E313" s="13"/>
      <c r="F313" s="13"/>
    </row>
    <row r="314" ht="15.75" customHeight="1">
      <c r="A314" s="13"/>
      <c r="B314" s="13"/>
      <c r="C314" s="13"/>
      <c r="D314" s="13"/>
      <c r="E314" s="13"/>
      <c r="F314" s="13"/>
    </row>
    <row r="315" ht="15.75" customHeight="1">
      <c r="A315" s="13"/>
      <c r="B315" s="13"/>
      <c r="C315" s="13"/>
      <c r="D315" s="13"/>
      <c r="E315" s="13"/>
      <c r="F315" s="13"/>
    </row>
    <row r="316" ht="15.75" customHeight="1">
      <c r="A316" s="13"/>
      <c r="B316" s="13"/>
      <c r="C316" s="13"/>
      <c r="D316" s="13"/>
      <c r="E316" s="13"/>
      <c r="F316" s="13"/>
    </row>
    <row r="317" ht="15.75" customHeight="1">
      <c r="A317" s="13"/>
      <c r="B317" s="13"/>
      <c r="C317" s="13"/>
      <c r="D317" s="13"/>
      <c r="E317" s="13"/>
      <c r="F317" s="13"/>
    </row>
    <row r="318" ht="15.75" customHeight="1">
      <c r="A318" s="13"/>
      <c r="B318" s="13"/>
      <c r="C318" s="13"/>
      <c r="D318" s="13"/>
      <c r="E318" s="13"/>
      <c r="F318" s="13"/>
    </row>
    <row r="319" ht="15.75" customHeight="1">
      <c r="A319" s="13"/>
      <c r="B319" s="13"/>
      <c r="C319" s="13"/>
      <c r="D319" s="13"/>
      <c r="E319" s="13"/>
      <c r="F319" s="13"/>
    </row>
    <row r="320" ht="15.75" customHeight="1">
      <c r="A320" s="13"/>
      <c r="B320" s="13"/>
      <c r="C320" s="13"/>
      <c r="D320" s="13"/>
      <c r="E320" s="13"/>
      <c r="F320" s="13"/>
    </row>
    <row r="321" ht="15.75" customHeight="1">
      <c r="A321" s="13"/>
      <c r="B321" s="13"/>
      <c r="C321" s="13"/>
      <c r="D321" s="13"/>
      <c r="E321" s="13"/>
      <c r="F321" s="13"/>
    </row>
    <row r="322" ht="15.75" customHeight="1">
      <c r="A322" s="13"/>
      <c r="B322" s="13"/>
      <c r="C322" s="13"/>
      <c r="D322" s="13"/>
      <c r="E322" s="13"/>
      <c r="F322" s="13"/>
    </row>
    <row r="323" ht="15.75" customHeight="1">
      <c r="A323" s="13"/>
      <c r="B323" s="13"/>
      <c r="C323" s="13"/>
      <c r="D323" s="13"/>
      <c r="E323" s="13"/>
      <c r="F323" s="13"/>
    </row>
    <row r="324" ht="15.75" customHeight="1">
      <c r="A324" s="13"/>
      <c r="B324" s="13"/>
      <c r="C324" s="13"/>
      <c r="D324" s="13"/>
      <c r="E324" s="13"/>
      <c r="F324" s="13"/>
    </row>
    <row r="325" ht="15.75" customHeight="1">
      <c r="A325" s="13"/>
      <c r="B325" s="13"/>
      <c r="C325" s="13"/>
      <c r="D325" s="13"/>
      <c r="E325" s="13"/>
      <c r="F325" s="13"/>
    </row>
    <row r="326" ht="15.75" customHeight="1">
      <c r="A326" s="13"/>
      <c r="B326" s="13"/>
      <c r="C326" s="13"/>
      <c r="D326" s="13"/>
      <c r="E326" s="13"/>
      <c r="F326" s="13"/>
    </row>
    <row r="327" ht="15.75" customHeight="1">
      <c r="A327" s="13"/>
      <c r="B327" s="13"/>
      <c r="C327" s="13"/>
      <c r="D327" s="13"/>
      <c r="E327" s="13"/>
      <c r="F327" s="13"/>
    </row>
    <row r="328" ht="15.75" customHeight="1">
      <c r="A328" s="13"/>
      <c r="B328" s="13"/>
      <c r="C328" s="13"/>
      <c r="D328" s="13"/>
      <c r="E328" s="13"/>
      <c r="F328" s="13"/>
    </row>
    <row r="329" ht="15.75" customHeight="1">
      <c r="A329" s="13"/>
      <c r="B329" s="13"/>
      <c r="C329" s="13"/>
      <c r="D329" s="13"/>
      <c r="E329" s="13"/>
      <c r="F329" s="13"/>
    </row>
    <row r="330" ht="15.75" customHeight="1">
      <c r="A330" s="13"/>
      <c r="B330" s="13"/>
      <c r="C330" s="13"/>
      <c r="D330" s="13"/>
      <c r="E330" s="13"/>
      <c r="F330" s="13"/>
    </row>
    <row r="331" ht="15.75" customHeight="1">
      <c r="A331" s="13"/>
      <c r="B331" s="13"/>
      <c r="C331" s="13"/>
      <c r="D331" s="13"/>
      <c r="E331" s="13"/>
      <c r="F331" s="13"/>
    </row>
    <row r="332" ht="15.75" customHeight="1">
      <c r="A332" s="13"/>
      <c r="B332" s="13"/>
      <c r="C332" s="13"/>
      <c r="D332" s="13"/>
      <c r="E332" s="13"/>
      <c r="F332" s="13"/>
    </row>
    <row r="333" ht="15.75" customHeight="1">
      <c r="A333" s="13"/>
      <c r="B333" s="13"/>
      <c r="C333" s="13"/>
      <c r="D333" s="13"/>
      <c r="E333" s="13"/>
      <c r="F333" s="13"/>
    </row>
    <row r="334" ht="15.75" customHeight="1">
      <c r="A334" s="13"/>
      <c r="B334" s="13"/>
      <c r="C334" s="13"/>
      <c r="D334" s="13"/>
      <c r="E334" s="13"/>
      <c r="F334" s="13"/>
    </row>
    <row r="335" ht="15.75" customHeight="1">
      <c r="A335" s="13"/>
      <c r="B335" s="13"/>
      <c r="C335" s="13"/>
      <c r="D335" s="13"/>
      <c r="E335" s="13"/>
      <c r="F335" s="13"/>
    </row>
    <row r="336" ht="15.75" customHeight="1">
      <c r="A336" s="13"/>
      <c r="B336" s="13"/>
      <c r="C336" s="13"/>
      <c r="D336" s="13"/>
      <c r="E336" s="13"/>
      <c r="F336" s="13"/>
    </row>
    <row r="337" ht="15.75" customHeight="1">
      <c r="A337" s="13"/>
      <c r="B337" s="13"/>
      <c r="C337" s="13"/>
      <c r="D337" s="13"/>
      <c r="E337" s="13"/>
      <c r="F337" s="13"/>
    </row>
    <row r="338" ht="15.75" customHeight="1">
      <c r="A338" s="13"/>
      <c r="B338" s="13"/>
      <c r="C338" s="13"/>
      <c r="D338" s="13"/>
      <c r="E338" s="13"/>
      <c r="F338" s="13"/>
    </row>
    <row r="339" ht="15.75" customHeight="1">
      <c r="A339" s="13"/>
      <c r="B339" s="13"/>
      <c r="C339" s="13"/>
      <c r="D339" s="13"/>
      <c r="E339" s="13"/>
      <c r="F339" s="13"/>
    </row>
    <row r="340" ht="15.75" customHeight="1">
      <c r="A340" s="13"/>
      <c r="B340" s="13"/>
      <c r="C340" s="13"/>
      <c r="D340" s="13"/>
      <c r="E340" s="13"/>
      <c r="F340" s="13"/>
    </row>
    <row r="341" ht="15.75" customHeight="1">
      <c r="A341" s="13"/>
      <c r="B341" s="13"/>
      <c r="C341" s="13"/>
      <c r="D341" s="13"/>
      <c r="E341" s="13"/>
      <c r="F341" s="13"/>
    </row>
    <row r="342" ht="15.75" customHeight="1">
      <c r="A342" s="13"/>
      <c r="B342" s="13"/>
      <c r="C342" s="13"/>
      <c r="D342" s="13"/>
      <c r="E342" s="13"/>
      <c r="F342" s="13"/>
    </row>
    <row r="343" ht="15.75" customHeight="1">
      <c r="A343" s="13"/>
      <c r="B343" s="13"/>
      <c r="C343" s="13"/>
      <c r="D343" s="13"/>
      <c r="E343" s="13"/>
      <c r="F343" s="13"/>
    </row>
    <row r="344" ht="15.75" customHeight="1">
      <c r="A344" s="13"/>
      <c r="B344" s="13"/>
      <c r="C344" s="13"/>
      <c r="D344" s="13"/>
      <c r="E344" s="13"/>
      <c r="F344" s="13"/>
    </row>
    <row r="345" ht="15.75" customHeight="1">
      <c r="A345" s="13"/>
      <c r="B345" s="13"/>
      <c r="C345" s="13"/>
      <c r="D345" s="13"/>
      <c r="E345" s="13"/>
      <c r="F345" s="13"/>
    </row>
    <row r="346" ht="15.75" customHeight="1">
      <c r="A346" s="13"/>
      <c r="B346" s="13"/>
      <c r="C346" s="13"/>
      <c r="D346" s="13"/>
      <c r="E346" s="13"/>
      <c r="F346" s="13"/>
    </row>
    <row r="347" ht="15.75" customHeight="1">
      <c r="A347" s="13"/>
      <c r="B347" s="13"/>
      <c r="C347" s="13"/>
      <c r="D347" s="13"/>
      <c r="E347" s="13"/>
      <c r="F347" s="13"/>
    </row>
    <row r="348" ht="15.75" customHeight="1">
      <c r="A348" s="13"/>
      <c r="B348" s="13"/>
      <c r="C348" s="13"/>
      <c r="D348" s="13"/>
      <c r="E348" s="13"/>
      <c r="F348" s="13"/>
    </row>
    <row r="349" ht="15.75" customHeight="1">
      <c r="A349" s="13"/>
      <c r="B349" s="13"/>
      <c r="C349" s="13"/>
      <c r="D349" s="13"/>
      <c r="E349" s="13"/>
      <c r="F349" s="13"/>
    </row>
    <row r="350" ht="15.75" customHeight="1">
      <c r="A350" s="13"/>
      <c r="B350" s="13"/>
      <c r="C350" s="13"/>
      <c r="D350" s="13"/>
      <c r="E350" s="13"/>
      <c r="F350" s="13"/>
    </row>
    <row r="351" ht="15.75" customHeight="1">
      <c r="A351" s="13"/>
      <c r="B351" s="13"/>
      <c r="C351" s="13"/>
      <c r="D351" s="13"/>
      <c r="E351" s="13"/>
      <c r="F351" s="13"/>
    </row>
    <row r="352" ht="15.75" customHeight="1">
      <c r="A352" s="13"/>
      <c r="B352" s="13"/>
      <c r="C352" s="13"/>
      <c r="D352" s="13"/>
      <c r="E352" s="13"/>
      <c r="F352" s="13"/>
    </row>
    <row r="353" ht="15.75" customHeight="1">
      <c r="A353" s="13"/>
      <c r="B353" s="13"/>
      <c r="C353" s="13"/>
      <c r="D353" s="13"/>
      <c r="E353" s="13"/>
      <c r="F353" s="13"/>
    </row>
    <row r="354" ht="15.75" customHeight="1">
      <c r="A354" s="13"/>
      <c r="B354" s="13"/>
      <c r="C354" s="13"/>
      <c r="D354" s="13"/>
      <c r="E354" s="13"/>
      <c r="F354" s="13"/>
    </row>
    <row r="355" ht="15.75" customHeight="1">
      <c r="A355" s="13"/>
      <c r="B355" s="13"/>
      <c r="C355" s="13"/>
      <c r="D355" s="13"/>
      <c r="E355" s="13"/>
      <c r="F355" s="13"/>
    </row>
    <row r="356" ht="15.75" customHeight="1">
      <c r="A356" s="13"/>
      <c r="B356" s="13"/>
      <c r="C356" s="13"/>
      <c r="D356" s="13"/>
      <c r="E356" s="13"/>
      <c r="F356" s="13"/>
    </row>
    <row r="357" ht="15.75" customHeight="1">
      <c r="A357" s="13"/>
      <c r="B357" s="13"/>
      <c r="C357" s="13"/>
      <c r="D357" s="13"/>
      <c r="E357" s="13"/>
      <c r="F357" s="13"/>
    </row>
    <row r="358" ht="15.75" customHeight="1">
      <c r="A358" s="13"/>
      <c r="B358" s="13"/>
      <c r="C358" s="13"/>
      <c r="D358" s="13"/>
      <c r="E358" s="13"/>
      <c r="F358" s="13"/>
    </row>
    <row r="359" ht="15.75" customHeight="1">
      <c r="A359" s="13"/>
      <c r="B359" s="13"/>
      <c r="C359" s="13"/>
      <c r="D359" s="13"/>
      <c r="E359" s="13"/>
      <c r="F359" s="13"/>
    </row>
    <row r="360" ht="15.75" customHeight="1">
      <c r="A360" s="13"/>
      <c r="B360" s="13"/>
      <c r="C360" s="13"/>
      <c r="D360" s="13"/>
      <c r="E360" s="13"/>
      <c r="F360" s="13"/>
    </row>
    <row r="361" ht="15.75" customHeight="1">
      <c r="A361" s="13"/>
      <c r="B361" s="13"/>
      <c r="C361" s="13"/>
      <c r="D361" s="13"/>
      <c r="E361" s="13"/>
      <c r="F361" s="13"/>
    </row>
    <row r="362" ht="15.75" customHeight="1">
      <c r="A362" s="13"/>
      <c r="B362" s="13"/>
      <c r="C362" s="13"/>
      <c r="D362" s="13"/>
      <c r="E362" s="13"/>
      <c r="F362" s="13"/>
    </row>
    <row r="363" ht="15.75" customHeight="1">
      <c r="A363" s="13"/>
      <c r="B363" s="13"/>
      <c r="C363" s="13"/>
      <c r="D363" s="13"/>
      <c r="E363" s="13"/>
      <c r="F363" s="13"/>
    </row>
    <row r="364" ht="15.75" customHeight="1">
      <c r="A364" s="13"/>
      <c r="B364" s="13"/>
      <c r="C364" s="13"/>
      <c r="D364" s="13"/>
      <c r="E364" s="13"/>
      <c r="F364" s="13"/>
    </row>
    <row r="365" ht="15.75" customHeight="1">
      <c r="A365" s="13"/>
      <c r="B365" s="13"/>
      <c r="C365" s="13"/>
      <c r="D365" s="13"/>
      <c r="E365" s="13"/>
      <c r="F365" s="13"/>
    </row>
    <row r="366" ht="15.75" customHeight="1">
      <c r="A366" s="13"/>
      <c r="B366" s="13"/>
      <c r="C366" s="13"/>
      <c r="D366" s="13"/>
      <c r="E366" s="13"/>
      <c r="F366" s="13"/>
    </row>
    <row r="367" ht="15.75" customHeight="1">
      <c r="A367" s="13"/>
      <c r="B367" s="13"/>
      <c r="C367" s="13"/>
      <c r="D367" s="13"/>
      <c r="E367" s="13"/>
      <c r="F367" s="13"/>
    </row>
    <row r="368" ht="15.75" customHeight="1">
      <c r="A368" s="13"/>
      <c r="B368" s="13"/>
      <c r="C368" s="13"/>
      <c r="D368" s="13"/>
      <c r="E368" s="13"/>
      <c r="F368" s="13"/>
    </row>
    <row r="369" ht="15.75" customHeight="1">
      <c r="A369" s="13"/>
      <c r="B369" s="13"/>
      <c r="C369" s="13"/>
      <c r="D369" s="13"/>
      <c r="E369" s="13"/>
      <c r="F369" s="13"/>
    </row>
    <row r="370" ht="15.75" customHeight="1">
      <c r="A370" s="13"/>
      <c r="B370" s="13"/>
      <c r="C370" s="13"/>
      <c r="D370" s="13"/>
      <c r="E370" s="13"/>
      <c r="F370" s="13"/>
    </row>
    <row r="371" ht="15.75" customHeight="1">
      <c r="A371" s="13"/>
      <c r="B371" s="13"/>
      <c r="C371" s="13"/>
      <c r="D371" s="13"/>
      <c r="E371" s="13"/>
      <c r="F371" s="13"/>
    </row>
    <row r="372" ht="15.75" customHeight="1">
      <c r="A372" s="13"/>
      <c r="B372" s="13"/>
      <c r="C372" s="13"/>
      <c r="D372" s="13"/>
      <c r="E372" s="13"/>
      <c r="F372" s="13"/>
    </row>
    <row r="373" ht="15.75" customHeight="1">
      <c r="A373" s="13"/>
      <c r="B373" s="13"/>
      <c r="C373" s="13"/>
      <c r="D373" s="13"/>
      <c r="E373" s="13"/>
      <c r="F373" s="13"/>
    </row>
    <row r="374" ht="15.75" customHeight="1">
      <c r="A374" s="13"/>
      <c r="B374" s="13"/>
      <c r="C374" s="13"/>
      <c r="D374" s="13"/>
      <c r="E374" s="13"/>
      <c r="F374" s="13"/>
    </row>
    <row r="375" ht="15.75" customHeight="1">
      <c r="A375" s="13"/>
      <c r="B375" s="13"/>
      <c r="C375" s="13"/>
      <c r="D375" s="13"/>
      <c r="E375" s="13"/>
      <c r="F375" s="13"/>
    </row>
    <row r="376" ht="15.75" customHeight="1">
      <c r="A376" s="13"/>
      <c r="B376" s="13"/>
      <c r="C376" s="13"/>
      <c r="D376" s="13"/>
      <c r="E376" s="13"/>
      <c r="F376" s="13"/>
    </row>
    <row r="377" ht="15.75" customHeight="1">
      <c r="A377" s="13"/>
      <c r="B377" s="13"/>
      <c r="C377" s="13"/>
      <c r="D377" s="13"/>
      <c r="E377" s="13"/>
      <c r="F377" s="13"/>
    </row>
    <row r="378" ht="15.75" customHeight="1">
      <c r="A378" s="13"/>
      <c r="B378" s="13"/>
      <c r="C378" s="13"/>
      <c r="D378" s="13"/>
      <c r="E378" s="13"/>
      <c r="F378" s="13"/>
    </row>
    <row r="379" ht="15.75" customHeight="1">
      <c r="A379" s="13"/>
      <c r="B379" s="13"/>
      <c r="C379" s="13"/>
      <c r="D379" s="13"/>
      <c r="E379" s="13"/>
      <c r="F379" s="13"/>
    </row>
    <row r="380" ht="15.75" customHeight="1">
      <c r="A380" s="13"/>
      <c r="B380" s="13"/>
      <c r="C380" s="13"/>
      <c r="D380" s="13"/>
      <c r="E380" s="13"/>
      <c r="F380" s="13"/>
    </row>
    <row r="381" ht="15.75" customHeight="1">
      <c r="A381" s="13"/>
      <c r="B381" s="13"/>
      <c r="C381" s="13"/>
      <c r="D381" s="13"/>
      <c r="E381" s="13"/>
      <c r="F381" s="13"/>
    </row>
    <row r="382" ht="15.75" customHeight="1">
      <c r="A382" s="13"/>
      <c r="B382" s="13"/>
      <c r="C382" s="13"/>
      <c r="D382" s="13"/>
      <c r="E382" s="13"/>
      <c r="F382" s="13"/>
    </row>
    <row r="383" ht="15.75" customHeight="1">
      <c r="A383" s="13"/>
      <c r="B383" s="13"/>
      <c r="C383" s="13"/>
      <c r="D383" s="13"/>
      <c r="E383" s="13"/>
      <c r="F383" s="13"/>
    </row>
    <row r="384" ht="15.75" customHeight="1">
      <c r="A384" s="13"/>
      <c r="B384" s="13"/>
      <c r="C384" s="13"/>
      <c r="D384" s="13"/>
      <c r="E384" s="13"/>
      <c r="F384" s="13"/>
    </row>
    <row r="385" ht="15.75" customHeight="1">
      <c r="A385" s="13"/>
      <c r="B385" s="13"/>
      <c r="C385" s="13"/>
      <c r="D385" s="13"/>
      <c r="E385" s="13"/>
      <c r="F385" s="13"/>
    </row>
    <row r="386" ht="15.75" customHeight="1">
      <c r="A386" s="13"/>
      <c r="B386" s="13"/>
      <c r="C386" s="13"/>
      <c r="D386" s="13"/>
      <c r="E386" s="13"/>
      <c r="F386" s="13"/>
    </row>
    <row r="387" ht="15.75" customHeight="1">
      <c r="A387" s="13"/>
      <c r="B387" s="13"/>
      <c r="C387" s="13"/>
      <c r="D387" s="13"/>
      <c r="E387" s="13"/>
      <c r="F387" s="13"/>
    </row>
    <row r="388" ht="15.75" customHeight="1">
      <c r="A388" s="13"/>
      <c r="B388" s="13"/>
      <c r="C388" s="13"/>
      <c r="D388" s="13"/>
      <c r="E388" s="13"/>
      <c r="F388" s="13"/>
    </row>
    <row r="389" ht="15.75" customHeight="1">
      <c r="A389" s="13"/>
      <c r="B389" s="13"/>
      <c r="C389" s="13"/>
      <c r="D389" s="13"/>
      <c r="E389" s="13"/>
      <c r="F389" s="13"/>
    </row>
    <row r="390" ht="15.75" customHeight="1">
      <c r="A390" s="13"/>
      <c r="B390" s="13"/>
      <c r="C390" s="13"/>
      <c r="D390" s="13"/>
      <c r="E390" s="13"/>
      <c r="F390" s="13"/>
    </row>
    <row r="391" ht="15.75" customHeight="1">
      <c r="A391" s="13"/>
      <c r="B391" s="13"/>
      <c r="C391" s="13"/>
      <c r="D391" s="13"/>
      <c r="E391" s="13"/>
      <c r="F391" s="13"/>
    </row>
    <row r="392" ht="15.75" customHeight="1">
      <c r="A392" s="13"/>
      <c r="B392" s="13"/>
      <c r="C392" s="13"/>
      <c r="D392" s="13"/>
      <c r="E392" s="13"/>
      <c r="F392" s="13"/>
    </row>
    <row r="393" ht="15.75" customHeight="1">
      <c r="A393" s="13"/>
      <c r="B393" s="13"/>
      <c r="C393" s="13"/>
      <c r="D393" s="13"/>
      <c r="E393" s="13"/>
      <c r="F393" s="13"/>
    </row>
    <row r="394" ht="15.75" customHeight="1">
      <c r="A394" s="13"/>
      <c r="B394" s="13"/>
      <c r="C394" s="13"/>
      <c r="D394" s="13"/>
      <c r="E394" s="13"/>
      <c r="F394" s="13"/>
    </row>
    <row r="395" ht="15.75" customHeight="1">
      <c r="A395" s="13"/>
      <c r="B395" s="13"/>
      <c r="C395" s="13"/>
      <c r="D395" s="13"/>
      <c r="E395" s="13"/>
      <c r="F395" s="13"/>
    </row>
    <row r="396" ht="15.75" customHeight="1">
      <c r="A396" s="13"/>
      <c r="B396" s="13"/>
      <c r="C396" s="13"/>
      <c r="D396" s="13"/>
      <c r="E396" s="13"/>
      <c r="F396" s="13"/>
    </row>
    <row r="397" ht="15.75" customHeight="1">
      <c r="A397" s="13"/>
      <c r="B397" s="13"/>
      <c r="C397" s="13"/>
      <c r="D397" s="13"/>
      <c r="E397" s="13"/>
      <c r="F397" s="13"/>
    </row>
    <row r="398" ht="15.75" customHeight="1">
      <c r="A398" s="13"/>
      <c r="B398" s="13"/>
      <c r="C398" s="13"/>
      <c r="D398" s="13"/>
      <c r="E398" s="13"/>
      <c r="F398" s="13"/>
    </row>
    <row r="399" ht="15.75" customHeight="1">
      <c r="A399" s="13"/>
      <c r="B399" s="13"/>
      <c r="C399" s="13"/>
      <c r="D399" s="13"/>
      <c r="E399" s="13"/>
      <c r="F399" s="13"/>
    </row>
    <row r="400" ht="15.75" customHeight="1">
      <c r="A400" s="13"/>
      <c r="B400" s="13"/>
      <c r="C400" s="13"/>
      <c r="D400" s="13"/>
      <c r="E400" s="13"/>
      <c r="F400" s="13"/>
    </row>
    <row r="401" ht="15.75" customHeight="1">
      <c r="A401" s="13"/>
      <c r="B401" s="13"/>
      <c r="C401" s="13"/>
      <c r="D401" s="13"/>
      <c r="E401" s="13"/>
      <c r="F401" s="13"/>
    </row>
    <row r="402" ht="15.75" customHeight="1">
      <c r="A402" s="13"/>
      <c r="B402" s="13"/>
      <c r="C402" s="13"/>
      <c r="D402" s="13"/>
      <c r="E402" s="13"/>
      <c r="F402" s="13"/>
    </row>
    <row r="403" ht="15.75" customHeight="1">
      <c r="A403" s="13"/>
      <c r="B403" s="13"/>
      <c r="C403" s="13"/>
      <c r="D403" s="13"/>
      <c r="E403" s="13"/>
      <c r="F403" s="13"/>
    </row>
    <row r="404" ht="15.75" customHeight="1">
      <c r="A404" s="13"/>
      <c r="B404" s="13"/>
      <c r="C404" s="13"/>
      <c r="D404" s="13"/>
      <c r="E404" s="13"/>
      <c r="F404" s="13"/>
    </row>
    <row r="405" ht="15.75" customHeight="1">
      <c r="A405" s="13"/>
      <c r="B405" s="13"/>
      <c r="C405" s="13"/>
      <c r="D405" s="13"/>
      <c r="E405" s="13"/>
      <c r="F405" s="13"/>
    </row>
    <row r="406" ht="15.75" customHeight="1">
      <c r="A406" s="13"/>
      <c r="B406" s="13"/>
      <c r="C406" s="13"/>
      <c r="D406" s="13"/>
      <c r="E406" s="13"/>
      <c r="F406" s="13"/>
    </row>
    <row r="407" ht="15.75" customHeight="1">
      <c r="A407" s="13"/>
      <c r="B407" s="13"/>
      <c r="C407" s="13"/>
      <c r="D407" s="13"/>
      <c r="E407" s="13"/>
      <c r="F407" s="13"/>
    </row>
    <row r="408" ht="15.75" customHeight="1">
      <c r="A408" s="13"/>
      <c r="B408" s="13"/>
      <c r="C408" s="13"/>
      <c r="D408" s="13"/>
      <c r="E408" s="13"/>
      <c r="F408" s="13"/>
    </row>
    <row r="409" ht="15.75" customHeight="1">
      <c r="A409" s="13"/>
      <c r="B409" s="13"/>
      <c r="C409" s="13"/>
      <c r="D409" s="13"/>
      <c r="E409" s="13"/>
      <c r="F409" s="13"/>
    </row>
    <row r="410" ht="15.75" customHeight="1">
      <c r="A410" s="13"/>
      <c r="B410" s="13"/>
      <c r="C410" s="13"/>
      <c r="D410" s="13"/>
      <c r="E410" s="13"/>
      <c r="F410" s="13"/>
    </row>
    <row r="411" ht="15.75" customHeight="1">
      <c r="A411" s="13"/>
      <c r="B411" s="13"/>
      <c r="C411" s="13"/>
      <c r="D411" s="13"/>
      <c r="E411" s="13"/>
      <c r="F411" s="13"/>
    </row>
    <row r="412" ht="15.75" customHeight="1">
      <c r="A412" s="13"/>
      <c r="B412" s="13"/>
      <c r="C412" s="13"/>
      <c r="D412" s="13"/>
      <c r="E412" s="13"/>
      <c r="F412" s="13"/>
    </row>
    <row r="413" ht="15.75" customHeight="1">
      <c r="A413" s="13"/>
      <c r="B413" s="13"/>
      <c r="C413" s="13"/>
      <c r="D413" s="13"/>
      <c r="E413" s="13"/>
      <c r="F413" s="13"/>
    </row>
    <row r="414" ht="15.75" customHeight="1">
      <c r="A414" s="13"/>
      <c r="B414" s="13"/>
      <c r="C414" s="13"/>
      <c r="D414" s="13"/>
      <c r="E414" s="13"/>
      <c r="F414" s="13"/>
    </row>
    <row r="415" ht="15.75" customHeight="1">
      <c r="A415" s="13"/>
      <c r="B415" s="13"/>
      <c r="C415" s="13"/>
      <c r="D415" s="13"/>
      <c r="E415" s="13"/>
      <c r="F415" s="13"/>
    </row>
    <row r="416" ht="15.75" customHeight="1">
      <c r="A416" s="13"/>
      <c r="B416" s="13"/>
      <c r="C416" s="13"/>
      <c r="D416" s="13"/>
      <c r="E416" s="13"/>
      <c r="F416" s="13"/>
    </row>
    <row r="417" ht="15.75" customHeight="1">
      <c r="A417" s="13"/>
      <c r="B417" s="13"/>
      <c r="C417" s="13"/>
      <c r="D417" s="13"/>
      <c r="E417" s="13"/>
      <c r="F417" s="13"/>
    </row>
    <row r="418" ht="15.75" customHeight="1">
      <c r="A418" s="13"/>
      <c r="B418" s="13"/>
      <c r="C418" s="13"/>
      <c r="D418" s="13"/>
      <c r="E418" s="13"/>
      <c r="F418" s="13"/>
    </row>
    <row r="419" ht="15.75" customHeight="1">
      <c r="A419" s="13"/>
      <c r="B419" s="13"/>
      <c r="C419" s="13"/>
      <c r="D419" s="13"/>
      <c r="E419" s="13"/>
      <c r="F419" s="13"/>
    </row>
    <row r="420" ht="15.75" customHeight="1">
      <c r="A420" s="13"/>
      <c r="B420" s="13"/>
      <c r="C420" s="13"/>
      <c r="D420" s="13"/>
      <c r="E420" s="13"/>
      <c r="F420" s="13"/>
    </row>
    <row r="421" ht="15.75" customHeight="1">
      <c r="A421" s="13"/>
      <c r="B421" s="13"/>
      <c r="C421" s="13"/>
      <c r="D421" s="13"/>
      <c r="E421" s="13"/>
      <c r="F421" s="13"/>
    </row>
    <row r="422" ht="15.75" customHeight="1">
      <c r="A422" s="13"/>
      <c r="B422" s="13"/>
      <c r="C422" s="13"/>
      <c r="D422" s="13"/>
      <c r="E422" s="13"/>
      <c r="F422" s="13"/>
    </row>
    <row r="423" ht="15.75" customHeight="1">
      <c r="A423" s="13"/>
      <c r="B423" s="13"/>
      <c r="C423" s="13"/>
      <c r="D423" s="13"/>
      <c r="E423" s="13"/>
      <c r="F423" s="13"/>
    </row>
    <row r="424" ht="15.75" customHeight="1">
      <c r="A424" s="13"/>
      <c r="B424" s="13"/>
      <c r="C424" s="13"/>
      <c r="D424" s="13"/>
      <c r="E424" s="13"/>
      <c r="F424" s="13"/>
    </row>
    <row r="425" ht="15.75" customHeight="1">
      <c r="A425" s="13"/>
      <c r="B425" s="13"/>
      <c r="C425" s="13"/>
      <c r="D425" s="13"/>
      <c r="E425" s="13"/>
      <c r="F425" s="13"/>
    </row>
    <row r="426" ht="15.75" customHeight="1">
      <c r="A426" s="13"/>
      <c r="B426" s="13"/>
      <c r="C426" s="13"/>
      <c r="D426" s="13"/>
      <c r="E426" s="13"/>
      <c r="F426" s="13"/>
    </row>
    <row r="427" ht="15.75" customHeight="1">
      <c r="A427" s="13"/>
      <c r="B427" s="13"/>
      <c r="C427" s="13"/>
      <c r="D427" s="13"/>
      <c r="E427" s="13"/>
      <c r="F427" s="13"/>
    </row>
    <row r="428" ht="15.75" customHeight="1">
      <c r="A428" s="13"/>
      <c r="B428" s="13"/>
      <c r="C428" s="13"/>
      <c r="D428" s="13"/>
      <c r="E428" s="13"/>
      <c r="F428" s="13"/>
    </row>
    <row r="429" ht="15.75" customHeight="1">
      <c r="A429" s="13"/>
      <c r="B429" s="13"/>
      <c r="C429" s="13"/>
      <c r="D429" s="13"/>
      <c r="E429" s="13"/>
      <c r="F429" s="13"/>
    </row>
    <row r="430" ht="15.75" customHeight="1">
      <c r="A430" s="13"/>
      <c r="B430" s="13"/>
      <c r="C430" s="13"/>
      <c r="D430" s="13"/>
      <c r="E430" s="13"/>
      <c r="F430" s="13"/>
    </row>
    <row r="431" ht="15.75" customHeight="1">
      <c r="A431" s="13"/>
      <c r="B431" s="13"/>
      <c r="C431" s="13"/>
      <c r="D431" s="13"/>
      <c r="E431" s="13"/>
      <c r="F431" s="13"/>
    </row>
    <row r="432" ht="15.75" customHeight="1">
      <c r="A432" s="13"/>
      <c r="B432" s="13"/>
      <c r="C432" s="13"/>
      <c r="D432" s="13"/>
      <c r="E432" s="13"/>
      <c r="F432" s="13"/>
    </row>
    <row r="433" ht="15.75" customHeight="1">
      <c r="A433" s="13"/>
      <c r="B433" s="13"/>
      <c r="C433" s="13"/>
      <c r="D433" s="13"/>
      <c r="E433" s="13"/>
      <c r="F433" s="13"/>
    </row>
    <row r="434" ht="15.75" customHeight="1">
      <c r="A434" s="13"/>
      <c r="B434" s="13"/>
      <c r="C434" s="13"/>
      <c r="D434" s="13"/>
      <c r="E434" s="13"/>
      <c r="F434" s="13"/>
    </row>
    <row r="435" ht="15.75" customHeight="1">
      <c r="A435" s="13"/>
      <c r="B435" s="13"/>
      <c r="C435" s="13"/>
      <c r="D435" s="13"/>
      <c r="E435" s="13"/>
      <c r="F435" s="13"/>
    </row>
    <row r="436" ht="15.75" customHeight="1">
      <c r="A436" s="13"/>
      <c r="B436" s="13"/>
      <c r="C436" s="13"/>
      <c r="D436" s="13"/>
      <c r="E436" s="13"/>
      <c r="F436" s="13"/>
    </row>
    <row r="437" ht="15.75" customHeight="1">
      <c r="A437" s="13"/>
      <c r="B437" s="13"/>
      <c r="C437" s="13"/>
      <c r="D437" s="13"/>
      <c r="E437" s="13"/>
      <c r="F437" s="13"/>
    </row>
    <row r="438" ht="15.75" customHeight="1">
      <c r="A438" s="13"/>
      <c r="B438" s="13"/>
      <c r="C438" s="13"/>
      <c r="D438" s="13"/>
      <c r="E438" s="13"/>
      <c r="F438" s="13"/>
    </row>
    <row r="439" ht="15.75" customHeight="1">
      <c r="A439" s="13"/>
      <c r="B439" s="13"/>
      <c r="C439" s="13"/>
      <c r="D439" s="13"/>
      <c r="E439" s="13"/>
      <c r="F439" s="13"/>
    </row>
    <row r="440" ht="15.75" customHeight="1">
      <c r="A440" s="13"/>
      <c r="B440" s="13"/>
      <c r="C440" s="13"/>
      <c r="D440" s="13"/>
      <c r="E440" s="13"/>
      <c r="F440" s="13"/>
    </row>
    <row r="441" ht="15.75" customHeight="1">
      <c r="A441" s="13"/>
      <c r="B441" s="13"/>
      <c r="C441" s="13"/>
      <c r="D441" s="13"/>
      <c r="E441" s="13"/>
      <c r="F441" s="13"/>
    </row>
    <row r="442" ht="15.75" customHeight="1">
      <c r="A442" s="13"/>
      <c r="B442" s="13"/>
      <c r="C442" s="13"/>
      <c r="D442" s="13"/>
      <c r="E442" s="13"/>
      <c r="F442" s="13"/>
    </row>
    <row r="443" ht="15.75" customHeight="1">
      <c r="A443" s="13"/>
      <c r="B443" s="13"/>
      <c r="C443" s="13"/>
      <c r="D443" s="13"/>
      <c r="E443" s="13"/>
      <c r="F443" s="13"/>
    </row>
    <row r="444" ht="15.75" customHeight="1">
      <c r="A444" s="13"/>
      <c r="B444" s="13"/>
      <c r="C444" s="13"/>
      <c r="D444" s="13"/>
      <c r="E444" s="13"/>
      <c r="F444" s="13"/>
    </row>
    <row r="445" ht="15.75" customHeight="1">
      <c r="A445" s="13"/>
      <c r="B445" s="13"/>
      <c r="C445" s="13"/>
      <c r="D445" s="13"/>
      <c r="E445" s="13"/>
      <c r="F445" s="13"/>
    </row>
    <row r="446" ht="15.75" customHeight="1">
      <c r="A446" s="13"/>
      <c r="B446" s="13"/>
      <c r="C446" s="13"/>
      <c r="D446" s="13"/>
      <c r="E446" s="13"/>
      <c r="F446" s="13"/>
    </row>
    <row r="447" ht="15.75" customHeight="1">
      <c r="A447" s="13"/>
      <c r="B447" s="13"/>
      <c r="C447" s="13"/>
      <c r="D447" s="13"/>
      <c r="E447" s="13"/>
      <c r="F447" s="13"/>
    </row>
    <row r="448" ht="15.75" customHeight="1">
      <c r="A448" s="13"/>
      <c r="B448" s="13"/>
      <c r="C448" s="13"/>
      <c r="D448" s="13"/>
      <c r="E448" s="13"/>
      <c r="F448" s="13"/>
    </row>
    <row r="449" ht="15.75" customHeight="1">
      <c r="A449" s="13"/>
      <c r="B449" s="13"/>
      <c r="C449" s="13"/>
      <c r="D449" s="13"/>
      <c r="E449" s="13"/>
      <c r="F449" s="13"/>
    </row>
    <row r="450" ht="15.75" customHeight="1">
      <c r="A450" s="13"/>
      <c r="B450" s="13"/>
      <c r="C450" s="13"/>
      <c r="D450" s="13"/>
      <c r="E450" s="13"/>
      <c r="F450" s="13"/>
    </row>
    <row r="451" ht="15.75" customHeight="1">
      <c r="A451" s="13"/>
      <c r="B451" s="13"/>
      <c r="C451" s="13"/>
      <c r="D451" s="13"/>
      <c r="E451" s="13"/>
      <c r="F451" s="13"/>
    </row>
    <row r="452" ht="15.75" customHeight="1">
      <c r="A452" s="13"/>
      <c r="B452" s="13"/>
      <c r="C452" s="13"/>
      <c r="D452" s="13"/>
      <c r="E452" s="13"/>
      <c r="F452" s="13"/>
    </row>
    <row r="453" ht="15.75" customHeight="1">
      <c r="A453" s="13"/>
      <c r="B453" s="13"/>
      <c r="C453" s="13"/>
      <c r="D453" s="13"/>
      <c r="E453" s="13"/>
      <c r="F453" s="13"/>
    </row>
    <row r="454" ht="15.75" customHeight="1">
      <c r="A454" s="13"/>
      <c r="B454" s="13"/>
      <c r="C454" s="13"/>
      <c r="D454" s="13"/>
      <c r="E454" s="13"/>
      <c r="F454" s="13"/>
    </row>
    <row r="455" ht="15.75" customHeight="1">
      <c r="A455" s="13"/>
      <c r="B455" s="13"/>
      <c r="C455" s="13"/>
      <c r="D455" s="13"/>
      <c r="E455" s="13"/>
      <c r="F455" s="13"/>
    </row>
    <row r="456" ht="15.75" customHeight="1">
      <c r="A456" s="13"/>
      <c r="B456" s="13"/>
      <c r="C456" s="13"/>
      <c r="D456" s="13"/>
      <c r="E456" s="13"/>
      <c r="F456" s="13"/>
    </row>
    <row r="457" ht="15.75" customHeight="1">
      <c r="A457" s="13"/>
      <c r="B457" s="13"/>
      <c r="C457" s="13"/>
      <c r="D457" s="13"/>
      <c r="E457" s="13"/>
      <c r="F457" s="13"/>
    </row>
    <row r="458" ht="15.75" customHeight="1">
      <c r="A458" s="13"/>
      <c r="B458" s="13"/>
      <c r="C458" s="13"/>
      <c r="D458" s="13"/>
      <c r="E458" s="13"/>
      <c r="F458" s="13"/>
    </row>
    <row r="459" ht="15.75" customHeight="1">
      <c r="A459" s="13"/>
      <c r="B459" s="13"/>
      <c r="C459" s="13"/>
      <c r="D459" s="13"/>
      <c r="E459" s="13"/>
      <c r="F459" s="13"/>
    </row>
    <row r="460" ht="15.75" customHeight="1">
      <c r="A460" s="13"/>
      <c r="B460" s="13"/>
      <c r="C460" s="13"/>
      <c r="D460" s="13"/>
      <c r="E460" s="13"/>
      <c r="F460" s="13"/>
    </row>
    <row r="461" ht="15.75" customHeight="1">
      <c r="A461" s="13"/>
      <c r="B461" s="13"/>
      <c r="C461" s="13"/>
      <c r="D461" s="13"/>
      <c r="E461" s="13"/>
      <c r="F461" s="13"/>
    </row>
    <row r="462" ht="15.75" customHeight="1">
      <c r="A462" s="13"/>
      <c r="B462" s="13"/>
      <c r="C462" s="13"/>
      <c r="D462" s="13"/>
      <c r="E462" s="13"/>
      <c r="F462" s="13"/>
    </row>
    <row r="463" ht="15.75" customHeight="1">
      <c r="A463" s="13"/>
      <c r="B463" s="13"/>
      <c r="C463" s="13"/>
      <c r="D463" s="13"/>
      <c r="E463" s="13"/>
      <c r="F463" s="13"/>
    </row>
    <row r="464" ht="15.75" customHeight="1">
      <c r="A464" s="13"/>
      <c r="B464" s="13"/>
      <c r="C464" s="13"/>
      <c r="D464" s="13"/>
      <c r="E464" s="13"/>
      <c r="F464" s="13"/>
    </row>
    <row r="465" ht="15.75" customHeight="1">
      <c r="A465" s="13"/>
      <c r="B465" s="13"/>
      <c r="C465" s="13"/>
      <c r="D465" s="13"/>
      <c r="E465" s="13"/>
      <c r="F465" s="13"/>
    </row>
    <row r="466" ht="15.75" customHeight="1">
      <c r="A466" s="13"/>
      <c r="B466" s="13"/>
      <c r="C466" s="13"/>
      <c r="D466" s="13"/>
      <c r="E466" s="13"/>
      <c r="F466" s="13"/>
    </row>
    <row r="467" ht="15.75" customHeight="1">
      <c r="A467" s="13"/>
      <c r="B467" s="13"/>
      <c r="C467" s="13"/>
      <c r="D467" s="13"/>
      <c r="E467" s="13"/>
      <c r="F467" s="13"/>
    </row>
    <row r="468" ht="15.75" customHeight="1">
      <c r="A468" s="13"/>
      <c r="B468" s="13"/>
      <c r="C468" s="13"/>
      <c r="D468" s="13"/>
      <c r="E468" s="13"/>
      <c r="F468" s="13"/>
    </row>
    <row r="469" ht="15.75" customHeight="1">
      <c r="A469" s="13"/>
      <c r="B469" s="13"/>
      <c r="C469" s="13"/>
      <c r="D469" s="13"/>
      <c r="E469" s="13"/>
      <c r="F469" s="13"/>
    </row>
    <row r="470" ht="15.75" customHeight="1">
      <c r="A470" s="13"/>
      <c r="B470" s="13"/>
      <c r="C470" s="13"/>
      <c r="D470" s="13"/>
      <c r="E470" s="13"/>
      <c r="F470" s="13"/>
    </row>
    <row r="471" ht="15.75" customHeight="1">
      <c r="A471" s="13"/>
      <c r="B471" s="13"/>
      <c r="C471" s="13"/>
      <c r="D471" s="13"/>
      <c r="E471" s="13"/>
      <c r="F471" s="13"/>
    </row>
    <row r="472" ht="15.75" customHeight="1">
      <c r="A472" s="13"/>
      <c r="B472" s="13"/>
      <c r="C472" s="13"/>
      <c r="D472" s="13"/>
      <c r="E472" s="13"/>
      <c r="F472" s="13"/>
    </row>
    <row r="473" ht="15.75" customHeight="1">
      <c r="A473" s="13"/>
      <c r="B473" s="13"/>
      <c r="C473" s="13"/>
      <c r="D473" s="13"/>
      <c r="E473" s="13"/>
      <c r="F473" s="13"/>
    </row>
    <row r="474" ht="15.75" customHeight="1">
      <c r="A474" s="13"/>
      <c r="B474" s="13"/>
      <c r="C474" s="13"/>
      <c r="D474" s="13"/>
      <c r="E474" s="13"/>
      <c r="F474" s="13"/>
    </row>
    <row r="475" ht="15.75" customHeight="1">
      <c r="A475" s="13"/>
      <c r="B475" s="13"/>
      <c r="C475" s="13"/>
      <c r="D475" s="13"/>
      <c r="E475" s="13"/>
      <c r="F475" s="13"/>
    </row>
    <row r="476" ht="15.75" customHeight="1">
      <c r="A476" s="13"/>
      <c r="B476" s="13"/>
      <c r="C476" s="13"/>
      <c r="D476" s="13"/>
      <c r="E476" s="13"/>
      <c r="F476" s="13"/>
    </row>
    <row r="477" ht="15.75" customHeight="1">
      <c r="A477" s="13"/>
      <c r="B477" s="13"/>
      <c r="C477" s="13"/>
      <c r="D477" s="13"/>
      <c r="E477" s="13"/>
      <c r="F477" s="13"/>
    </row>
    <row r="478" ht="15.75" customHeight="1">
      <c r="A478" s="13"/>
      <c r="B478" s="13"/>
      <c r="C478" s="13"/>
      <c r="D478" s="13"/>
      <c r="E478" s="13"/>
      <c r="F478" s="13"/>
    </row>
    <row r="479" ht="15.75" customHeight="1">
      <c r="A479" s="13"/>
      <c r="B479" s="13"/>
      <c r="C479" s="13"/>
      <c r="D479" s="13"/>
      <c r="E479" s="13"/>
      <c r="F479" s="13"/>
    </row>
    <row r="480" ht="15.75" customHeight="1">
      <c r="A480" s="13"/>
      <c r="B480" s="13"/>
      <c r="C480" s="13"/>
      <c r="D480" s="13"/>
      <c r="E480" s="13"/>
      <c r="F480" s="13"/>
    </row>
    <row r="481" ht="15.75" customHeight="1">
      <c r="A481" s="13"/>
      <c r="B481" s="13"/>
      <c r="C481" s="13"/>
      <c r="D481" s="13"/>
      <c r="E481" s="13"/>
      <c r="F481" s="13"/>
    </row>
    <row r="482" ht="15.75" customHeight="1">
      <c r="A482" s="13"/>
      <c r="B482" s="13"/>
      <c r="C482" s="13"/>
      <c r="D482" s="13"/>
      <c r="E482" s="13"/>
      <c r="F482" s="13"/>
    </row>
    <row r="483" ht="15.75" customHeight="1">
      <c r="A483" s="13"/>
      <c r="B483" s="13"/>
      <c r="C483" s="13"/>
      <c r="D483" s="13"/>
      <c r="E483" s="13"/>
      <c r="F483" s="13"/>
    </row>
    <row r="484" ht="15.75" customHeight="1">
      <c r="A484" s="13"/>
      <c r="B484" s="13"/>
      <c r="C484" s="13"/>
      <c r="D484" s="13"/>
      <c r="E484" s="13"/>
      <c r="F484" s="13"/>
    </row>
    <row r="485" ht="15.75" customHeight="1">
      <c r="A485" s="13"/>
      <c r="B485" s="13"/>
      <c r="C485" s="13"/>
      <c r="D485" s="13"/>
      <c r="E485" s="13"/>
      <c r="F485" s="13"/>
    </row>
    <row r="486" ht="15.75" customHeight="1">
      <c r="A486" s="13"/>
      <c r="B486" s="13"/>
      <c r="C486" s="13"/>
      <c r="D486" s="13"/>
      <c r="E486" s="13"/>
      <c r="F486" s="13"/>
    </row>
    <row r="487" ht="15.75" customHeight="1">
      <c r="A487" s="13"/>
      <c r="B487" s="13"/>
      <c r="C487" s="13"/>
      <c r="D487" s="13"/>
      <c r="E487" s="13"/>
      <c r="F487" s="13"/>
    </row>
    <row r="488" ht="15.75" customHeight="1">
      <c r="A488" s="13"/>
      <c r="B488" s="13"/>
      <c r="C488" s="13"/>
      <c r="D488" s="13"/>
      <c r="E488" s="13"/>
      <c r="F488" s="13"/>
    </row>
    <row r="489" ht="15.75" customHeight="1">
      <c r="A489" s="13"/>
      <c r="B489" s="13"/>
      <c r="C489" s="13"/>
      <c r="D489" s="13"/>
      <c r="E489" s="13"/>
      <c r="F489" s="13"/>
    </row>
    <row r="490" ht="15.75" customHeight="1">
      <c r="A490" s="13"/>
      <c r="B490" s="13"/>
      <c r="C490" s="13"/>
      <c r="D490" s="13"/>
      <c r="E490" s="13"/>
      <c r="F490" s="13"/>
    </row>
    <row r="491" ht="15.75" customHeight="1">
      <c r="A491" s="13"/>
      <c r="B491" s="13"/>
      <c r="C491" s="13"/>
      <c r="D491" s="13"/>
      <c r="E491" s="13"/>
      <c r="F491" s="13"/>
    </row>
    <row r="492" ht="15.75" customHeight="1">
      <c r="A492" s="13"/>
      <c r="B492" s="13"/>
      <c r="C492" s="13"/>
      <c r="D492" s="13"/>
      <c r="E492" s="13"/>
      <c r="F492" s="13"/>
    </row>
    <row r="493" ht="15.75" customHeight="1">
      <c r="A493" s="13"/>
      <c r="B493" s="13"/>
      <c r="C493" s="13"/>
      <c r="D493" s="13"/>
      <c r="E493" s="13"/>
      <c r="F493" s="13"/>
    </row>
    <row r="494" ht="15.75" customHeight="1">
      <c r="A494" s="13"/>
      <c r="B494" s="13"/>
      <c r="C494" s="13"/>
      <c r="D494" s="13"/>
      <c r="E494" s="13"/>
      <c r="F494" s="13"/>
    </row>
    <row r="495" ht="15.75" customHeight="1">
      <c r="A495" s="13"/>
      <c r="B495" s="13"/>
      <c r="C495" s="13"/>
      <c r="D495" s="13"/>
      <c r="E495" s="13"/>
      <c r="F495" s="13"/>
    </row>
    <row r="496" ht="15.75" customHeight="1">
      <c r="A496" s="13"/>
      <c r="B496" s="13"/>
      <c r="C496" s="13"/>
      <c r="D496" s="13"/>
      <c r="E496" s="13"/>
      <c r="F496" s="13"/>
    </row>
    <row r="497" ht="15.75" customHeight="1">
      <c r="A497" s="13"/>
      <c r="B497" s="13"/>
      <c r="C497" s="13"/>
      <c r="D497" s="13"/>
      <c r="E497" s="13"/>
      <c r="F497" s="13"/>
    </row>
    <row r="498" ht="15.75" customHeight="1">
      <c r="A498" s="13"/>
      <c r="B498" s="13"/>
      <c r="C498" s="13"/>
      <c r="D498" s="13"/>
      <c r="E498" s="13"/>
      <c r="F498" s="13"/>
    </row>
    <row r="499" ht="15.75" customHeight="1">
      <c r="A499" s="13"/>
      <c r="B499" s="13"/>
      <c r="C499" s="13"/>
      <c r="D499" s="13"/>
      <c r="E499" s="13"/>
      <c r="F499" s="13"/>
    </row>
    <row r="500" ht="15.75" customHeight="1">
      <c r="A500" s="13"/>
      <c r="B500" s="13"/>
      <c r="C500" s="13"/>
      <c r="D500" s="13"/>
      <c r="E500" s="13"/>
      <c r="F500" s="13"/>
    </row>
    <row r="501" ht="15.75" customHeight="1">
      <c r="A501" s="13"/>
      <c r="B501" s="13"/>
      <c r="C501" s="13"/>
      <c r="D501" s="13"/>
      <c r="E501" s="13"/>
      <c r="F501" s="13"/>
    </row>
    <row r="502" ht="15.75" customHeight="1">
      <c r="A502" s="13"/>
      <c r="B502" s="13"/>
      <c r="C502" s="13"/>
      <c r="D502" s="13"/>
      <c r="E502" s="13"/>
      <c r="F502" s="13"/>
    </row>
    <row r="503" ht="15.75" customHeight="1">
      <c r="A503" s="13"/>
      <c r="B503" s="13"/>
      <c r="C503" s="13"/>
      <c r="D503" s="13"/>
      <c r="E503" s="13"/>
      <c r="F503" s="13"/>
    </row>
    <row r="504" ht="15.75" customHeight="1">
      <c r="A504" s="13"/>
      <c r="B504" s="13"/>
      <c r="C504" s="13"/>
      <c r="D504" s="13"/>
      <c r="E504" s="13"/>
      <c r="F504" s="13"/>
    </row>
    <row r="505" ht="15.75" customHeight="1">
      <c r="A505" s="13"/>
      <c r="B505" s="13"/>
      <c r="C505" s="13"/>
      <c r="D505" s="13"/>
      <c r="E505" s="13"/>
      <c r="F505" s="13"/>
    </row>
    <row r="506" ht="15.75" customHeight="1">
      <c r="A506" s="13"/>
      <c r="B506" s="13"/>
      <c r="C506" s="13"/>
      <c r="D506" s="13"/>
      <c r="E506" s="13"/>
      <c r="F506" s="13"/>
    </row>
    <row r="507" ht="15.75" customHeight="1">
      <c r="A507" s="13"/>
      <c r="B507" s="13"/>
      <c r="C507" s="13"/>
      <c r="D507" s="13"/>
      <c r="E507" s="13"/>
      <c r="F507" s="13"/>
    </row>
    <row r="508" ht="15.75" customHeight="1">
      <c r="A508" s="13"/>
      <c r="B508" s="13"/>
      <c r="C508" s="13"/>
      <c r="D508" s="13"/>
      <c r="E508" s="13"/>
      <c r="F508" s="13"/>
    </row>
    <row r="509" ht="15.75" customHeight="1">
      <c r="A509" s="13"/>
      <c r="B509" s="13"/>
      <c r="C509" s="13"/>
      <c r="D509" s="13"/>
      <c r="E509" s="13"/>
      <c r="F509" s="13"/>
    </row>
    <row r="510" ht="15.75" customHeight="1">
      <c r="A510" s="13"/>
      <c r="B510" s="13"/>
      <c r="C510" s="13"/>
      <c r="D510" s="13"/>
      <c r="E510" s="13"/>
      <c r="F510" s="13"/>
    </row>
    <row r="511" ht="15.75" customHeight="1">
      <c r="A511" s="13"/>
      <c r="B511" s="13"/>
      <c r="C511" s="13"/>
      <c r="D511" s="13"/>
      <c r="E511" s="13"/>
      <c r="F511" s="13"/>
    </row>
    <row r="512" ht="15.75" customHeight="1">
      <c r="A512" s="13"/>
      <c r="B512" s="13"/>
      <c r="C512" s="13"/>
      <c r="D512" s="13"/>
      <c r="E512" s="13"/>
      <c r="F512" s="13"/>
    </row>
    <row r="513" ht="15.75" customHeight="1">
      <c r="A513" s="13"/>
      <c r="B513" s="13"/>
      <c r="C513" s="13"/>
      <c r="D513" s="13"/>
      <c r="E513" s="13"/>
      <c r="F513" s="13"/>
    </row>
    <row r="514" ht="15.75" customHeight="1">
      <c r="A514" s="13"/>
      <c r="B514" s="13"/>
      <c r="C514" s="13"/>
      <c r="D514" s="13"/>
      <c r="E514" s="13"/>
      <c r="F514" s="13"/>
    </row>
    <row r="515" ht="15.75" customHeight="1">
      <c r="A515" s="13"/>
      <c r="B515" s="13"/>
      <c r="C515" s="13"/>
      <c r="D515" s="13"/>
      <c r="E515" s="13"/>
      <c r="F515" s="13"/>
    </row>
    <row r="516" ht="15.75" customHeight="1">
      <c r="A516" s="13"/>
      <c r="B516" s="13"/>
      <c r="C516" s="13"/>
      <c r="D516" s="13"/>
      <c r="E516" s="13"/>
      <c r="F516" s="13"/>
    </row>
    <row r="517" ht="15.75" customHeight="1">
      <c r="A517" s="13"/>
      <c r="B517" s="13"/>
      <c r="C517" s="13"/>
      <c r="D517" s="13"/>
      <c r="E517" s="13"/>
      <c r="F517" s="13"/>
    </row>
    <row r="518" ht="15.75" customHeight="1">
      <c r="A518" s="13"/>
      <c r="B518" s="13"/>
      <c r="C518" s="13"/>
      <c r="D518" s="13"/>
      <c r="E518" s="13"/>
      <c r="F518" s="13"/>
    </row>
    <row r="519" ht="15.75" customHeight="1">
      <c r="A519" s="13"/>
      <c r="B519" s="13"/>
      <c r="C519" s="13"/>
      <c r="D519" s="13"/>
      <c r="E519" s="13"/>
      <c r="F519" s="13"/>
    </row>
    <row r="520" ht="15.75" customHeight="1">
      <c r="A520" s="13"/>
      <c r="B520" s="13"/>
      <c r="C520" s="13"/>
      <c r="D520" s="13"/>
      <c r="E520" s="13"/>
      <c r="F520" s="13"/>
    </row>
    <row r="521" ht="15.75" customHeight="1">
      <c r="A521" s="13"/>
      <c r="B521" s="13"/>
      <c r="C521" s="13"/>
      <c r="D521" s="13"/>
      <c r="E521" s="13"/>
      <c r="F521" s="13"/>
    </row>
    <row r="522" ht="15.75" customHeight="1">
      <c r="A522" s="13"/>
      <c r="B522" s="13"/>
      <c r="C522" s="13"/>
      <c r="D522" s="13"/>
      <c r="E522" s="13"/>
      <c r="F522" s="13"/>
    </row>
    <row r="523" ht="15.75" customHeight="1">
      <c r="A523" s="13"/>
      <c r="B523" s="13"/>
      <c r="C523" s="13"/>
      <c r="D523" s="13"/>
      <c r="E523" s="13"/>
      <c r="F523" s="13"/>
    </row>
    <row r="524" ht="15.75" customHeight="1">
      <c r="A524" s="13"/>
      <c r="B524" s="13"/>
      <c r="C524" s="13"/>
      <c r="D524" s="13"/>
      <c r="E524" s="13"/>
      <c r="F524" s="13"/>
    </row>
    <row r="525" ht="15.75" customHeight="1">
      <c r="A525" s="13"/>
      <c r="B525" s="13"/>
      <c r="C525" s="13"/>
      <c r="D525" s="13"/>
      <c r="E525" s="13"/>
      <c r="F525" s="13"/>
    </row>
    <row r="526" ht="15.75" customHeight="1">
      <c r="A526" s="13"/>
      <c r="B526" s="13"/>
      <c r="C526" s="13"/>
      <c r="D526" s="13"/>
      <c r="E526" s="13"/>
      <c r="F526" s="13"/>
    </row>
    <row r="527" ht="15.75" customHeight="1">
      <c r="A527" s="13"/>
      <c r="B527" s="13"/>
      <c r="C527" s="13"/>
      <c r="D527" s="13"/>
      <c r="E527" s="13"/>
      <c r="F527" s="13"/>
    </row>
    <row r="528" ht="15.75" customHeight="1">
      <c r="A528" s="13"/>
      <c r="B528" s="13"/>
      <c r="C528" s="13"/>
      <c r="D528" s="13"/>
      <c r="E528" s="13"/>
      <c r="F528" s="13"/>
    </row>
    <row r="529" ht="15.75" customHeight="1">
      <c r="A529" s="13"/>
      <c r="B529" s="13"/>
      <c r="C529" s="13"/>
      <c r="D529" s="13"/>
      <c r="E529" s="13"/>
      <c r="F529" s="13"/>
    </row>
    <row r="530" ht="15.75" customHeight="1">
      <c r="A530" s="13"/>
      <c r="B530" s="13"/>
      <c r="C530" s="13"/>
      <c r="D530" s="13"/>
      <c r="E530" s="13"/>
      <c r="F530" s="13"/>
    </row>
    <row r="531" ht="15.75" customHeight="1">
      <c r="A531" s="13"/>
      <c r="B531" s="13"/>
      <c r="C531" s="13"/>
      <c r="D531" s="13"/>
      <c r="E531" s="13"/>
      <c r="F531" s="13"/>
    </row>
    <row r="532" ht="15.75" customHeight="1">
      <c r="A532" s="13"/>
      <c r="B532" s="13"/>
      <c r="C532" s="13"/>
      <c r="D532" s="13"/>
      <c r="E532" s="13"/>
      <c r="F532" s="13"/>
    </row>
    <row r="533" ht="15.75" customHeight="1">
      <c r="A533" s="13"/>
      <c r="B533" s="13"/>
      <c r="C533" s="13"/>
      <c r="D533" s="13"/>
      <c r="E533" s="13"/>
      <c r="F533" s="13"/>
    </row>
    <row r="534" ht="15.75" customHeight="1">
      <c r="A534" s="13"/>
      <c r="B534" s="13"/>
      <c r="C534" s="13"/>
      <c r="D534" s="13"/>
      <c r="E534" s="13"/>
      <c r="F534" s="13"/>
    </row>
    <row r="535" ht="15.75" customHeight="1">
      <c r="A535" s="13"/>
      <c r="B535" s="13"/>
      <c r="C535" s="13"/>
      <c r="D535" s="13"/>
      <c r="E535" s="13"/>
      <c r="F535" s="13"/>
    </row>
    <row r="536" ht="15.75" customHeight="1">
      <c r="A536" s="13"/>
      <c r="B536" s="13"/>
      <c r="C536" s="13"/>
      <c r="D536" s="13"/>
      <c r="E536" s="13"/>
      <c r="F536" s="13"/>
    </row>
    <row r="537" ht="15.75" customHeight="1">
      <c r="A537" s="13"/>
      <c r="B537" s="13"/>
      <c r="C537" s="13"/>
      <c r="D537" s="13"/>
      <c r="E537" s="13"/>
      <c r="F537" s="13"/>
    </row>
    <row r="538" ht="15.75" customHeight="1">
      <c r="A538" s="13"/>
      <c r="B538" s="13"/>
      <c r="C538" s="13"/>
      <c r="D538" s="13"/>
      <c r="E538" s="13"/>
      <c r="F538" s="13"/>
    </row>
    <row r="539" ht="15.75" customHeight="1">
      <c r="A539" s="13"/>
      <c r="B539" s="13"/>
      <c r="C539" s="13"/>
      <c r="D539" s="13"/>
      <c r="E539" s="13"/>
      <c r="F539" s="13"/>
    </row>
    <row r="540" ht="15.75" customHeight="1">
      <c r="A540" s="13"/>
      <c r="B540" s="13"/>
      <c r="C540" s="13"/>
      <c r="D540" s="13"/>
      <c r="E540" s="13"/>
      <c r="F540" s="13"/>
    </row>
    <row r="541" ht="15.75" customHeight="1">
      <c r="A541" s="13"/>
      <c r="B541" s="13"/>
      <c r="C541" s="13"/>
      <c r="D541" s="13"/>
      <c r="E541" s="13"/>
      <c r="F541" s="13"/>
    </row>
    <row r="542" ht="15.75" customHeight="1">
      <c r="A542" s="13"/>
      <c r="B542" s="13"/>
      <c r="C542" s="13"/>
      <c r="D542" s="13"/>
      <c r="E542" s="13"/>
      <c r="F542" s="13"/>
    </row>
    <row r="543" ht="15.75" customHeight="1">
      <c r="A543" s="13"/>
      <c r="B543" s="13"/>
      <c r="C543" s="13"/>
      <c r="D543" s="13"/>
      <c r="E543" s="13"/>
      <c r="F543" s="13"/>
    </row>
    <row r="544" ht="15.75" customHeight="1">
      <c r="A544" s="13"/>
      <c r="B544" s="13"/>
      <c r="C544" s="13"/>
      <c r="D544" s="13"/>
      <c r="E544" s="13"/>
      <c r="F544" s="13"/>
    </row>
    <row r="545" ht="15.75" customHeight="1">
      <c r="A545" s="13"/>
      <c r="B545" s="13"/>
      <c r="C545" s="13"/>
      <c r="D545" s="13"/>
      <c r="E545" s="13"/>
      <c r="F545" s="13"/>
    </row>
    <row r="546" ht="15.75" customHeight="1">
      <c r="A546" s="13"/>
      <c r="B546" s="13"/>
      <c r="C546" s="13"/>
      <c r="D546" s="13"/>
      <c r="E546" s="13"/>
      <c r="F546" s="13"/>
    </row>
    <row r="547" ht="15.75" customHeight="1">
      <c r="A547" s="13"/>
      <c r="B547" s="13"/>
      <c r="C547" s="13"/>
      <c r="D547" s="13"/>
      <c r="E547" s="13"/>
      <c r="F547" s="13"/>
    </row>
    <row r="548" ht="15.75" customHeight="1">
      <c r="A548" s="13"/>
      <c r="B548" s="13"/>
      <c r="C548" s="13"/>
      <c r="D548" s="13"/>
      <c r="E548" s="13"/>
      <c r="F548" s="13"/>
    </row>
    <row r="549" ht="15.75" customHeight="1">
      <c r="A549" s="13"/>
      <c r="B549" s="13"/>
      <c r="C549" s="13"/>
      <c r="D549" s="13"/>
      <c r="E549" s="13"/>
      <c r="F549" s="13"/>
    </row>
    <row r="550" ht="15.75" customHeight="1">
      <c r="A550" s="13"/>
      <c r="B550" s="13"/>
      <c r="C550" s="13"/>
      <c r="D550" s="13"/>
      <c r="E550" s="13"/>
      <c r="F550" s="13"/>
    </row>
    <row r="551" ht="15.75" customHeight="1">
      <c r="A551" s="13"/>
      <c r="B551" s="13"/>
      <c r="C551" s="13"/>
      <c r="D551" s="13"/>
      <c r="E551" s="13"/>
      <c r="F551" s="13"/>
    </row>
    <row r="552" ht="15.75" customHeight="1">
      <c r="A552" s="13"/>
      <c r="B552" s="13"/>
      <c r="C552" s="13"/>
      <c r="D552" s="13"/>
      <c r="E552" s="13"/>
      <c r="F552" s="13"/>
    </row>
    <row r="553" ht="15.75" customHeight="1">
      <c r="A553" s="13"/>
      <c r="B553" s="13"/>
      <c r="C553" s="13"/>
      <c r="D553" s="13"/>
      <c r="E553" s="13"/>
      <c r="F553" s="13"/>
    </row>
    <row r="554" ht="15.75" customHeight="1">
      <c r="A554" s="13"/>
      <c r="B554" s="13"/>
      <c r="C554" s="13"/>
      <c r="D554" s="13"/>
      <c r="E554" s="13"/>
      <c r="F554" s="13"/>
    </row>
    <row r="555" ht="15.75" customHeight="1">
      <c r="A555" s="13"/>
      <c r="B555" s="13"/>
      <c r="C555" s="13"/>
      <c r="D555" s="13"/>
      <c r="E555" s="13"/>
      <c r="F555" s="13"/>
    </row>
    <row r="556" ht="15.75" customHeight="1">
      <c r="A556" s="13"/>
      <c r="B556" s="13"/>
      <c r="C556" s="13"/>
      <c r="D556" s="13"/>
      <c r="E556" s="13"/>
      <c r="F556" s="13"/>
    </row>
    <row r="557" ht="15.75" customHeight="1">
      <c r="A557" s="13"/>
      <c r="B557" s="13"/>
      <c r="C557" s="13"/>
      <c r="D557" s="13"/>
      <c r="E557" s="13"/>
      <c r="F557" s="13"/>
    </row>
    <row r="558" ht="15.75" customHeight="1">
      <c r="A558" s="13"/>
      <c r="B558" s="13"/>
      <c r="C558" s="13"/>
      <c r="D558" s="13"/>
      <c r="E558" s="13"/>
      <c r="F558" s="13"/>
    </row>
    <row r="559" ht="15.75" customHeight="1">
      <c r="A559" s="13"/>
      <c r="B559" s="13"/>
      <c r="C559" s="13"/>
      <c r="D559" s="13"/>
      <c r="E559" s="13"/>
      <c r="F559" s="13"/>
    </row>
    <row r="560" ht="15.75" customHeight="1">
      <c r="A560" s="13"/>
      <c r="B560" s="13"/>
      <c r="C560" s="13"/>
      <c r="D560" s="13"/>
      <c r="E560" s="13"/>
      <c r="F560" s="13"/>
    </row>
    <row r="561" ht="15.75" customHeight="1">
      <c r="A561" s="13"/>
      <c r="B561" s="13"/>
      <c r="C561" s="13"/>
      <c r="D561" s="13"/>
      <c r="E561" s="13"/>
      <c r="F561" s="13"/>
    </row>
    <row r="562" ht="15.75" customHeight="1">
      <c r="A562" s="13"/>
      <c r="B562" s="13"/>
      <c r="C562" s="13"/>
      <c r="D562" s="13"/>
      <c r="E562" s="13"/>
      <c r="F562" s="13"/>
    </row>
    <row r="563" ht="15.75" customHeight="1">
      <c r="A563" s="13"/>
      <c r="B563" s="13"/>
      <c r="C563" s="13"/>
      <c r="D563" s="13"/>
      <c r="E563" s="13"/>
      <c r="F563" s="13"/>
    </row>
    <row r="564" ht="15.75" customHeight="1">
      <c r="A564" s="13"/>
      <c r="B564" s="13"/>
      <c r="C564" s="13"/>
      <c r="D564" s="13"/>
      <c r="E564" s="13"/>
      <c r="F564" s="13"/>
    </row>
    <row r="565" ht="15.75" customHeight="1">
      <c r="A565" s="13"/>
      <c r="B565" s="13"/>
      <c r="C565" s="13"/>
      <c r="D565" s="13"/>
      <c r="E565" s="13"/>
      <c r="F565" s="13"/>
    </row>
    <row r="566" ht="15.75" customHeight="1">
      <c r="A566" s="13"/>
      <c r="B566" s="13"/>
      <c r="C566" s="13"/>
      <c r="D566" s="13"/>
      <c r="E566" s="13"/>
      <c r="F566" s="13"/>
    </row>
    <row r="567" ht="15.75" customHeight="1">
      <c r="A567" s="13"/>
      <c r="B567" s="13"/>
      <c r="C567" s="13"/>
      <c r="D567" s="13"/>
      <c r="E567" s="13"/>
      <c r="F567" s="13"/>
    </row>
    <row r="568" ht="15.75" customHeight="1">
      <c r="A568" s="13"/>
      <c r="B568" s="13"/>
      <c r="C568" s="13"/>
      <c r="D568" s="13"/>
      <c r="E568" s="13"/>
      <c r="F568" s="13"/>
    </row>
    <row r="569" ht="15.75" customHeight="1">
      <c r="A569" s="13"/>
      <c r="B569" s="13"/>
      <c r="C569" s="13"/>
      <c r="D569" s="13"/>
      <c r="E569" s="13"/>
      <c r="F569" s="13"/>
    </row>
    <row r="570" ht="15.75" customHeight="1">
      <c r="A570" s="13"/>
      <c r="B570" s="13"/>
      <c r="C570" s="13"/>
      <c r="D570" s="13"/>
      <c r="E570" s="13"/>
      <c r="F570" s="13"/>
    </row>
    <row r="571" ht="15.75" customHeight="1">
      <c r="A571" s="13"/>
      <c r="B571" s="13"/>
      <c r="C571" s="13"/>
      <c r="D571" s="13"/>
      <c r="E571" s="13"/>
      <c r="F571" s="13"/>
    </row>
    <row r="572" ht="15.75" customHeight="1">
      <c r="A572" s="13"/>
      <c r="B572" s="13"/>
      <c r="C572" s="13"/>
      <c r="D572" s="13"/>
      <c r="E572" s="13"/>
      <c r="F572" s="13"/>
    </row>
    <row r="573" ht="15.75" customHeight="1">
      <c r="A573" s="13"/>
      <c r="B573" s="13"/>
      <c r="C573" s="13"/>
      <c r="D573" s="13"/>
      <c r="E573" s="13"/>
      <c r="F573" s="13"/>
    </row>
    <row r="574" ht="15.75" customHeight="1">
      <c r="A574" s="13"/>
      <c r="B574" s="13"/>
      <c r="C574" s="13"/>
      <c r="D574" s="13"/>
      <c r="E574" s="13"/>
      <c r="F574" s="13"/>
    </row>
    <row r="575" ht="15.75" customHeight="1">
      <c r="A575" s="13"/>
      <c r="B575" s="13"/>
      <c r="C575" s="13"/>
      <c r="D575" s="13"/>
      <c r="E575" s="13"/>
      <c r="F575" s="13"/>
    </row>
    <row r="576" ht="15.75" customHeight="1">
      <c r="A576" s="13"/>
      <c r="B576" s="13"/>
      <c r="C576" s="13"/>
      <c r="D576" s="13"/>
      <c r="E576" s="13"/>
      <c r="F576" s="13"/>
    </row>
    <row r="577" ht="15.75" customHeight="1">
      <c r="A577" s="13"/>
      <c r="B577" s="13"/>
      <c r="C577" s="13"/>
      <c r="D577" s="13"/>
      <c r="E577" s="13"/>
      <c r="F577" s="13"/>
    </row>
    <row r="578" ht="15.75" customHeight="1">
      <c r="A578" s="13"/>
      <c r="B578" s="13"/>
      <c r="C578" s="13"/>
      <c r="D578" s="13"/>
      <c r="E578" s="13"/>
      <c r="F578" s="13"/>
    </row>
    <row r="579" ht="15.75" customHeight="1">
      <c r="A579" s="13"/>
      <c r="B579" s="13"/>
      <c r="C579" s="13"/>
      <c r="D579" s="13"/>
      <c r="E579" s="13"/>
      <c r="F579" s="13"/>
    </row>
    <row r="580" ht="15.75" customHeight="1">
      <c r="A580" s="13"/>
      <c r="B580" s="13"/>
      <c r="C580" s="13"/>
      <c r="D580" s="13"/>
      <c r="E580" s="13"/>
      <c r="F580" s="13"/>
    </row>
    <row r="581" ht="15.75" customHeight="1">
      <c r="A581" s="13"/>
      <c r="B581" s="13"/>
      <c r="C581" s="13"/>
      <c r="D581" s="13"/>
      <c r="E581" s="13"/>
      <c r="F581" s="13"/>
    </row>
    <row r="582" ht="15.75" customHeight="1">
      <c r="A582" s="13"/>
      <c r="B582" s="13"/>
      <c r="C582" s="13"/>
      <c r="D582" s="13"/>
      <c r="E582" s="13"/>
      <c r="F582" s="13"/>
    </row>
    <row r="583" ht="15.75" customHeight="1">
      <c r="A583" s="13"/>
      <c r="B583" s="13"/>
      <c r="C583" s="13"/>
      <c r="D583" s="13"/>
      <c r="E583" s="13"/>
      <c r="F583" s="13"/>
    </row>
    <row r="584" ht="15.75" customHeight="1">
      <c r="A584" s="13"/>
      <c r="B584" s="13"/>
      <c r="C584" s="13"/>
      <c r="D584" s="13"/>
      <c r="E584" s="13"/>
      <c r="F584" s="13"/>
    </row>
    <row r="585" ht="15.75" customHeight="1">
      <c r="A585" s="13"/>
      <c r="B585" s="13"/>
      <c r="C585" s="13"/>
      <c r="D585" s="13"/>
      <c r="E585" s="13"/>
      <c r="F585" s="13"/>
    </row>
    <row r="586" ht="15.75" customHeight="1">
      <c r="A586" s="13"/>
      <c r="B586" s="13"/>
      <c r="C586" s="13"/>
      <c r="D586" s="13"/>
      <c r="E586" s="13"/>
      <c r="F586" s="13"/>
    </row>
    <row r="587" ht="15.75" customHeight="1">
      <c r="A587" s="13"/>
      <c r="B587" s="13"/>
      <c r="C587" s="13"/>
      <c r="D587" s="13"/>
      <c r="E587" s="13"/>
      <c r="F587" s="13"/>
    </row>
    <row r="588" ht="15.75" customHeight="1">
      <c r="A588" s="13"/>
      <c r="B588" s="13"/>
      <c r="C588" s="13"/>
      <c r="D588" s="13"/>
      <c r="E588" s="13"/>
      <c r="F588" s="13"/>
    </row>
    <row r="589" ht="15.75" customHeight="1">
      <c r="A589" s="13"/>
      <c r="B589" s="13"/>
      <c r="C589" s="13"/>
      <c r="D589" s="13"/>
      <c r="E589" s="13"/>
      <c r="F589" s="13"/>
    </row>
    <row r="590" ht="15.75" customHeight="1">
      <c r="A590" s="13"/>
      <c r="B590" s="13"/>
      <c r="C590" s="13"/>
      <c r="D590" s="13"/>
      <c r="E590" s="13"/>
      <c r="F590" s="13"/>
    </row>
    <row r="591" ht="15.75" customHeight="1">
      <c r="A591" s="13"/>
      <c r="B591" s="13"/>
      <c r="C591" s="13"/>
      <c r="D591" s="13"/>
      <c r="E591" s="13"/>
      <c r="F591" s="13"/>
    </row>
    <row r="592" ht="15.75" customHeight="1">
      <c r="A592" s="13"/>
      <c r="B592" s="13"/>
      <c r="C592" s="13"/>
      <c r="D592" s="13"/>
      <c r="E592" s="13"/>
      <c r="F592" s="13"/>
    </row>
    <row r="593" ht="15.75" customHeight="1">
      <c r="A593" s="13"/>
      <c r="B593" s="13"/>
      <c r="C593" s="13"/>
      <c r="D593" s="13"/>
      <c r="E593" s="13"/>
      <c r="F593" s="13"/>
    </row>
    <row r="594" ht="15.75" customHeight="1">
      <c r="A594" s="13"/>
      <c r="B594" s="13"/>
      <c r="C594" s="13"/>
      <c r="D594" s="13"/>
      <c r="E594" s="13"/>
      <c r="F594" s="13"/>
    </row>
    <row r="595" ht="15.75" customHeight="1">
      <c r="A595" s="13"/>
      <c r="B595" s="13"/>
      <c r="C595" s="13"/>
      <c r="D595" s="13"/>
      <c r="E595" s="13"/>
      <c r="F595" s="13"/>
    </row>
    <row r="596" ht="15.75" customHeight="1">
      <c r="A596" s="13"/>
      <c r="B596" s="13"/>
      <c r="C596" s="13"/>
      <c r="D596" s="13"/>
      <c r="E596" s="13"/>
      <c r="F596" s="13"/>
    </row>
    <row r="597" ht="15.75" customHeight="1">
      <c r="A597" s="13"/>
      <c r="B597" s="13"/>
      <c r="C597" s="13"/>
      <c r="D597" s="13"/>
      <c r="E597" s="13"/>
      <c r="F597" s="13"/>
    </row>
    <row r="598" ht="15.75" customHeight="1">
      <c r="A598" s="13"/>
      <c r="B598" s="13"/>
      <c r="C598" s="13"/>
      <c r="D598" s="13"/>
      <c r="E598" s="13"/>
      <c r="F598" s="13"/>
    </row>
    <row r="599" ht="15.75" customHeight="1">
      <c r="A599" s="13"/>
      <c r="B599" s="13"/>
      <c r="C599" s="13"/>
      <c r="D599" s="13"/>
      <c r="E599" s="13"/>
      <c r="F599" s="13"/>
    </row>
    <row r="600" ht="15.75" customHeight="1">
      <c r="A600" s="13"/>
      <c r="B600" s="13"/>
      <c r="C600" s="13"/>
      <c r="D600" s="13"/>
      <c r="E600" s="13"/>
      <c r="F600" s="13"/>
    </row>
    <row r="601" ht="15.75" customHeight="1">
      <c r="A601" s="13"/>
      <c r="B601" s="13"/>
      <c r="C601" s="13"/>
      <c r="D601" s="13"/>
      <c r="E601" s="13"/>
      <c r="F601" s="13"/>
    </row>
    <row r="602" ht="15.75" customHeight="1">
      <c r="A602" s="13"/>
      <c r="B602" s="13"/>
      <c r="C602" s="13"/>
      <c r="D602" s="13"/>
      <c r="E602" s="13"/>
      <c r="F602" s="13"/>
    </row>
    <row r="603" ht="15.75" customHeight="1">
      <c r="A603" s="13"/>
      <c r="B603" s="13"/>
      <c r="C603" s="13"/>
      <c r="D603" s="13"/>
      <c r="E603" s="13"/>
      <c r="F603" s="13"/>
    </row>
    <row r="604" ht="15.75" customHeight="1">
      <c r="A604" s="13"/>
      <c r="B604" s="13"/>
      <c r="C604" s="13"/>
      <c r="D604" s="13"/>
      <c r="E604" s="13"/>
      <c r="F604" s="13"/>
    </row>
    <row r="605" ht="15.75" customHeight="1">
      <c r="A605" s="13"/>
      <c r="B605" s="13"/>
      <c r="C605" s="13"/>
      <c r="D605" s="13"/>
      <c r="E605" s="13"/>
      <c r="F605" s="13"/>
    </row>
    <row r="606" ht="15.75" customHeight="1">
      <c r="A606" s="13"/>
      <c r="B606" s="13"/>
      <c r="C606" s="13"/>
      <c r="D606" s="13"/>
      <c r="E606" s="13"/>
      <c r="F606" s="13"/>
    </row>
    <row r="607" ht="15.75" customHeight="1">
      <c r="A607" s="13"/>
      <c r="B607" s="13"/>
      <c r="C607" s="13"/>
      <c r="D607" s="13"/>
      <c r="E607" s="13"/>
      <c r="F607" s="13"/>
    </row>
    <row r="608" ht="15.75" customHeight="1">
      <c r="A608" s="13"/>
      <c r="B608" s="13"/>
      <c r="C608" s="13"/>
      <c r="D608" s="13"/>
      <c r="E608" s="13"/>
      <c r="F608" s="13"/>
    </row>
    <row r="609" ht="15.75" customHeight="1">
      <c r="A609" s="13"/>
      <c r="B609" s="13"/>
      <c r="C609" s="13"/>
      <c r="D609" s="13"/>
      <c r="E609" s="13"/>
      <c r="F609" s="13"/>
    </row>
    <row r="610" ht="15.75" customHeight="1">
      <c r="A610" s="13"/>
      <c r="B610" s="13"/>
      <c r="C610" s="13"/>
      <c r="D610" s="13"/>
      <c r="E610" s="13"/>
      <c r="F610" s="13"/>
    </row>
    <row r="611" ht="15.75" customHeight="1">
      <c r="A611" s="13"/>
      <c r="B611" s="13"/>
      <c r="C611" s="13"/>
      <c r="D611" s="13"/>
      <c r="E611" s="13"/>
      <c r="F611" s="13"/>
    </row>
    <row r="612" ht="15.75" customHeight="1">
      <c r="A612" s="13"/>
      <c r="B612" s="13"/>
      <c r="C612" s="13"/>
      <c r="D612" s="13"/>
      <c r="E612" s="13"/>
      <c r="F612" s="13"/>
    </row>
    <row r="613" ht="15.75" customHeight="1">
      <c r="A613" s="13"/>
      <c r="B613" s="13"/>
      <c r="C613" s="13"/>
      <c r="D613" s="13"/>
      <c r="E613" s="13"/>
      <c r="F613" s="13"/>
    </row>
    <row r="614" ht="15.75" customHeight="1">
      <c r="A614" s="13"/>
      <c r="B614" s="13"/>
      <c r="C614" s="13"/>
      <c r="D614" s="13"/>
      <c r="E614" s="13"/>
      <c r="F614" s="13"/>
    </row>
    <row r="615" ht="15.75" customHeight="1">
      <c r="A615" s="13"/>
      <c r="B615" s="13"/>
      <c r="C615" s="13"/>
      <c r="D615" s="13"/>
      <c r="E615" s="13"/>
      <c r="F615" s="13"/>
    </row>
    <row r="616" ht="15.75" customHeight="1">
      <c r="A616" s="13"/>
      <c r="B616" s="13"/>
      <c r="C616" s="13"/>
      <c r="D616" s="13"/>
      <c r="E616" s="13"/>
      <c r="F616" s="13"/>
    </row>
    <row r="617" ht="15.75" customHeight="1">
      <c r="A617" s="13"/>
      <c r="B617" s="13"/>
      <c r="C617" s="13"/>
      <c r="D617" s="13"/>
      <c r="E617" s="13"/>
      <c r="F617" s="13"/>
    </row>
    <row r="618" ht="15.75" customHeight="1">
      <c r="A618" s="13"/>
      <c r="B618" s="13"/>
      <c r="C618" s="13"/>
      <c r="D618" s="13"/>
      <c r="E618" s="13"/>
      <c r="F618" s="13"/>
    </row>
    <row r="619" ht="15.75" customHeight="1">
      <c r="A619" s="13"/>
      <c r="B619" s="13"/>
      <c r="C619" s="13"/>
      <c r="D619" s="13"/>
      <c r="E619" s="13"/>
      <c r="F619" s="13"/>
    </row>
    <row r="620" ht="15.75" customHeight="1">
      <c r="A620" s="13"/>
      <c r="B620" s="13"/>
      <c r="C620" s="13"/>
      <c r="D620" s="13"/>
      <c r="E620" s="13"/>
      <c r="F620" s="13"/>
    </row>
    <row r="621" ht="15.75" customHeight="1">
      <c r="A621" s="13"/>
      <c r="B621" s="13"/>
      <c r="C621" s="13"/>
      <c r="D621" s="13"/>
      <c r="E621" s="13"/>
      <c r="F621" s="13"/>
    </row>
    <row r="622" ht="15.75" customHeight="1">
      <c r="A622" s="13"/>
      <c r="B622" s="13"/>
      <c r="C622" s="13"/>
      <c r="D622" s="13"/>
      <c r="E622" s="13"/>
      <c r="F622" s="13"/>
    </row>
    <row r="623" ht="15.75" customHeight="1">
      <c r="A623" s="13"/>
      <c r="B623" s="13"/>
      <c r="C623" s="13"/>
      <c r="D623" s="13"/>
      <c r="E623" s="13"/>
      <c r="F623" s="13"/>
    </row>
    <row r="624" ht="15.75" customHeight="1">
      <c r="A624" s="13"/>
      <c r="B624" s="13"/>
      <c r="C624" s="13"/>
      <c r="D624" s="13"/>
      <c r="E624" s="13"/>
      <c r="F624" s="13"/>
    </row>
    <row r="625" ht="15.75" customHeight="1">
      <c r="A625" s="13"/>
      <c r="B625" s="13"/>
      <c r="C625" s="13"/>
      <c r="D625" s="13"/>
      <c r="E625" s="13"/>
      <c r="F625" s="13"/>
    </row>
    <row r="626" ht="15.75" customHeight="1">
      <c r="A626" s="13"/>
      <c r="B626" s="13"/>
      <c r="C626" s="13"/>
      <c r="D626" s="13"/>
      <c r="E626" s="13"/>
      <c r="F626" s="13"/>
    </row>
    <row r="627" ht="15.75" customHeight="1">
      <c r="A627" s="13"/>
      <c r="B627" s="13"/>
      <c r="C627" s="13"/>
      <c r="D627" s="13"/>
      <c r="E627" s="13"/>
      <c r="F627" s="13"/>
    </row>
    <row r="628" ht="15.75" customHeight="1">
      <c r="A628" s="13"/>
      <c r="B628" s="13"/>
      <c r="C628" s="13"/>
      <c r="D628" s="13"/>
      <c r="E628" s="13"/>
      <c r="F628" s="13"/>
    </row>
    <row r="629" ht="15.75" customHeight="1">
      <c r="A629" s="13"/>
      <c r="B629" s="13"/>
      <c r="C629" s="13"/>
      <c r="D629" s="13"/>
      <c r="E629" s="13"/>
      <c r="F629" s="13"/>
    </row>
    <row r="630" ht="15.75" customHeight="1">
      <c r="A630" s="13"/>
      <c r="B630" s="13"/>
      <c r="C630" s="13"/>
      <c r="D630" s="13"/>
      <c r="E630" s="13"/>
      <c r="F630" s="13"/>
    </row>
    <row r="631" ht="15.75" customHeight="1">
      <c r="A631" s="13"/>
      <c r="B631" s="13"/>
      <c r="C631" s="13"/>
      <c r="D631" s="13"/>
      <c r="E631" s="13"/>
      <c r="F631" s="13"/>
    </row>
    <row r="632" ht="15.75" customHeight="1">
      <c r="A632" s="13"/>
      <c r="B632" s="13"/>
      <c r="C632" s="13"/>
      <c r="D632" s="13"/>
      <c r="E632" s="13"/>
      <c r="F632" s="13"/>
    </row>
    <row r="633" ht="15.75" customHeight="1">
      <c r="A633" s="13"/>
      <c r="B633" s="13"/>
      <c r="C633" s="13"/>
      <c r="D633" s="13"/>
      <c r="E633" s="13"/>
      <c r="F633" s="13"/>
    </row>
    <row r="634" ht="15.75" customHeight="1">
      <c r="A634" s="13"/>
      <c r="B634" s="13"/>
      <c r="C634" s="13"/>
      <c r="D634" s="13"/>
      <c r="E634" s="13"/>
      <c r="F634" s="13"/>
    </row>
    <row r="635" ht="15.75" customHeight="1">
      <c r="A635" s="13"/>
      <c r="B635" s="13"/>
      <c r="C635" s="13"/>
      <c r="D635" s="13"/>
      <c r="E635" s="13"/>
      <c r="F635" s="13"/>
    </row>
    <row r="636" ht="15.75" customHeight="1">
      <c r="A636" s="13"/>
      <c r="B636" s="13"/>
      <c r="C636" s="13"/>
      <c r="D636" s="13"/>
      <c r="E636" s="13"/>
      <c r="F636" s="13"/>
    </row>
    <row r="637" ht="15.75" customHeight="1">
      <c r="A637" s="13"/>
      <c r="B637" s="13"/>
      <c r="C637" s="13"/>
      <c r="D637" s="13"/>
      <c r="E637" s="13"/>
      <c r="F637" s="13"/>
    </row>
    <row r="638" ht="15.75" customHeight="1">
      <c r="A638" s="13"/>
      <c r="B638" s="13"/>
      <c r="C638" s="13"/>
      <c r="D638" s="13"/>
      <c r="E638" s="13"/>
      <c r="F638" s="13"/>
    </row>
    <row r="639" ht="15.75" customHeight="1">
      <c r="A639" s="13"/>
      <c r="B639" s="13"/>
      <c r="C639" s="13"/>
      <c r="D639" s="13"/>
      <c r="E639" s="13"/>
      <c r="F639" s="13"/>
    </row>
    <row r="640" ht="15.75" customHeight="1">
      <c r="A640" s="13"/>
      <c r="B640" s="13"/>
      <c r="C640" s="13"/>
      <c r="D640" s="13"/>
      <c r="E640" s="13"/>
      <c r="F640" s="13"/>
    </row>
    <row r="641" ht="15.75" customHeight="1">
      <c r="A641" s="13"/>
      <c r="B641" s="13"/>
      <c r="C641" s="13"/>
      <c r="D641" s="13"/>
      <c r="E641" s="13"/>
      <c r="F641" s="13"/>
    </row>
    <row r="642" ht="15.75" customHeight="1">
      <c r="A642" s="13"/>
      <c r="B642" s="13"/>
      <c r="C642" s="13"/>
      <c r="D642" s="13"/>
      <c r="E642" s="13"/>
      <c r="F642" s="13"/>
    </row>
    <row r="643" ht="15.75" customHeight="1">
      <c r="A643" s="13"/>
      <c r="B643" s="13"/>
      <c r="C643" s="13"/>
      <c r="D643" s="13"/>
      <c r="E643" s="13"/>
      <c r="F643" s="13"/>
    </row>
    <row r="644" ht="15.75" customHeight="1">
      <c r="A644" s="13"/>
      <c r="B644" s="13"/>
      <c r="C644" s="13"/>
      <c r="D644" s="13"/>
      <c r="E644" s="13"/>
      <c r="F644" s="13"/>
    </row>
    <row r="645" ht="15.75" customHeight="1">
      <c r="A645" s="13"/>
      <c r="B645" s="13"/>
      <c r="C645" s="13"/>
      <c r="D645" s="13"/>
      <c r="E645" s="13"/>
      <c r="F645" s="13"/>
    </row>
    <row r="646" ht="15.75" customHeight="1">
      <c r="A646" s="13"/>
      <c r="B646" s="13"/>
      <c r="C646" s="13"/>
      <c r="D646" s="13"/>
      <c r="E646" s="13"/>
      <c r="F646" s="13"/>
    </row>
    <row r="647" ht="15.75" customHeight="1">
      <c r="A647" s="13"/>
      <c r="B647" s="13"/>
      <c r="C647" s="13"/>
      <c r="D647" s="13"/>
      <c r="E647" s="13"/>
      <c r="F647" s="13"/>
    </row>
    <row r="648" ht="15.75" customHeight="1">
      <c r="A648" s="13"/>
      <c r="B648" s="13"/>
      <c r="C648" s="13"/>
      <c r="D648" s="13"/>
      <c r="E648" s="13"/>
      <c r="F648" s="13"/>
    </row>
    <row r="649" ht="15.75" customHeight="1">
      <c r="A649" s="13"/>
      <c r="B649" s="13"/>
      <c r="C649" s="13"/>
      <c r="D649" s="13"/>
      <c r="E649" s="13"/>
      <c r="F649" s="13"/>
    </row>
    <row r="650" ht="15.75" customHeight="1">
      <c r="A650" s="13"/>
      <c r="B650" s="13"/>
      <c r="C650" s="13"/>
      <c r="D650" s="13"/>
      <c r="E650" s="13"/>
      <c r="F650" s="13"/>
    </row>
    <row r="651" ht="15.75" customHeight="1">
      <c r="A651" s="13"/>
      <c r="B651" s="13"/>
      <c r="C651" s="13"/>
      <c r="D651" s="13"/>
      <c r="E651" s="13"/>
      <c r="F651" s="13"/>
    </row>
    <row r="652" ht="15.75" customHeight="1">
      <c r="A652" s="13"/>
      <c r="B652" s="13"/>
      <c r="C652" s="13"/>
      <c r="D652" s="13"/>
      <c r="E652" s="13"/>
      <c r="F652" s="13"/>
    </row>
    <row r="653" ht="15.75" customHeight="1">
      <c r="A653" s="13"/>
      <c r="B653" s="13"/>
      <c r="C653" s="13"/>
      <c r="D653" s="13"/>
      <c r="E653" s="13"/>
      <c r="F653" s="13"/>
    </row>
    <row r="654" ht="15.75" customHeight="1">
      <c r="A654" s="13"/>
      <c r="B654" s="13"/>
      <c r="C654" s="13"/>
      <c r="D654" s="13"/>
      <c r="E654" s="13"/>
      <c r="F654" s="13"/>
    </row>
    <row r="655" ht="15.75" customHeight="1">
      <c r="A655" s="13"/>
      <c r="B655" s="13"/>
      <c r="C655" s="13"/>
      <c r="D655" s="13"/>
      <c r="E655" s="13"/>
      <c r="F655" s="13"/>
    </row>
    <row r="656" ht="15.75" customHeight="1">
      <c r="A656" s="13"/>
      <c r="B656" s="13"/>
      <c r="C656" s="13"/>
      <c r="D656" s="13"/>
      <c r="E656" s="13"/>
      <c r="F656" s="13"/>
    </row>
    <row r="657" ht="15.75" customHeight="1">
      <c r="A657" s="13"/>
      <c r="B657" s="13"/>
      <c r="C657" s="13"/>
      <c r="D657" s="13"/>
      <c r="E657" s="13"/>
      <c r="F657" s="13"/>
    </row>
    <row r="658" ht="15.75" customHeight="1">
      <c r="A658" s="13"/>
      <c r="B658" s="13"/>
      <c r="C658" s="13"/>
      <c r="D658" s="13"/>
      <c r="E658" s="13"/>
      <c r="F658" s="13"/>
    </row>
    <row r="659" ht="15.75" customHeight="1">
      <c r="A659" s="13"/>
      <c r="B659" s="13"/>
      <c r="C659" s="13"/>
      <c r="D659" s="13"/>
      <c r="E659" s="13"/>
      <c r="F659" s="13"/>
    </row>
    <row r="660" ht="15.75" customHeight="1">
      <c r="A660" s="13"/>
      <c r="B660" s="13"/>
      <c r="C660" s="13"/>
      <c r="D660" s="13"/>
      <c r="E660" s="13"/>
      <c r="F660" s="13"/>
    </row>
    <row r="661" ht="15.75" customHeight="1">
      <c r="A661" s="13"/>
      <c r="B661" s="13"/>
      <c r="C661" s="13"/>
      <c r="D661" s="13"/>
      <c r="E661" s="13"/>
      <c r="F661" s="13"/>
    </row>
    <row r="662" ht="15.75" customHeight="1">
      <c r="A662" s="13"/>
      <c r="B662" s="13"/>
      <c r="C662" s="13"/>
      <c r="D662" s="13"/>
      <c r="E662" s="13"/>
      <c r="F662" s="13"/>
    </row>
    <row r="663" ht="15.75" customHeight="1">
      <c r="A663" s="13"/>
      <c r="B663" s="13"/>
      <c r="C663" s="13"/>
      <c r="D663" s="13"/>
      <c r="E663" s="13"/>
      <c r="F663" s="13"/>
    </row>
    <row r="664" ht="15.75" customHeight="1">
      <c r="A664" s="13"/>
      <c r="B664" s="13"/>
      <c r="C664" s="13"/>
      <c r="D664" s="13"/>
      <c r="E664" s="13"/>
      <c r="F664" s="13"/>
    </row>
    <row r="665" ht="15.75" customHeight="1">
      <c r="A665" s="13"/>
      <c r="B665" s="13"/>
      <c r="C665" s="13"/>
      <c r="D665" s="13"/>
      <c r="E665" s="13"/>
      <c r="F665" s="13"/>
    </row>
    <row r="666" ht="15.75" customHeight="1">
      <c r="A666" s="13"/>
      <c r="B666" s="13"/>
      <c r="C666" s="13"/>
      <c r="D666" s="13"/>
      <c r="E666" s="13"/>
      <c r="F666" s="13"/>
    </row>
    <row r="667" ht="15.75" customHeight="1">
      <c r="A667" s="13"/>
      <c r="B667" s="13"/>
      <c r="C667" s="13"/>
      <c r="D667" s="13"/>
      <c r="E667" s="13"/>
      <c r="F667" s="13"/>
    </row>
    <row r="668" ht="15.75" customHeight="1">
      <c r="A668" s="13"/>
      <c r="B668" s="13"/>
      <c r="C668" s="13"/>
      <c r="D668" s="13"/>
      <c r="E668" s="13"/>
      <c r="F668" s="13"/>
    </row>
    <row r="669" ht="15.75" customHeight="1">
      <c r="A669" s="13"/>
      <c r="B669" s="13"/>
      <c r="C669" s="13"/>
      <c r="D669" s="13"/>
      <c r="E669" s="13"/>
      <c r="F669" s="13"/>
    </row>
    <row r="670" ht="15.75" customHeight="1">
      <c r="A670" s="13"/>
      <c r="B670" s="13"/>
      <c r="C670" s="13"/>
      <c r="D670" s="13"/>
      <c r="E670" s="13"/>
      <c r="F670" s="13"/>
    </row>
    <row r="671" ht="15.75" customHeight="1">
      <c r="A671" s="13"/>
      <c r="B671" s="13"/>
      <c r="C671" s="13"/>
      <c r="D671" s="13"/>
      <c r="E671" s="13"/>
      <c r="F671" s="13"/>
    </row>
    <row r="672" ht="15.75" customHeight="1">
      <c r="A672" s="13"/>
      <c r="B672" s="13"/>
      <c r="C672" s="13"/>
      <c r="D672" s="13"/>
      <c r="E672" s="13"/>
      <c r="F672" s="13"/>
    </row>
    <row r="673" ht="15.75" customHeight="1">
      <c r="A673" s="13"/>
      <c r="B673" s="13"/>
      <c r="C673" s="13"/>
      <c r="D673" s="13"/>
      <c r="E673" s="13"/>
      <c r="F673" s="13"/>
    </row>
    <row r="674" ht="15.75" customHeight="1">
      <c r="A674" s="13"/>
      <c r="B674" s="13"/>
      <c r="C674" s="13"/>
      <c r="D674" s="13"/>
      <c r="E674" s="13"/>
      <c r="F674" s="13"/>
    </row>
    <row r="675" ht="15.75" customHeight="1">
      <c r="A675" s="13"/>
      <c r="B675" s="13"/>
      <c r="C675" s="13"/>
      <c r="D675" s="13"/>
      <c r="E675" s="13"/>
      <c r="F675" s="13"/>
    </row>
    <row r="676" ht="15.75" customHeight="1">
      <c r="A676" s="13"/>
      <c r="B676" s="13"/>
      <c r="C676" s="13"/>
      <c r="D676" s="13"/>
      <c r="E676" s="13"/>
      <c r="F676" s="13"/>
    </row>
    <row r="677" ht="15.75" customHeight="1">
      <c r="A677" s="13"/>
      <c r="B677" s="13"/>
      <c r="C677" s="13"/>
      <c r="D677" s="13"/>
      <c r="E677" s="13"/>
      <c r="F677" s="13"/>
    </row>
    <row r="678" ht="15.75" customHeight="1">
      <c r="A678" s="13"/>
      <c r="B678" s="13"/>
      <c r="C678" s="13"/>
      <c r="D678" s="13"/>
      <c r="E678" s="13"/>
      <c r="F678" s="13"/>
    </row>
    <row r="679" ht="15.75" customHeight="1">
      <c r="A679" s="13"/>
      <c r="B679" s="13"/>
      <c r="C679" s="13"/>
      <c r="D679" s="13"/>
      <c r="E679" s="13"/>
      <c r="F679" s="13"/>
    </row>
    <row r="680" ht="15.75" customHeight="1">
      <c r="A680" s="13"/>
      <c r="B680" s="13"/>
      <c r="C680" s="13"/>
      <c r="D680" s="13"/>
      <c r="E680" s="13"/>
      <c r="F680" s="13"/>
    </row>
    <row r="681" ht="15.75" customHeight="1">
      <c r="A681" s="13"/>
      <c r="B681" s="13"/>
      <c r="C681" s="13"/>
      <c r="D681" s="13"/>
      <c r="E681" s="13"/>
      <c r="F681" s="13"/>
    </row>
    <row r="682" ht="15.75" customHeight="1">
      <c r="A682" s="13"/>
      <c r="B682" s="13"/>
      <c r="C682" s="13"/>
      <c r="D682" s="13"/>
      <c r="E682" s="13"/>
      <c r="F682" s="13"/>
    </row>
    <row r="683" ht="15.75" customHeight="1">
      <c r="A683" s="13"/>
      <c r="B683" s="13"/>
      <c r="C683" s="13"/>
      <c r="D683" s="13"/>
      <c r="E683" s="13"/>
      <c r="F683" s="13"/>
    </row>
    <row r="684" ht="15.75" customHeight="1">
      <c r="A684" s="13"/>
      <c r="B684" s="13"/>
      <c r="C684" s="13"/>
      <c r="D684" s="13"/>
      <c r="E684" s="13"/>
      <c r="F684" s="13"/>
    </row>
    <row r="685" ht="15.75" customHeight="1">
      <c r="A685" s="13"/>
      <c r="B685" s="13"/>
      <c r="C685" s="13"/>
      <c r="D685" s="13"/>
      <c r="E685" s="13"/>
      <c r="F685" s="13"/>
    </row>
    <row r="686" ht="15.75" customHeight="1">
      <c r="A686" s="13"/>
      <c r="B686" s="13"/>
      <c r="C686" s="13"/>
      <c r="D686" s="13"/>
      <c r="E686" s="13"/>
      <c r="F686" s="13"/>
    </row>
    <row r="687" ht="15.75" customHeight="1">
      <c r="A687" s="13"/>
      <c r="B687" s="13"/>
      <c r="C687" s="13"/>
      <c r="D687" s="13"/>
      <c r="E687" s="13"/>
      <c r="F687" s="13"/>
    </row>
    <row r="688" ht="15.75" customHeight="1">
      <c r="A688" s="13"/>
      <c r="B688" s="13"/>
      <c r="C688" s="13"/>
      <c r="D688" s="13"/>
      <c r="E688" s="13"/>
      <c r="F688" s="13"/>
    </row>
    <row r="689" ht="15.75" customHeight="1">
      <c r="A689" s="13"/>
      <c r="B689" s="13"/>
      <c r="C689" s="13"/>
      <c r="D689" s="13"/>
      <c r="E689" s="13"/>
      <c r="F689" s="13"/>
    </row>
    <row r="690" ht="15.75" customHeight="1">
      <c r="A690" s="13"/>
      <c r="B690" s="13"/>
      <c r="C690" s="13"/>
      <c r="D690" s="13"/>
      <c r="E690" s="13"/>
      <c r="F690" s="13"/>
    </row>
    <row r="691" ht="15.75" customHeight="1">
      <c r="A691" s="13"/>
      <c r="B691" s="13"/>
      <c r="C691" s="13"/>
      <c r="D691" s="13"/>
      <c r="E691" s="13"/>
      <c r="F691" s="13"/>
    </row>
    <row r="692" ht="15.75" customHeight="1">
      <c r="A692" s="13"/>
      <c r="B692" s="13"/>
      <c r="C692" s="13"/>
      <c r="D692" s="13"/>
      <c r="E692" s="13"/>
      <c r="F692" s="13"/>
    </row>
    <row r="693" ht="15.75" customHeight="1">
      <c r="A693" s="13"/>
      <c r="B693" s="13"/>
      <c r="C693" s="13"/>
      <c r="D693" s="13"/>
      <c r="E693" s="13"/>
      <c r="F693" s="13"/>
    </row>
    <row r="694" ht="15.75" customHeight="1">
      <c r="A694" s="13"/>
      <c r="B694" s="13"/>
      <c r="C694" s="13"/>
      <c r="D694" s="13"/>
      <c r="E694" s="13"/>
      <c r="F694" s="13"/>
    </row>
    <row r="695" ht="15.75" customHeight="1">
      <c r="A695" s="13"/>
      <c r="B695" s="13"/>
      <c r="C695" s="13"/>
      <c r="D695" s="13"/>
      <c r="E695" s="13"/>
      <c r="F695" s="13"/>
    </row>
    <row r="696" ht="15.75" customHeight="1">
      <c r="A696" s="13"/>
      <c r="B696" s="13"/>
      <c r="C696" s="13"/>
      <c r="D696" s="13"/>
      <c r="E696" s="13"/>
      <c r="F696" s="13"/>
    </row>
    <row r="697" ht="15.75" customHeight="1">
      <c r="A697" s="13"/>
      <c r="B697" s="13"/>
      <c r="C697" s="13"/>
      <c r="D697" s="13"/>
      <c r="E697" s="13"/>
      <c r="F697" s="13"/>
    </row>
    <row r="698" ht="15.75" customHeight="1">
      <c r="A698" s="13"/>
      <c r="B698" s="13"/>
      <c r="C698" s="13"/>
      <c r="D698" s="13"/>
      <c r="E698" s="13"/>
      <c r="F698" s="13"/>
    </row>
    <row r="699" ht="15.75" customHeight="1">
      <c r="A699" s="13"/>
      <c r="B699" s="13"/>
      <c r="C699" s="13"/>
      <c r="D699" s="13"/>
      <c r="E699" s="13"/>
      <c r="F699" s="13"/>
    </row>
    <row r="700" ht="15.75" customHeight="1">
      <c r="A700" s="13"/>
      <c r="B700" s="13"/>
      <c r="C700" s="13"/>
      <c r="D700" s="13"/>
      <c r="E700" s="13"/>
      <c r="F700" s="13"/>
    </row>
    <row r="701" ht="15.75" customHeight="1">
      <c r="A701" s="13"/>
      <c r="B701" s="13"/>
      <c r="C701" s="13"/>
      <c r="D701" s="13"/>
      <c r="E701" s="13"/>
      <c r="F701" s="13"/>
    </row>
    <row r="702" ht="15.75" customHeight="1">
      <c r="A702" s="13"/>
      <c r="B702" s="13"/>
      <c r="C702" s="13"/>
      <c r="D702" s="13"/>
      <c r="E702" s="13"/>
      <c r="F702" s="13"/>
    </row>
    <row r="703" ht="15.75" customHeight="1">
      <c r="A703" s="13"/>
      <c r="B703" s="13"/>
      <c r="C703" s="13"/>
      <c r="D703" s="13"/>
      <c r="E703" s="13"/>
      <c r="F703" s="13"/>
    </row>
    <row r="704" ht="15.75" customHeight="1">
      <c r="A704" s="13"/>
      <c r="B704" s="13"/>
      <c r="C704" s="13"/>
      <c r="D704" s="13"/>
      <c r="E704" s="13"/>
      <c r="F704" s="13"/>
    </row>
    <row r="705" ht="15.75" customHeight="1">
      <c r="A705" s="13"/>
      <c r="B705" s="13"/>
      <c r="C705" s="13"/>
      <c r="D705" s="13"/>
      <c r="E705" s="13"/>
      <c r="F705" s="13"/>
    </row>
    <row r="706" ht="15.75" customHeight="1">
      <c r="A706" s="13"/>
      <c r="B706" s="13"/>
      <c r="C706" s="13"/>
      <c r="D706" s="13"/>
      <c r="E706" s="13"/>
      <c r="F706" s="13"/>
    </row>
    <row r="707" ht="15.75" customHeight="1">
      <c r="A707" s="13"/>
      <c r="B707" s="13"/>
      <c r="C707" s="13"/>
      <c r="D707" s="13"/>
      <c r="E707" s="13"/>
      <c r="F707" s="13"/>
    </row>
    <row r="708" ht="15.75" customHeight="1">
      <c r="A708" s="13"/>
      <c r="B708" s="13"/>
      <c r="C708" s="13"/>
      <c r="D708" s="13"/>
      <c r="E708" s="13"/>
      <c r="F708" s="13"/>
    </row>
    <row r="709" ht="15.75" customHeight="1">
      <c r="A709" s="13"/>
      <c r="B709" s="13"/>
      <c r="C709" s="13"/>
      <c r="D709" s="13"/>
      <c r="E709" s="13"/>
      <c r="F709" s="13"/>
    </row>
    <row r="710" ht="15.75" customHeight="1">
      <c r="A710" s="13"/>
      <c r="B710" s="13"/>
      <c r="C710" s="13"/>
      <c r="D710" s="13"/>
      <c r="E710" s="13"/>
      <c r="F710" s="13"/>
    </row>
    <row r="711" ht="15.75" customHeight="1">
      <c r="A711" s="13"/>
      <c r="B711" s="13"/>
      <c r="C711" s="13"/>
      <c r="D711" s="13"/>
      <c r="E711" s="13"/>
      <c r="F711" s="13"/>
    </row>
    <row r="712" ht="15.75" customHeight="1">
      <c r="A712" s="13"/>
      <c r="B712" s="13"/>
      <c r="C712" s="13"/>
      <c r="D712" s="13"/>
      <c r="E712" s="13"/>
      <c r="F712" s="13"/>
    </row>
    <row r="713" ht="15.75" customHeight="1">
      <c r="A713" s="13"/>
      <c r="B713" s="13"/>
      <c r="C713" s="13"/>
      <c r="D713" s="13"/>
      <c r="E713" s="13"/>
      <c r="F713" s="13"/>
    </row>
    <row r="714" ht="15.75" customHeight="1">
      <c r="A714" s="13"/>
      <c r="B714" s="13"/>
      <c r="C714" s="13"/>
      <c r="D714" s="13"/>
      <c r="E714" s="13"/>
      <c r="F714" s="13"/>
    </row>
    <row r="715" ht="15.75" customHeight="1">
      <c r="A715" s="13"/>
      <c r="B715" s="13"/>
      <c r="C715" s="13"/>
      <c r="D715" s="13"/>
      <c r="E715" s="13"/>
      <c r="F715" s="13"/>
    </row>
    <row r="716" ht="15.75" customHeight="1">
      <c r="A716" s="13"/>
      <c r="B716" s="13"/>
      <c r="C716" s="13"/>
      <c r="D716" s="13"/>
      <c r="E716" s="13"/>
      <c r="F716" s="13"/>
    </row>
    <row r="717" ht="15.75" customHeight="1">
      <c r="A717" s="13"/>
      <c r="B717" s="13"/>
      <c r="C717" s="13"/>
      <c r="D717" s="13"/>
      <c r="E717" s="13"/>
      <c r="F717" s="13"/>
    </row>
    <row r="718" ht="15.75" customHeight="1">
      <c r="A718" s="13"/>
      <c r="B718" s="13"/>
      <c r="C718" s="13"/>
      <c r="D718" s="13"/>
      <c r="E718" s="13"/>
      <c r="F718" s="13"/>
    </row>
    <row r="719" ht="15.75" customHeight="1">
      <c r="A719" s="13"/>
      <c r="B719" s="13"/>
      <c r="C719" s="13"/>
      <c r="D719" s="13"/>
      <c r="E719" s="13"/>
      <c r="F719" s="13"/>
    </row>
    <row r="720" ht="15.75" customHeight="1">
      <c r="A720" s="13"/>
      <c r="B720" s="13"/>
      <c r="C720" s="13"/>
      <c r="D720" s="13"/>
      <c r="E720" s="13"/>
      <c r="F720" s="13"/>
    </row>
    <row r="721" ht="15.75" customHeight="1">
      <c r="A721" s="13"/>
      <c r="B721" s="13"/>
      <c r="C721" s="13"/>
      <c r="D721" s="13"/>
      <c r="E721" s="13"/>
      <c r="F721" s="13"/>
    </row>
    <row r="722" ht="15.75" customHeight="1">
      <c r="A722" s="13"/>
      <c r="B722" s="13"/>
      <c r="C722" s="13"/>
      <c r="D722" s="13"/>
      <c r="E722" s="13"/>
      <c r="F722" s="13"/>
    </row>
    <row r="723" ht="15.75" customHeight="1">
      <c r="A723" s="13"/>
      <c r="B723" s="13"/>
      <c r="C723" s="13"/>
      <c r="D723" s="13"/>
      <c r="E723" s="13"/>
      <c r="F723" s="13"/>
    </row>
    <row r="724" ht="15.75" customHeight="1">
      <c r="A724" s="13"/>
      <c r="B724" s="13"/>
      <c r="C724" s="13"/>
      <c r="D724" s="13"/>
      <c r="E724" s="13"/>
      <c r="F724" s="13"/>
    </row>
    <row r="725" ht="15.75" customHeight="1">
      <c r="A725" s="13"/>
      <c r="B725" s="13"/>
      <c r="C725" s="13"/>
      <c r="D725" s="13"/>
      <c r="E725" s="13"/>
      <c r="F725" s="13"/>
    </row>
    <row r="726" ht="15.75" customHeight="1">
      <c r="A726" s="13"/>
      <c r="B726" s="13"/>
      <c r="C726" s="13"/>
      <c r="D726" s="13"/>
      <c r="E726" s="13"/>
      <c r="F726" s="13"/>
    </row>
    <row r="727" ht="15.75" customHeight="1">
      <c r="A727" s="13"/>
      <c r="B727" s="13"/>
      <c r="C727" s="13"/>
      <c r="D727" s="13"/>
      <c r="E727" s="13"/>
      <c r="F727" s="13"/>
    </row>
    <row r="728" ht="15.75" customHeight="1">
      <c r="A728" s="13"/>
      <c r="B728" s="13"/>
      <c r="C728" s="13"/>
      <c r="D728" s="13"/>
      <c r="E728" s="13"/>
      <c r="F728" s="13"/>
    </row>
    <row r="729" ht="15.75" customHeight="1">
      <c r="A729" s="13"/>
      <c r="B729" s="13"/>
      <c r="C729" s="13"/>
      <c r="D729" s="13"/>
      <c r="E729" s="13"/>
      <c r="F729" s="13"/>
    </row>
    <row r="730" ht="15.75" customHeight="1">
      <c r="A730" s="13"/>
      <c r="B730" s="13"/>
      <c r="C730" s="13"/>
      <c r="D730" s="13"/>
      <c r="E730" s="13"/>
      <c r="F730" s="13"/>
    </row>
    <row r="731" ht="15.75" customHeight="1">
      <c r="A731" s="13"/>
      <c r="B731" s="13"/>
      <c r="C731" s="13"/>
      <c r="D731" s="13"/>
      <c r="E731" s="13"/>
      <c r="F731" s="13"/>
    </row>
    <row r="732" ht="15.75" customHeight="1">
      <c r="A732" s="13"/>
      <c r="B732" s="13"/>
      <c r="C732" s="13"/>
      <c r="D732" s="13"/>
      <c r="E732" s="13"/>
      <c r="F732" s="13"/>
    </row>
    <row r="733" ht="15.75" customHeight="1">
      <c r="A733" s="13"/>
      <c r="B733" s="13"/>
      <c r="C733" s="13"/>
      <c r="D733" s="13"/>
      <c r="E733" s="13"/>
      <c r="F733" s="13"/>
    </row>
    <row r="734" ht="15.75" customHeight="1">
      <c r="A734" s="13"/>
      <c r="B734" s="13"/>
      <c r="C734" s="13"/>
      <c r="D734" s="13"/>
      <c r="E734" s="13"/>
      <c r="F734" s="13"/>
    </row>
    <row r="735" ht="15.75" customHeight="1">
      <c r="A735" s="13"/>
      <c r="B735" s="13"/>
      <c r="C735" s="13"/>
      <c r="D735" s="13"/>
      <c r="E735" s="13"/>
      <c r="F735" s="13"/>
    </row>
    <row r="736" ht="15.75" customHeight="1">
      <c r="A736" s="13"/>
      <c r="B736" s="13"/>
      <c r="C736" s="13"/>
      <c r="D736" s="13"/>
      <c r="E736" s="13"/>
      <c r="F736" s="13"/>
    </row>
    <row r="737" ht="15.75" customHeight="1">
      <c r="A737" s="13"/>
      <c r="B737" s="13"/>
      <c r="C737" s="13"/>
      <c r="D737" s="13"/>
      <c r="E737" s="13"/>
      <c r="F737" s="13"/>
    </row>
    <row r="738" ht="15.75" customHeight="1">
      <c r="A738" s="13"/>
      <c r="B738" s="13"/>
      <c r="C738" s="13"/>
      <c r="D738" s="13"/>
      <c r="E738" s="13"/>
      <c r="F738" s="13"/>
    </row>
    <row r="739" ht="15.75" customHeight="1">
      <c r="A739" s="13"/>
      <c r="B739" s="13"/>
      <c r="C739" s="13"/>
      <c r="D739" s="13"/>
      <c r="E739" s="13"/>
      <c r="F739" s="13"/>
    </row>
    <row r="740" ht="15.75" customHeight="1">
      <c r="A740" s="13"/>
      <c r="B740" s="13"/>
      <c r="C740" s="13"/>
      <c r="D740" s="13"/>
      <c r="E740" s="13"/>
      <c r="F740" s="13"/>
    </row>
    <row r="741" ht="15.75" customHeight="1">
      <c r="A741" s="13"/>
      <c r="B741" s="13"/>
      <c r="C741" s="13"/>
      <c r="D741" s="13"/>
      <c r="E741" s="13"/>
      <c r="F741" s="13"/>
    </row>
    <row r="742" ht="15.75" customHeight="1">
      <c r="A742" s="13"/>
      <c r="B742" s="13"/>
      <c r="C742" s="13"/>
      <c r="D742" s="13"/>
      <c r="E742" s="13"/>
      <c r="F742" s="13"/>
    </row>
    <row r="743" ht="15.75" customHeight="1">
      <c r="A743" s="13"/>
      <c r="B743" s="13"/>
      <c r="C743" s="13"/>
      <c r="D743" s="13"/>
      <c r="E743" s="13"/>
      <c r="F743" s="13"/>
    </row>
    <row r="744" ht="15.75" customHeight="1">
      <c r="A744" s="13"/>
      <c r="B744" s="13"/>
      <c r="C744" s="13"/>
      <c r="D744" s="13"/>
      <c r="E744" s="13"/>
      <c r="F744" s="13"/>
    </row>
    <row r="745" ht="15.75" customHeight="1">
      <c r="A745" s="13"/>
      <c r="B745" s="13"/>
      <c r="C745" s="13"/>
      <c r="D745" s="13"/>
      <c r="E745" s="13"/>
      <c r="F745" s="13"/>
    </row>
    <row r="746" ht="15.75" customHeight="1">
      <c r="A746" s="13"/>
      <c r="B746" s="13"/>
      <c r="C746" s="13"/>
      <c r="D746" s="13"/>
      <c r="E746" s="13"/>
      <c r="F746" s="13"/>
    </row>
    <row r="747" ht="15.75" customHeight="1">
      <c r="A747" s="13"/>
      <c r="B747" s="13"/>
      <c r="C747" s="13"/>
      <c r="D747" s="13"/>
      <c r="E747" s="13"/>
      <c r="F747" s="13"/>
    </row>
    <row r="748" ht="15.75" customHeight="1">
      <c r="A748" s="13"/>
      <c r="B748" s="13"/>
      <c r="C748" s="13"/>
      <c r="D748" s="13"/>
      <c r="E748" s="13"/>
      <c r="F748" s="13"/>
    </row>
    <row r="749" ht="15.75" customHeight="1">
      <c r="A749" s="13"/>
      <c r="B749" s="13"/>
      <c r="C749" s="13"/>
      <c r="D749" s="13"/>
      <c r="E749" s="13"/>
      <c r="F749" s="13"/>
    </row>
    <row r="750" ht="15.75" customHeight="1">
      <c r="A750" s="13"/>
      <c r="B750" s="13"/>
      <c r="C750" s="13"/>
      <c r="D750" s="13"/>
      <c r="E750" s="13"/>
      <c r="F750" s="13"/>
    </row>
    <row r="751" ht="15.75" customHeight="1">
      <c r="A751" s="13"/>
      <c r="B751" s="13"/>
      <c r="C751" s="13"/>
      <c r="D751" s="13"/>
      <c r="E751" s="13"/>
      <c r="F751" s="13"/>
    </row>
    <row r="752" ht="15.75" customHeight="1">
      <c r="A752" s="13"/>
      <c r="B752" s="13"/>
      <c r="C752" s="13"/>
      <c r="D752" s="13"/>
      <c r="E752" s="13"/>
      <c r="F752" s="13"/>
    </row>
    <row r="753" ht="15.75" customHeight="1">
      <c r="A753" s="13"/>
      <c r="B753" s="13"/>
      <c r="C753" s="13"/>
      <c r="D753" s="13"/>
      <c r="E753" s="13"/>
      <c r="F753" s="13"/>
    </row>
    <row r="754" ht="15.75" customHeight="1">
      <c r="A754" s="13"/>
      <c r="B754" s="13"/>
      <c r="C754" s="13"/>
      <c r="D754" s="13"/>
      <c r="E754" s="13"/>
      <c r="F754" s="13"/>
    </row>
    <row r="755" ht="15.75" customHeight="1">
      <c r="A755" s="13"/>
      <c r="B755" s="13"/>
      <c r="C755" s="13"/>
      <c r="D755" s="13"/>
      <c r="E755" s="13"/>
      <c r="F755" s="13"/>
    </row>
    <row r="756" ht="15.75" customHeight="1">
      <c r="A756" s="13"/>
      <c r="B756" s="13"/>
      <c r="C756" s="13"/>
      <c r="D756" s="13"/>
      <c r="E756" s="13"/>
      <c r="F756" s="13"/>
    </row>
    <row r="757" ht="15.75" customHeight="1">
      <c r="A757" s="13"/>
      <c r="B757" s="13"/>
      <c r="C757" s="13"/>
      <c r="D757" s="13"/>
      <c r="E757" s="13"/>
      <c r="F757" s="13"/>
    </row>
    <row r="758" ht="15.75" customHeight="1">
      <c r="A758" s="13"/>
      <c r="B758" s="13"/>
      <c r="C758" s="13"/>
      <c r="D758" s="13"/>
      <c r="E758" s="13"/>
      <c r="F758" s="13"/>
    </row>
    <row r="759" ht="15.75" customHeight="1">
      <c r="A759" s="13"/>
      <c r="B759" s="13"/>
      <c r="C759" s="13"/>
      <c r="D759" s="13"/>
      <c r="E759" s="13"/>
      <c r="F759" s="13"/>
    </row>
    <row r="760" ht="15.75" customHeight="1">
      <c r="A760" s="13"/>
      <c r="B760" s="13"/>
      <c r="C760" s="13"/>
      <c r="D760" s="13"/>
      <c r="E760" s="13"/>
      <c r="F760" s="13"/>
    </row>
    <row r="761" ht="15.75" customHeight="1">
      <c r="A761" s="13"/>
      <c r="B761" s="13"/>
      <c r="C761" s="13"/>
      <c r="D761" s="13"/>
      <c r="E761" s="13"/>
      <c r="F761" s="13"/>
    </row>
    <row r="762" ht="15.75" customHeight="1">
      <c r="A762" s="13"/>
      <c r="B762" s="13"/>
      <c r="C762" s="13"/>
      <c r="D762" s="13"/>
      <c r="E762" s="13"/>
      <c r="F762" s="13"/>
    </row>
    <row r="763" ht="15.75" customHeight="1">
      <c r="A763" s="13"/>
      <c r="B763" s="13"/>
      <c r="C763" s="13"/>
      <c r="D763" s="13"/>
      <c r="E763" s="13"/>
      <c r="F763" s="13"/>
    </row>
    <row r="764" ht="15.75" customHeight="1">
      <c r="A764" s="13"/>
      <c r="B764" s="13"/>
      <c r="C764" s="13"/>
      <c r="D764" s="13"/>
      <c r="E764" s="13"/>
      <c r="F764" s="13"/>
    </row>
    <row r="765" ht="15.75" customHeight="1">
      <c r="A765" s="13"/>
      <c r="B765" s="13"/>
      <c r="C765" s="13"/>
      <c r="D765" s="13"/>
      <c r="E765" s="13"/>
      <c r="F765" s="13"/>
    </row>
    <row r="766" ht="15.75" customHeight="1">
      <c r="A766" s="13"/>
      <c r="B766" s="13"/>
      <c r="C766" s="13"/>
      <c r="D766" s="13"/>
      <c r="E766" s="13"/>
      <c r="F766" s="13"/>
    </row>
    <row r="767" ht="15.75" customHeight="1">
      <c r="A767" s="13"/>
      <c r="B767" s="13"/>
      <c r="C767" s="13"/>
      <c r="D767" s="13"/>
      <c r="E767" s="13"/>
      <c r="F767" s="13"/>
    </row>
    <row r="768" ht="15.75" customHeight="1">
      <c r="A768" s="13"/>
      <c r="B768" s="13"/>
      <c r="C768" s="13"/>
      <c r="D768" s="13"/>
      <c r="E768" s="13"/>
      <c r="F768" s="13"/>
    </row>
    <row r="769" ht="15.75" customHeight="1">
      <c r="A769" s="13"/>
      <c r="B769" s="13"/>
      <c r="C769" s="13"/>
      <c r="D769" s="13"/>
      <c r="E769" s="13"/>
      <c r="F769" s="13"/>
    </row>
    <row r="770" ht="15.75" customHeight="1">
      <c r="A770" s="13"/>
      <c r="B770" s="13"/>
      <c r="C770" s="13"/>
      <c r="D770" s="13"/>
      <c r="E770" s="13"/>
      <c r="F770" s="13"/>
    </row>
    <row r="771" ht="15.75" customHeight="1">
      <c r="A771" s="13"/>
      <c r="B771" s="13"/>
      <c r="C771" s="13"/>
      <c r="D771" s="13"/>
      <c r="E771" s="13"/>
      <c r="F771" s="13"/>
    </row>
    <row r="772" ht="15.75" customHeight="1">
      <c r="A772" s="13"/>
      <c r="B772" s="13"/>
      <c r="C772" s="13"/>
      <c r="D772" s="13"/>
      <c r="E772" s="13"/>
      <c r="F772" s="13"/>
    </row>
    <row r="773" ht="15.75" customHeight="1">
      <c r="A773" s="13"/>
      <c r="B773" s="13"/>
      <c r="C773" s="13"/>
      <c r="D773" s="13"/>
      <c r="E773" s="13"/>
      <c r="F773" s="13"/>
    </row>
    <row r="774" ht="15.75" customHeight="1">
      <c r="A774" s="13"/>
      <c r="B774" s="13"/>
      <c r="C774" s="13"/>
      <c r="D774" s="13"/>
      <c r="E774" s="13"/>
      <c r="F774" s="13"/>
    </row>
    <row r="775" ht="15.75" customHeight="1">
      <c r="A775" s="13"/>
      <c r="B775" s="13"/>
      <c r="C775" s="13"/>
      <c r="D775" s="13"/>
      <c r="E775" s="13"/>
      <c r="F775" s="13"/>
    </row>
    <row r="776" ht="15.75" customHeight="1">
      <c r="A776" s="13"/>
      <c r="B776" s="13"/>
      <c r="C776" s="13"/>
      <c r="D776" s="13"/>
      <c r="E776" s="13"/>
      <c r="F776" s="13"/>
    </row>
    <row r="777" ht="15.75" customHeight="1">
      <c r="A777" s="13"/>
      <c r="B777" s="13"/>
      <c r="C777" s="13"/>
      <c r="D777" s="13"/>
      <c r="E777" s="13"/>
      <c r="F777" s="13"/>
    </row>
    <row r="778" ht="15.75" customHeight="1">
      <c r="A778" s="13"/>
      <c r="B778" s="13"/>
      <c r="C778" s="13"/>
      <c r="D778" s="13"/>
      <c r="E778" s="13"/>
      <c r="F778" s="13"/>
    </row>
    <row r="779" ht="15.75" customHeight="1">
      <c r="A779" s="13"/>
      <c r="B779" s="13"/>
      <c r="C779" s="13"/>
      <c r="D779" s="13"/>
      <c r="E779" s="13"/>
      <c r="F779" s="13"/>
    </row>
    <row r="780" ht="15.75" customHeight="1">
      <c r="A780" s="13"/>
      <c r="B780" s="13"/>
      <c r="C780" s="13"/>
      <c r="D780" s="13"/>
      <c r="E780" s="13"/>
      <c r="F780" s="13"/>
    </row>
    <row r="781" ht="15.75" customHeight="1">
      <c r="A781" s="13"/>
      <c r="B781" s="13"/>
      <c r="C781" s="13"/>
      <c r="D781" s="13"/>
      <c r="E781" s="13"/>
      <c r="F781" s="13"/>
    </row>
    <row r="782" ht="15.75" customHeight="1">
      <c r="A782" s="13"/>
      <c r="B782" s="13"/>
      <c r="C782" s="13"/>
      <c r="D782" s="13"/>
      <c r="E782" s="13"/>
      <c r="F782" s="13"/>
    </row>
    <row r="783" ht="15.75" customHeight="1">
      <c r="A783" s="13"/>
      <c r="B783" s="13"/>
      <c r="C783" s="13"/>
      <c r="D783" s="13"/>
      <c r="E783" s="13"/>
      <c r="F783" s="13"/>
    </row>
    <row r="784" ht="15.75" customHeight="1">
      <c r="A784" s="13"/>
      <c r="B784" s="13"/>
      <c r="C784" s="13"/>
      <c r="D784" s="13"/>
      <c r="E784" s="13"/>
      <c r="F784" s="13"/>
    </row>
    <row r="785" ht="15.75" customHeight="1">
      <c r="A785" s="13"/>
      <c r="B785" s="13"/>
      <c r="C785" s="13"/>
      <c r="D785" s="13"/>
      <c r="E785" s="13"/>
      <c r="F785" s="13"/>
    </row>
    <row r="786" ht="15.75" customHeight="1">
      <c r="A786" s="13"/>
      <c r="B786" s="13"/>
      <c r="C786" s="13"/>
      <c r="D786" s="13"/>
      <c r="E786" s="13"/>
      <c r="F786" s="13"/>
    </row>
    <row r="787" ht="15.75" customHeight="1">
      <c r="A787" s="13"/>
      <c r="B787" s="13"/>
      <c r="C787" s="13"/>
      <c r="D787" s="13"/>
      <c r="E787" s="13"/>
      <c r="F787" s="13"/>
    </row>
    <row r="788" ht="15.75" customHeight="1">
      <c r="A788" s="13"/>
      <c r="B788" s="13"/>
      <c r="C788" s="13"/>
      <c r="D788" s="13"/>
      <c r="E788" s="13"/>
      <c r="F788" s="13"/>
    </row>
    <row r="789" ht="15.75" customHeight="1">
      <c r="A789" s="13"/>
      <c r="B789" s="13"/>
      <c r="C789" s="13"/>
      <c r="D789" s="13"/>
      <c r="E789" s="13"/>
      <c r="F789" s="13"/>
    </row>
    <row r="790" ht="15.75" customHeight="1">
      <c r="A790" s="13"/>
      <c r="B790" s="13"/>
      <c r="C790" s="13"/>
      <c r="D790" s="13"/>
      <c r="E790" s="13"/>
      <c r="F790" s="13"/>
    </row>
    <row r="791" ht="15.75" customHeight="1">
      <c r="A791" s="13"/>
      <c r="B791" s="13"/>
      <c r="C791" s="13"/>
      <c r="D791" s="13"/>
      <c r="E791" s="13"/>
      <c r="F791" s="13"/>
    </row>
    <row r="792" ht="15.75" customHeight="1">
      <c r="A792" s="13"/>
      <c r="B792" s="13"/>
      <c r="C792" s="13"/>
      <c r="D792" s="13"/>
      <c r="E792" s="13"/>
      <c r="F792" s="13"/>
    </row>
    <row r="793" ht="15.75" customHeight="1">
      <c r="A793" s="13"/>
      <c r="B793" s="13"/>
      <c r="C793" s="13"/>
      <c r="D793" s="13"/>
      <c r="E793" s="13"/>
      <c r="F793" s="13"/>
    </row>
    <row r="794" ht="15.75" customHeight="1">
      <c r="A794" s="13"/>
      <c r="B794" s="13"/>
      <c r="C794" s="13"/>
      <c r="D794" s="13"/>
      <c r="E794" s="13"/>
      <c r="F794" s="13"/>
    </row>
    <row r="795" ht="15.75" customHeight="1">
      <c r="A795" s="13"/>
      <c r="B795" s="13"/>
      <c r="C795" s="13"/>
      <c r="D795" s="13"/>
      <c r="E795" s="13"/>
      <c r="F795" s="13"/>
    </row>
    <row r="796" ht="15.75" customHeight="1">
      <c r="A796" s="13"/>
      <c r="B796" s="13"/>
      <c r="C796" s="13"/>
      <c r="D796" s="13"/>
      <c r="E796" s="13"/>
      <c r="F796" s="13"/>
    </row>
    <row r="797" ht="15.75" customHeight="1">
      <c r="A797" s="13"/>
      <c r="B797" s="13"/>
      <c r="C797" s="13"/>
      <c r="D797" s="13"/>
      <c r="E797" s="13"/>
      <c r="F797" s="13"/>
    </row>
    <row r="798" ht="15.75" customHeight="1">
      <c r="A798" s="13"/>
      <c r="B798" s="13"/>
      <c r="C798" s="13"/>
      <c r="D798" s="13"/>
      <c r="E798" s="13"/>
      <c r="F798" s="13"/>
    </row>
    <row r="799" ht="15.75" customHeight="1">
      <c r="A799" s="13"/>
      <c r="B799" s="13"/>
      <c r="C799" s="13"/>
      <c r="D799" s="13"/>
      <c r="E799" s="13"/>
      <c r="F799" s="13"/>
    </row>
    <row r="800" ht="15.75" customHeight="1">
      <c r="A800" s="13"/>
      <c r="B800" s="13"/>
      <c r="C800" s="13"/>
      <c r="D800" s="13"/>
      <c r="E800" s="13"/>
      <c r="F800" s="13"/>
    </row>
    <row r="801" ht="15.75" customHeight="1">
      <c r="A801" s="13"/>
      <c r="B801" s="13"/>
      <c r="C801" s="13"/>
      <c r="D801" s="13"/>
      <c r="E801" s="13"/>
      <c r="F801" s="13"/>
    </row>
    <row r="802" ht="15.75" customHeight="1">
      <c r="A802" s="13"/>
      <c r="B802" s="13"/>
      <c r="C802" s="13"/>
      <c r="D802" s="13"/>
      <c r="E802" s="13"/>
      <c r="F802" s="13"/>
    </row>
    <row r="803" ht="15.75" customHeight="1">
      <c r="A803" s="13"/>
      <c r="B803" s="13"/>
      <c r="C803" s="13"/>
      <c r="D803" s="13"/>
      <c r="E803" s="13"/>
      <c r="F803" s="13"/>
    </row>
    <row r="804" ht="15.75" customHeight="1">
      <c r="A804" s="13"/>
      <c r="B804" s="13"/>
      <c r="C804" s="13"/>
      <c r="D804" s="13"/>
      <c r="E804" s="13"/>
      <c r="F804" s="13"/>
    </row>
    <row r="805" ht="15.75" customHeight="1">
      <c r="A805" s="13"/>
      <c r="B805" s="13"/>
      <c r="C805" s="13"/>
      <c r="D805" s="13"/>
      <c r="E805" s="13"/>
      <c r="F805" s="13"/>
    </row>
    <row r="806" ht="15.75" customHeight="1">
      <c r="A806" s="13"/>
      <c r="B806" s="13"/>
      <c r="C806" s="13"/>
      <c r="D806" s="13"/>
      <c r="E806" s="13"/>
      <c r="F806" s="13"/>
    </row>
    <row r="807" ht="15.75" customHeight="1">
      <c r="A807" s="13"/>
      <c r="B807" s="13"/>
      <c r="C807" s="13"/>
      <c r="D807" s="13"/>
      <c r="E807" s="13"/>
      <c r="F807" s="13"/>
    </row>
    <row r="808" ht="15.75" customHeight="1">
      <c r="A808" s="13"/>
      <c r="B808" s="13"/>
      <c r="C808" s="13"/>
      <c r="D808" s="13"/>
      <c r="E808" s="13"/>
      <c r="F808" s="13"/>
    </row>
    <row r="809" ht="15.75" customHeight="1">
      <c r="A809" s="13"/>
      <c r="B809" s="13"/>
      <c r="C809" s="13"/>
      <c r="D809" s="13"/>
      <c r="E809" s="13"/>
      <c r="F809" s="13"/>
    </row>
    <row r="810" ht="15.75" customHeight="1">
      <c r="A810" s="13"/>
      <c r="B810" s="13"/>
      <c r="C810" s="13"/>
      <c r="D810" s="13"/>
      <c r="E810" s="13"/>
      <c r="F810" s="13"/>
    </row>
    <row r="811" ht="15.75" customHeight="1">
      <c r="A811" s="13"/>
      <c r="B811" s="13"/>
      <c r="C811" s="13"/>
      <c r="D811" s="13"/>
      <c r="E811" s="13"/>
      <c r="F811" s="13"/>
    </row>
    <row r="812" ht="15.75" customHeight="1">
      <c r="A812" s="13"/>
      <c r="B812" s="13"/>
      <c r="C812" s="13"/>
      <c r="D812" s="13"/>
      <c r="E812" s="13"/>
      <c r="F812" s="13"/>
    </row>
    <row r="813" ht="15.75" customHeight="1">
      <c r="A813" s="13"/>
      <c r="B813" s="13"/>
      <c r="C813" s="13"/>
      <c r="D813" s="13"/>
      <c r="E813" s="13"/>
      <c r="F813" s="13"/>
    </row>
    <row r="814" ht="15.75" customHeight="1">
      <c r="A814" s="13"/>
      <c r="B814" s="13"/>
      <c r="C814" s="13"/>
      <c r="D814" s="13"/>
      <c r="E814" s="13"/>
      <c r="F814" s="13"/>
    </row>
    <row r="815" ht="15.75" customHeight="1">
      <c r="A815" s="13"/>
      <c r="B815" s="13"/>
      <c r="C815" s="13"/>
      <c r="D815" s="13"/>
      <c r="E815" s="13"/>
      <c r="F815" s="13"/>
    </row>
    <row r="816" ht="15.75" customHeight="1">
      <c r="A816" s="13"/>
      <c r="B816" s="13"/>
      <c r="C816" s="13"/>
      <c r="D816" s="13"/>
      <c r="E816" s="13"/>
      <c r="F816" s="13"/>
    </row>
    <row r="817" ht="15.75" customHeight="1">
      <c r="A817" s="13"/>
      <c r="B817" s="13"/>
      <c r="C817" s="13"/>
      <c r="D817" s="13"/>
      <c r="E817" s="13"/>
      <c r="F817" s="13"/>
    </row>
    <row r="818" ht="15.75" customHeight="1">
      <c r="A818" s="13"/>
      <c r="B818" s="13"/>
      <c r="C818" s="13"/>
      <c r="D818" s="13"/>
      <c r="E818" s="13"/>
      <c r="F818" s="13"/>
    </row>
    <row r="819" ht="15.75" customHeight="1">
      <c r="A819" s="13"/>
      <c r="B819" s="13"/>
      <c r="C819" s="13"/>
      <c r="D819" s="13"/>
      <c r="E819" s="13"/>
      <c r="F819" s="13"/>
    </row>
    <row r="820" ht="15.75" customHeight="1">
      <c r="A820" s="13"/>
      <c r="B820" s="13"/>
      <c r="C820" s="13"/>
      <c r="D820" s="13"/>
      <c r="E820" s="13"/>
      <c r="F820" s="13"/>
    </row>
    <row r="821" ht="15.75" customHeight="1">
      <c r="A821" s="13"/>
      <c r="B821" s="13"/>
      <c r="C821" s="13"/>
      <c r="D821" s="13"/>
      <c r="E821" s="13"/>
      <c r="F821" s="13"/>
    </row>
    <row r="822" ht="15.75" customHeight="1">
      <c r="A822" s="13"/>
      <c r="B822" s="13"/>
      <c r="C822" s="13"/>
      <c r="D822" s="13"/>
      <c r="E822" s="13"/>
      <c r="F822" s="13"/>
    </row>
    <row r="823" ht="15.75" customHeight="1">
      <c r="A823" s="13"/>
      <c r="B823" s="13"/>
      <c r="C823" s="13"/>
      <c r="D823" s="13"/>
      <c r="E823" s="13"/>
      <c r="F823" s="13"/>
    </row>
    <row r="824" ht="15.75" customHeight="1">
      <c r="A824" s="13"/>
      <c r="B824" s="13"/>
      <c r="C824" s="13"/>
      <c r="D824" s="13"/>
      <c r="E824" s="13"/>
      <c r="F824" s="13"/>
    </row>
    <row r="825" ht="15.75" customHeight="1">
      <c r="A825" s="13"/>
      <c r="B825" s="13"/>
      <c r="C825" s="13"/>
      <c r="D825" s="13"/>
      <c r="E825" s="13"/>
      <c r="F825" s="13"/>
    </row>
    <row r="826" ht="15.75" customHeight="1">
      <c r="A826" s="13"/>
      <c r="B826" s="13"/>
      <c r="C826" s="13"/>
      <c r="D826" s="13"/>
      <c r="E826" s="13"/>
      <c r="F826" s="13"/>
    </row>
    <row r="827" ht="15.75" customHeight="1">
      <c r="A827" s="13"/>
      <c r="B827" s="13"/>
      <c r="C827" s="13"/>
      <c r="D827" s="13"/>
      <c r="E827" s="13"/>
      <c r="F827" s="13"/>
    </row>
    <row r="828" ht="15.75" customHeight="1">
      <c r="A828" s="13"/>
      <c r="B828" s="13"/>
      <c r="C828" s="13"/>
      <c r="D828" s="13"/>
      <c r="E828" s="13"/>
      <c r="F828" s="13"/>
    </row>
    <row r="829" ht="15.75" customHeight="1">
      <c r="A829" s="13"/>
      <c r="B829" s="13"/>
      <c r="C829" s="13"/>
      <c r="D829" s="13"/>
      <c r="E829" s="13"/>
      <c r="F829" s="13"/>
    </row>
    <row r="830" ht="15.75" customHeight="1">
      <c r="A830" s="13"/>
      <c r="B830" s="13"/>
      <c r="C830" s="13"/>
      <c r="D830" s="13"/>
      <c r="E830" s="13"/>
      <c r="F830" s="13"/>
    </row>
    <row r="831" ht="15.75" customHeight="1">
      <c r="A831" s="13"/>
      <c r="B831" s="13"/>
      <c r="C831" s="13"/>
      <c r="D831" s="13"/>
      <c r="E831" s="13"/>
      <c r="F831" s="13"/>
    </row>
    <row r="832" ht="15.75" customHeight="1">
      <c r="A832" s="13"/>
      <c r="B832" s="13"/>
      <c r="C832" s="13"/>
      <c r="D832" s="13"/>
      <c r="E832" s="13"/>
      <c r="F832" s="13"/>
    </row>
    <row r="833" ht="15.75" customHeight="1">
      <c r="A833" s="13"/>
      <c r="B833" s="13"/>
      <c r="C833" s="13"/>
      <c r="D833" s="13"/>
      <c r="E833" s="13"/>
      <c r="F833" s="13"/>
    </row>
    <row r="834" ht="15.75" customHeight="1">
      <c r="A834" s="13"/>
      <c r="B834" s="13"/>
      <c r="C834" s="13"/>
      <c r="D834" s="13"/>
      <c r="E834" s="13"/>
      <c r="F834" s="13"/>
    </row>
    <row r="835" ht="15.75" customHeight="1">
      <c r="A835" s="13"/>
      <c r="B835" s="13"/>
      <c r="C835" s="13"/>
      <c r="D835" s="13"/>
      <c r="E835" s="13"/>
      <c r="F835" s="13"/>
    </row>
    <row r="836" ht="15.75" customHeight="1">
      <c r="A836" s="13"/>
      <c r="B836" s="13"/>
      <c r="C836" s="13"/>
      <c r="D836" s="13"/>
      <c r="E836" s="13"/>
      <c r="F836" s="13"/>
    </row>
    <row r="837" ht="15.75" customHeight="1">
      <c r="A837" s="13"/>
      <c r="B837" s="13"/>
      <c r="C837" s="13"/>
      <c r="D837" s="13"/>
      <c r="E837" s="13"/>
      <c r="F837" s="13"/>
    </row>
    <row r="838" ht="15.75" customHeight="1">
      <c r="A838" s="13"/>
      <c r="B838" s="13"/>
      <c r="C838" s="13"/>
      <c r="D838" s="13"/>
      <c r="E838" s="13"/>
      <c r="F838" s="13"/>
    </row>
    <row r="839" ht="15.75" customHeight="1">
      <c r="A839" s="13"/>
      <c r="B839" s="13"/>
      <c r="C839" s="13"/>
      <c r="D839" s="13"/>
      <c r="E839" s="13"/>
      <c r="F839" s="13"/>
    </row>
    <row r="840" ht="15.75" customHeight="1">
      <c r="A840" s="13"/>
      <c r="B840" s="13"/>
      <c r="C840" s="13"/>
      <c r="D840" s="13"/>
      <c r="E840" s="13"/>
      <c r="F840" s="13"/>
    </row>
    <row r="841" ht="15.75" customHeight="1">
      <c r="A841" s="13"/>
      <c r="B841" s="13"/>
      <c r="C841" s="13"/>
      <c r="D841" s="13"/>
      <c r="E841" s="13"/>
      <c r="F841" s="13"/>
    </row>
    <row r="842" ht="15.75" customHeight="1">
      <c r="A842" s="13"/>
      <c r="B842" s="13"/>
      <c r="C842" s="13"/>
      <c r="D842" s="13"/>
      <c r="E842" s="13"/>
      <c r="F842" s="13"/>
    </row>
    <row r="843" ht="15.75" customHeight="1">
      <c r="A843" s="13"/>
      <c r="B843" s="13"/>
      <c r="C843" s="13"/>
      <c r="D843" s="13"/>
      <c r="E843" s="13"/>
      <c r="F843" s="13"/>
    </row>
    <row r="844" ht="15.75" customHeight="1">
      <c r="A844" s="13"/>
      <c r="B844" s="13"/>
      <c r="C844" s="13"/>
      <c r="D844" s="13"/>
      <c r="E844" s="13"/>
      <c r="F844" s="13"/>
    </row>
    <row r="845" ht="15.75" customHeight="1">
      <c r="A845" s="13"/>
      <c r="B845" s="13"/>
      <c r="C845" s="13"/>
      <c r="D845" s="13"/>
      <c r="E845" s="13"/>
      <c r="F845" s="13"/>
    </row>
    <row r="846" ht="15.75" customHeight="1">
      <c r="A846" s="13"/>
      <c r="B846" s="13"/>
      <c r="C846" s="13"/>
      <c r="D846" s="13"/>
      <c r="E846" s="13"/>
      <c r="F846" s="13"/>
    </row>
    <row r="847" ht="15.75" customHeight="1">
      <c r="A847" s="13"/>
      <c r="B847" s="13"/>
      <c r="C847" s="13"/>
      <c r="D847" s="13"/>
      <c r="E847" s="13"/>
      <c r="F847" s="13"/>
    </row>
    <row r="848" ht="15.75" customHeight="1">
      <c r="A848" s="13"/>
      <c r="B848" s="13"/>
      <c r="C848" s="13"/>
      <c r="D848" s="13"/>
      <c r="E848" s="13"/>
      <c r="F848" s="13"/>
    </row>
    <row r="849" ht="15.75" customHeight="1">
      <c r="A849" s="13"/>
      <c r="B849" s="13"/>
      <c r="C849" s="13"/>
      <c r="D849" s="13"/>
      <c r="E849" s="13"/>
      <c r="F849" s="13"/>
    </row>
    <row r="850" ht="15.75" customHeight="1">
      <c r="A850" s="13"/>
      <c r="B850" s="13"/>
      <c r="C850" s="13"/>
      <c r="D850" s="13"/>
      <c r="E850" s="13"/>
      <c r="F850" s="13"/>
    </row>
    <row r="851" ht="15.75" customHeight="1">
      <c r="A851" s="13"/>
      <c r="B851" s="13"/>
      <c r="C851" s="13"/>
      <c r="D851" s="13"/>
      <c r="E851" s="13"/>
      <c r="F851" s="13"/>
    </row>
    <row r="852" ht="15.75" customHeight="1">
      <c r="A852" s="13"/>
      <c r="B852" s="13"/>
      <c r="C852" s="13"/>
      <c r="D852" s="13"/>
      <c r="E852" s="13"/>
      <c r="F852" s="13"/>
    </row>
    <row r="853" ht="15.75" customHeight="1">
      <c r="A853" s="13"/>
      <c r="B853" s="13"/>
      <c r="C853" s="13"/>
      <c r="D853" s="13"/>
      <c r="E853" s="13"/>
      <c r="F853" s="13"/>
    </row>
    <row r="854" ht="15.75" customHeight="1">
      <c r="A854" s="13"/>
      <c r="B854" s="13"/>
      <c r="C854" s="13"/>
      <c r="D854" s="13"/>
      <c r="E854" s="13"/>
      <c r="F854" s="13"/>
    </row>
    <row r="855" ht="15.75" customHeight="1">
      <c r="A855" s="13"/>
      <c r="B855" s="13"/>
      <c r="C855" s="13"/>
      <c r="D855" s="13"/>
      <c r="E855" s="13"/>
      <c r="F855" s="13"/>
    </row>
    <row r="856" ht="15.75" customHeight="1">
      <c r="A856" s="13"/>
      <c r="B856" s="13"/>
      <c r="C856" s="13"/>
      <c r="D856" s="13"/>
      <c r="E856" s="13"/>
      <c r="F856" s="13"/>
    </row>
    <row r="857" ht="15.75" customHeight="1">
      <c r="A857" s="13"/>
      <c r="B857" s="13"/>
      <c r="C857" s="13"/>
      <c r="D857" s="13"/>
      <c r="E857" s="13"/>
      <c r="F857" s="13"/>
    </row>
    <row r="858" ht="15.75" customHeight="1">
      <c r="A858" s="13"/>
      <c r="B858" s="13"/>
      <c r="C858" s="13"/>
      <c r="D858" s="13"/>
      <c r="E858" s="13"/>
      <c r="F858" s="13"/>
    </row>
    <row r="859" ht="15.75" customHeight="1">
      <c r="A859" s="13"/>
      <c r="B859" s="13"/>
      <c r="C859" s="13"/>
      <c r="D859" s="13"/>
      <c r="E859" s="13"/>
      <c r="F859" s="13"/>
    </row>
    <row r="860" ht="15.75" customHeight="1">
      <c r="A860" s="13"/>
      <c r="B860" s="13"/>
      <c r="C860" s="13"/>
      <c r="D860" s="13"/>
      <c r="E860" s="13"/>
      <c r="F860" s="13"/>
    </row>
    <row r="861" ht="15.75" customHeight="1">
      <c r="A861" s="13"/>
      <c r="B861" s="13"/>
      <c r="C861" s="13"/>
      <c r="D861" s="13"/>
      <c r="E861" s="13"/>
      <c r="F861" s="13"/>
    </row>
    <row r="862" ht="15.75" customHeight="1">
      <c r="A862" s="13"/>
      <c r="B862" s="13"/>
      <c r="C862" s="13"/>
      <c r="D862" s="13"/>
      <c r="E862" s="13"/>
      <c r="F862" s="13"/>
    </row>
    <row r="863" ht="15.75" customHeight="1">
      <c r="A863" s="13"/>
      <c r="B863" s="13"/>
      <c r="C863" s="13"/>
      <c r="D863" s="13"/>
      <c r="E863" s="13"/>
      <c r="F863" s="13"/>
    </row>
    <row r="864" ht="15.75" customHeight="1">
      <c r="A864" s="13"/>
      <c r="B864" s="13"/>
      <c r="C864" s="13"/>
      <c r="D864" s="13"/>
      <c r="E864" s="13"/>
      <c r="F864" s="13"/>
    </row>
    <row r="865" ht="15.75" customHeight="1">
      <c r="A865" s="13"/>
      <c r="B865" s="13"/>
      <c r="C865" s="13"/>
      <c r="D865" s="13"/>
      <c r="E865" s="13"/>
      <c r="F865" s="13"/>
    </row>
    <row r="866" ht="15.75" customHeight="1">
      <c r="A866" s="13"/>
      <c r="B866" s="13"/>
      <c r="C866" s="13"/>
      <c r="D866" s="13"/>
      <c r="E866" s="13"/>
      <c r="F866" s="13"/>
    </row>
    <row r="867" ht="15.75" customHeight="1">
      <c r="A867" s="13"/>
      <c r="B867" s="13"/>
      <c r="C867" s="13"/>
      <c r="D867" s="13"/>
      <c r="E867" s="13"/>
      <c r="F867" s="13"/>
    </row>
    <row r="868" ht="15.75" customHeight="1">
      <c r="A868" s="13"/>
      <c r="B868" s="13"/>
      <c r="C868" s="13"/>
      <c r="D868" s="13"/>
      <c r="E868" s="13"/>
      <c r="F868" s="13"/>
    </row>
    <row r="869" ht="15.75" customHeight="1">
      <c r="A869" s="13"/>
      <c r="B869" s="13"/>
      <c r="C869" s="13"/>
      <c r="D869" s="13"/>
      <c r="E869" s="13"/>
      <c r="F869" s="13"/>
    </row>
    <row r="870" ht="15.75" customHeight="1">
      <c r="A870" s="13"/>
      <c r="B870" s="13"/>
      <c r="C870" s="13"/>
      <c r="D870" s="13"/>
      <c r="E870" s="13"/>
      <c r="F870" s="13"/>
    </row>
    <row r="871" ht="15.75" customHeight="1">
      <c r="A871" s="13"/>
      <c r="B871" s="13"/>
      <c r="C871" s="13"/>
      <c r="D871" s="13"/>
      <c r="E871" s="13"/>
      <c r="F871" s="13"/>
    </row>
    <row r="872" ht="15.75" customHeight="1">
      <c r="A872" s="13"/>
      <c r="B872" s="13"/>
      <c r="C872" s="13"/>
      <c r="D872" s="13"/>
      <c r="E872" s="13"/>
      <c r="F872" s="13"/>
    </row>
    <row r="873" ht="15.75" customHeight="1">
      <c r="A873" s="13"/>
      <c r="B873" s="13"/>
      <c r="C873" s="13"/>
      <c r="D873" s="13"/>
      <c r="E873" s="13"/>
      <c r="F873" s="13"/>
    </row>
    <row r="874" ht="15.75" customHeight="1">
      <c r="A874" s="13"/>
      <c r="B874" s="13"/>
      <c r="C874" s="13"/>
      <c r="D874" s="13"/>
      <c r="E874" s="13"/>
      <c r="F874" s="13"/>
    </row>
    <row r="875" ht="15.75" customHeight="1">
      <c r="A875" s="13"/>
      <c r="B875" s="13"/>
      <c r="C875" s="13"/>
      <c r="D875" s="13"/>
      <c r="E875" s="13"/>
      <c r="F875" s="13"/>
    </row>
    <row r="876" ht="15.75" customHeight="1">
      <c r="A876" s="13"/>
      <c r="B876" s="13"/>
      <c r="C876" s="13"/>
      <c r="D876" s="13"/>
      <c r="E876" s="13"/>
      <c r="F876" s="13"/>
    </row>
    <row r="877" ht="15.75" customHeight="1">
      <c r="A877" s="13"/>
      <c r="B877" s="13"/>
      <c r="C877" s="13"/>
      <c r="D877" s="13"/>
      <c r="E877" s="13"/>
      <c r="F877" s="13"/>
    </row>
    <row r="878" ht="15.75" customHeight="1">
      <c r="A878" s="13"/>
      <c r="B878" s="13"/>
      <c r="C878" s="13"/>
      <c r="D878" s="13"/>
      <c r="E878" s="13"/>
      <c r="F878" s="13"/>
    </row>
    <row r="879" ht="15.75" customHeight="1">
      <c r="A879" s="13"/>
      <c r="B879" s="13"/>
      <c r="C879" s="13"/>
      <c r="D879" s="13"/>
      <c r="E879" s="13"/>
      <c r="F879" s="13"/>
    </row>
    <row r="880" ht="15.75" customHeight="1">
      <c r="A880" s="13"/>
      <c r="B880" s="13"/>
      <c r="C880" s="13"/>
      <c r="D880" s="13"/>
      <c r="E880" s="13"/>
      <c r="F880" s="13"/>
    </row>
    <row r="881" ht="15.75" customHeight="1">
      <c r="A881" s="13"/>
      <c r="B881" s="13"/>
      <c r="C881" s="13"/>
      <c r="D881" s="13"/>
      <c r="E881" s="13"/>
      <c r="F881" s="13"/>
    </row>
    <row r="882" ht="15.75" customHeight="1">
      <c r="A882" s="13"/>
      <c r="B882" s="13"/>
      <c r="C882" s="13"/>
      <c r="D882" s="13"/>
      <c r="E882" s="13"/>
      <c r="F882" s="13"/>
    </row>
    <row r="883" ht="15.75" customHeight="1">
      <c r="A883" s="13"/>
      <c r="B883" s="13"/>
      <c r="C883" s="13"/>
      <c r="D883" s="13"/>
      <c r="E883" s="13"/>
      <c r="F883" s="13"/>
    </row>
    <row r="884" ht="15.75" customHeight="1">
      <c r="A884" s="13"/>
      <c r="B884" s="13"/>
      <c r="C884" s="13"/>
      <c r="D884" s="13"/>
      <c r="E884" s="13"/>
      <c r="F884" s="13"/>
    </row>
    <row r="885" ht="15.75" customHeight="1">
      <c r="A885" s="13"/>
      <c r="B885" s="13"/>
      <c r="C885" s="13"/>
      <c r="D885" s="13"/>
      <c r="E885" s="13"/>
      <c r="F885" s="13"/>
    </row>
    <row r="886" ht="15.75" customHeight="1">
      <c r="A886" s="13"/>
      <c r="B886" s="13"/>
      <c r="C886" s="13"/>
      <c r="D886" s="13"/>
      <c r="E886" s="13"/>
      <c r="F886" s="13"/>
    </row>
    <row r="887" ht="15.75" customHeight="1">
      <c r="A887" s="13"/>
      <c r="B887" s="13"/>
      <c r="C887" s="13"/>
      <c r="D887" s="13"/>
      <c r="E887" s="13"/>
      <c r="F887" s="13"/>
    </row>
    <row r="888" ht="15.75" customHeight="1">
      <c r="A888" s="13"/>
      <c r="B888" s="13"/>
      <c r="C888" s="13"/>
      <c r="D888" s="13"/>
      <c r="E888" s="13"/>
      <c r="F888" s="13"/>
    </row>
    <row r="889" ht="15.75" customHeight="1">
      <c r="A889" s="13"/>
      <c r="B889" s="13"/>
      <c r="C889" s="13"/>
      <c r="D889" s="13"/>
      <c r="E889" s="13"/>
      <c r="F889" s="13"/>
    </row>
    <row r="890" ht="15.75" customHeight="1">
      <c r="A890" s="13"/>
      <c r="B890" s="13"/>
      <c r="C890" s="13"/>
      <c r="D890" s="13"/>
      <c r="E890" s="13"/>
      <c r="F890" s="13"/>
    </row>
    <row r="891" ht="15.75" customHeight="1">
      <c r="A891" s="13"/>
      <c r="B891" s="13"/>
      <c r="C891" s="13"/>
      <c r="D891" s="13"/>
      <c r="E891" s="13"/>
      <c r="F891" s="13"/>
    </row>
    <row r="892" ht="15.75" customHeight="1">
      <c r="A892" s="13"/>
      <c r="B892" s="13"/>
      <c r="C892" s="13"/>
      <c r="D892" s="13"/>
      <c r="E892" s="13"/>
      <c r="F892" s="13"/>
    </row>
    <row r="893" ht="15.75" customHeight="1">
      <c r="A893" s="13"/>
      <c r="B893" s="13"/>
      <c r="C893" s="13"/>
      <c r="D893" s="13"/>
      <c r="E893" s="13"/>
      <c r="F893" s="13"/>
    </row>
    <row r="894" ht="15.75" customHeight="1">
      <c r="A894" s="13"/>
      <c r="B894" s="13"/>
      <c r="C894" s="13"/>
      <c r="D894" s="13"/>
      <c r="E894" s="13"/>
      <c r="F894" s="13"/>
    </row>
    <row r="895" ht="15.75" customHeight="1">
      <c r="A895" s="13"/>
      <c r="B895" s="13"/>
      <c r="C895" s="13"/>
      <c r="D895" s="13"/>
      <c r="E895" s="13"/>
      <c r="F895" s="13"/>
    </row>
    <row r="896" ht="15.75" customHeight="1">
      <c r="A896" s="13"/>
      <c r="B896" s="13"/>
      <c r="C896" s="13"/>
      <c r="D896" s="13"/>
      <c r="E896" s="13"/>
      <c r="F896" s="13"/>
    </row>
    <row r="897" ht="15.75" customHeight="1">
      <c r="A897" s="13"/>
      <c r="B897" s="13"/>
      <c r="C897" s="13"/>
      <c r="D897" s="13"/>
      <c r="E897" s="13"/>
      <c r="F897" s="13"/>
    </row>
    <row r="898" ht="15.75" customHeight="1">
      <c r="A898" s="13"/>
      <c r="B898" s="13"/>
      <c r="C898" s="13"/>
      <c r="D898" s="13"/>
      <c r="E898" s="13"/>
      <c r="F898" s="13"/>
    </row>
    <row r="899" ht="15.75" customHeight="1">
      <c r="A899" s="13"/>
      <c r="B899" s="13"/>
      <c r="C899" s="13"/>
      <c r="D899" s="13"/>
      <c r="E899" s="13"/>
      <c r="F899" s="13"/>
    </row>
    <row r="900" ht="15.75" customHeight="1">
      <c r="A900" s="13"/>
      <c r="B900" s="13"/>
      <c r="C900" s="13"/>
      <c r="D900" s="13"/>
      <c r="E900" s="13"/>
      <c r="F900" s="13"/>
    </row>
    <row r="901" ht="15.75" customHeight="1">
      <c r="A901" s="13"/>
      <c r="B901" s="13"/>
      <c r="C901" s="13"/>
      <c r="D901" s="13"/>
      <c r="E901" s="13"/>
      <c r="F901" s="13"/>
    </row>
    <row r="902" ht="15.75" customHeight="1">
      <c r="A902" s="13"/>
      <c r="B902" s="13"/>
      <c r="C902" s="13"/>
      <c r="D902" s="13"/>
      <c r="E902" s="13"/>
      <c r="F902" s="13"/>
    </row>
    <row r="903" ht="15.75" customHeight="1">
      <c r="A903" s="13"/>
      <c r="B903" s="13"/>
      <c r="C903" s="13"/>
      <c r="D903" s="13"/>
      <c r="E903" s="13"/>
      <c r="F903" s="13"/>
    </row>
    <row r="904" ht="15.75" customHeight="1">
      <c r="A904" s="13"/>
      <c r="B904" s="13"/>
      <c r="C904" s="13"/>
      <c r="D904" s="13"/>
      <c r="E904" s="13"/>
      <c r="F904" s="13"/>
    </row>
    <row r="905" ht="15.75" customHeight="1">
      <c r="A905" s="13"/>
      <c r="B905" s="13"/>
      <c r="C905" s="13"/>
      <c r="D905" s="13"/>
      <c r="E905" s="13"/>
      <c r="F905" s="13"/>
    </row>
    <row r="906" ht="15.75" customHeight="1">
      <c r="A906" s="13"/>
      <c r="B906" s="13"/>
      <c r="C906" s="13"/>
      <c r="D906" s="13"/>
      <c r="E906" s="13"/>
      <c r="F906" s="13"/>
    </row>
    <row r="907" ht="15.75" customHeight="1">
      <c r="A907" s="13"/>
      <c r="B907" s="13"/>
      <c r="C907" s="13"/>
      <c r="D907" s="13"/>
      <c r="E907" s="13"/>
      <c r="F907" s="13"/>
    </row>
    <row r="908" ht="15.75" customHeight="1">
      <c r="A908" s="13"/>
      <c r="B908" s="13"/>
      <c r="C908" s="13"/>
      <c r="D908" s="13"/>
      <c r="E908" s="13"/>
      <c r="F908" s="13"/>
    </row>
    <row r="909" ht="15.75" customHeight="1">
      <c r="A909" s="13"/>
      <c r="B909" s="13"/>
      <c r="C909" s="13"/>
      <c r="D909" s="13"/>
      <c r="E909" s="13"/>
      <c r="F909" s="13"/>
    </row>
    <row r="910" ht="15.75" customHeight="1">
      <c r="A910" s="13"/>
      <c r="B910" s="13"/>
      <c r="C910" s="13"/>
      <c r="D910" s="13"/>
      <c r="E910" s="13"/>
      <c r="F910" s="13"/>
    </row>
    <row r="911" ht="15.75" customHeight="1">
      <c r="A911" s="13"/>
      <c r="B911" s="13"/>
      <c r="C911" s="13"/>
      <c r="D911" s="13"/>
      <c r="E911" s="13"/>
      <c r="F911" s="13"/>
    </row>
    <row r="912" ht="15.75" customHeight="1">
      <c r="A912" s="13"/>
      <c r="B912" s="13"/>
      <c r="C912" s="13"/>
      <c r="D912" s="13"/>
      <c r="E912" s="13"/>
      <c r="F912" s="13"/>
    </row>
    <row r="913" ht="15.75" customHeight="1">
      <c r="A913" s="13"/>
      <c r="B913" s="13"/>
      <c r="C913" s="13"/>
      <c r="D913" s="13"/>
      <c r="E913" s="13"/>
      <c r="F913" s="13"/>
    </row>
    <row r="914" ht="15.75" customHeight="1">
      <c r="A914" s="13"/>
      <c r="B914" s="13"/>
      <c r="C914" s="13"/>
      <c r="D914" s="13"/>
      <c r="E914" s="13"/>
      <c r="F914" s="13"/>
    </row>
    <row r="915" ht="15.75" customHeight="1">
      <c r="A915" s="13"/>
      <c r="B915" s="13"/>
      <c r="C915" s="13"/>
      <c r="D915" s="13"/>
      <c r="E915" s="13"/>
      <c r="F915" s="13"/>
    </row>
    <row r="916" ht="15.75" customHeight="1">
      <c r="A916" s="13"/>
      <c r="B916" s="13"/>
      <c r="C916" s="13"/>
      <c r="D916" s="13"/>
      <c r="E916" s="13"/>
      <c r="F916" s="13"/>
    </row>
    <row r="917" ht="15.75" customHeight="1">
      <c r="A917" s="13"/>
      <c r="B917" s="13"/>
      <c r="C917" s="13"/>
      <c r="D917" s="13"/>
      <c r="E917" s="13"/>
      <c r="F917" s="13"/>
    </row>
    <row r="918" ht="15.75" customHeight="1">
      <c r="A918" s="13"/>
      <c r="B918" s="13"/>
      <c r="C918" s="13"/>
      <c r="D918" s="13"/>
      <c r="E918" s="13"/>
      <c r="F918" s="13"/>
    </row>
    <row r="919" ht="15.75" customHeight="1">
      <c r="A919" s="13"/>
      <c r="B919" s="13"/>
      <c r="C919" s="13"/>
      <c r="D919" s="13"/>
      <c r="E919" s="13"/>
      <c r="F919" s="13"/>
    </row>
    <row r="920" ht="15.75" customHeight="1">
      <c r="A920" s="13"/>
      <c r="B920" s="13"/>
      <c r="C920" s="13"/>
      <c r="D920" s="13"/>
      <c r="E920" s="13"/>
      <c r="F920" s="13"/>
    </row>
    <row r="921" ht="15.75" customHeight="1">
      <c r="A921" s="13"/>
      <c r="B921" s="13"/>
      <c r="C921" s="13"/>
      <c r="D921" s="13"/>
      <c r="E921" s="13"/>
      <c r="F921" s="13"/>
    </row>
    <row r="922" ht="15.75" customHeight="1">
      <c r="A922" s="13"/>
      <c r="B922" s="13"/>
      <c r="C922" s="13"/>
      <c r="D922" s="13"/>
      <c r="E922" s="13"/>
      <c r="F922" s="13"/>
    </row>
    <row r="923" ht="15.75" customHeight="1">
      <c r="A923" s="13"/>
      <c r="B923" s="13"/>
      <c r="C923" s="13"/>
      <c r="D923" s="13"/>
      <c r="E923" s="13"/>
      <c r="F923" s="13"/>
    </row>
    <row r="924" ht="15.75" customHeight="1">
      <c r="A924" s="13"/>
      <c r="B924" s="13"/>
      <c r="C924" s="13"/>
      <c r="D924" s="13"/>
      <c r="E924" s="13"/>
      <c r="F924" s="13"/>
    </row>
    <row r="925" ht="15.75" customHeight="1">
      <c r="A925" s="13"/>
      <c r="B925" s="13"/>
      <c r="C925" s="13"/>
      <c r="D925" s="13"/>
      <c r="E925" s="13"/>
      <c r="F925" s="13"/>
    </row>
    <row r="926" ht="15.75" customHeight="1">
      <c r="A926" s="13"/>
      <c r="B926" s="13"/>
      <c r="C926" s="13"/>
      <c r="D926" s="13"/>
      <c r="E926" s="13"/>
      <c r="F926" s="13"/>
    </row>
    <row r="927" ht="15.75" customHeight="1">
      <c r="A927" s="13"/>
      <c r="B927" s="13"/>
      <c r="C927" s="13"/>
      <c r="D927" s="13"/>
      <c r="E927" s="13"/>
      <c r="F927" s="13"/>
    </row>
    <row r="928" ht="15.75" customHeight="1">
      <c r="A928" s="13"/>
      <c r="B928" s="13"/>
      <c r="C928" s="13"/>
      <c r="D928" s="13"/>
      <c r="E928" s="13"/>
      <c r="F928" s="13"/>
    </row>
    <row r="929" ht="15.75" customHeight="1">
      <c r="A929" s="13"/>
      <c r="B929" s="13"/>
      <c r="C929" s="13"/>
      <c r="D929" s="13"/>
      <c r="E929" s="13"/>
      <c r="F929" s="13"/>
    </row>
    <row r="930" ht="15.75" customHeight="1">
      <c r="A930" s="13"/>
      <c r="B930" s="13"/>
      <c r="C930" s="13"/>
      <c r="D930" s="13"/>
      <c r="E930" s="13"/>
      <c r="F930" s="13"/>
    </row>
    <row r="931" ht="15.75" customHeight="1">
      <c r="A931" s="13"/>
      <c r="B931" s="13"/>
      <c r="C931" s="13"/>
      <c r="D931" s="13"/>
      <c r="E931" s="13"/>
      <c r="F931" s="13"/>
    </row>
    <row r="932" ht="15.75" customHeight="1">
      <c r="A932" s="13"/>
      <c r="B932" s="13"/>
      <c r="C932" s="13"/>
      <c r="D932" s="13"/>
      <c r="E932" s="13"/>
      <c r="F932" s="13"/>
    </row>
    <row r="933" ht="15.75" customHeight="1">
      <c r="A933" s="13"/>
      <c r="B933" s="13"/>
      <c r="C933" s="13"/>
      <c r="D933" s="13"/>
      <c r="E933" s="13"/>
      <c r="F933" s="13"/>
    </row>
    <row r="934" ht="15.75" customHeight="1">
      <c r="A934" s="13"/>
      <c r="B934" s="13"/>
      <c r="C934" s="13"/>
      <c r="D934" s="13"/>
      <c r="E934" s="13"/>
      <c r="F934" s="13"/>
    </row>
    <row r="935" ht="15.75" customHeight="1">
      <c r="A935" s="13"/>
      <c r="B935" s="13"/>
      <c r="C935" s="13"/>
      <c r="D935" s="13"/>
      <c r="E935" s="13"/>
      <c r="F935" s="13"/>
    </row>
    <row r="936" ht="15.75" customHeight="1">
      <c r="A936" s="13"/>
      <c r="B936" s="13"/>
      <c r="C936" s="13"/>
      <c r="D936" s="13"/>
      <c r="E936" s="13"/>
      <c r="F936" s="13"/>
    </row>
    <row r="937" ht="15.75" customHeight="1">
      <c r="A937" s="13"/>
      <c r="B937" s="13"/>
      <c r="C937" s="13"/>
      <c r="D937" s="13"/>
      <c r="E937" s="13"/>
      <c r="F937" s="13"/>
    </row>
    <row r="938" ht="15.75" customHeight="1">
      <c r="A938" s="13"/>
      <c r="B938" s="13"/>
      <c r="C938" s="13"/>
      <c r="D938" s="13"/>
      <c r="E938" s="13"/>
      <c r="F938" s="13"/>
    </row>
    <row r="939" ht="15.75" customHeight="1">
      <c r="A939" s="13"/>
      <c r="B939" s="13"/>
      <c r="C939" s="13"/>
      <c r="D939" s="13"/>
      <c r="E939" s="13"/>
      <c r="F939" s="13"/>
    </row>
    <row r="940" ht="15.75" customHeight="1">
      <c r="A940" s="13"/>
      <c r="B940" s="13"/>
      <c r="C940" s="13"/>
      <c r="D940" s="13"/>
      <c r="E940" s="13"/>
      <c r="F940" s="13"/>
    </row>
    <row r="941" ht="15.75" customHeight="1">
      <c r="A941" s="13"/>
      <c r="B941" s="13"/>
      <c r="C941" s="13"/>
      <c r="D941" s="13"/>
      <c r="E941" s="13"/>
      <c r="F941" s="13"/>
    </row>
    <row r="942" ht="15.75" customHeight="1">
      <c r="A942" s="13"/>
      <c r="B942" s="13"/>
      <c r="C942" s="13"/>
      <c r="D942" s="13"/>
      <c r="E942" s="13"/>
      <c r="F942" s="13"/>
    </row>
    <row r="943" ht="15.75" customHeight="1">
      <c r="A943" s="13"/>
      <c r="B943" s="13"/>
      <c r="C943" s="13"/>
      <c r="D943" s="13"/>
      <c r="E943" s="13"/>
      <c r="F943" s="13"/>
    </row>
    <row r="944" ht="15.75" customHeight="1">
      <c r="A944" s="13"/>
      <c r="B944" s="13"/>
      <c r="C944" s="13"/>
      <c r="D944" s="13"/>
      <c r="E944" s="13"/>
      <c r="F944" s="13"/>
    </row>
    <row r="945" ht="15.75" customHeight="1">
      <c r="A945" s="13"/>
      <c r="B945" s="13"/>
      <c r="C945" s="13"/>
      <c r="D945" s="13"/>
      <c r="E945" s="13"/>
      <c r="F945" s="13"/>
    </row>
    <row r="946" ht="15.75" customHeight="1">
      <c r="A946" s="13"/>
      <c r="B946" s="13"/>
      <c r="C946" s="13"/>
      <c r="D946" s="13"/>
      <c r="E946" s="13"/>
      <c r="F946" s="13"/>
    </row>
    <row r="947" ht="15.75" customHeight="1">
      <c r="A947" s="13"/>
      <c r="B947" s="13"/>
      <c r="C947" s="13"/>
      <c r="D947" s="13"/>
      <c r="E947" s="13"/>
      <c r="F947" s="13"/>
    </row>
    <row r="948" ht="15.75" customHeight="1">
      <c r="A948" s="13"/>
      <c r="B948" s="13"/>
      <c r="C948" s="13"/>
      <c r="D948" s="13"/>
      <c r="E948" s="13"/>
      <c r="F948" s="13"/>
    </row>
    <row r="949" ht="15.75" customHeight="1">
      <c r="A949" s="13"/>
      <c r="B949" s="13"/>
      <c r="C949" s="13"/>
      <c r="D949" s="13"/>
      <c r="E949" s="13"/>
      <c r="F949" s="13"/>
    </row>
    <row r="950" ht="15.75" customHeight="1">
      <c r="A950" s="13"/>
      <c r="B950" s="13"/>
      <c r="C950" s="13"/>
      <c r="D950" s="13"/>
      <c r="E950" s="13"/>
      <c r="F950" s="13"/>
    </row>
    <row r="951" ht="15.75" customHeight="1">
      <c r="A951" s="13"/>
      <c r="B951" s="13"/>
      <c r="C951" s="13"/>
      <c r="D951" s="13"/>
      <c r="E951" s="13"/>
      <c r="F951" s="13"/>
    </row>
    <row r="952" ht="15.75" customHeight="1">
      <c r="A952" s="13"/>
      <c r="B952" s="13"/>
      <c r="C952" s="13"/>
      <c r="D952" s="13"/>
      <c r="E952" s="13"/>
      <c r="F952" s="13"/>
    </row>
    <row r="953" ht="15.75" customHeight="1">
      <c r="A953" s="13"/>
      <c r="B953" s="13"/>
      <c r="C953" s="13"/>
      <c r="D953" s="13"/>
      <c r="E953" s="13"/>
      <c r="F953" s="13"/>
    </row>
    <row r="954" ht="15.75" customHeight="1">
      <c r="A954" s="13"/>
      <c r="B954" s="13"/>
      <c r="C954" s="13"/>
      <c r="D954" s="13"/>
      <c r="E954" s="13"/>
      <c r="F954" s="13"/>
    </row>
    <row r="955" ht="15.75" customHeight="1">
      <c r="A955" s="13"/>
      <c r="B955" s="13"/>
      <c r="C955" s="13"/>
      <c r="D955" s="13"/>
      <c r="E955" s="13"/>
      <c r="F955" s="13"/>
    </row>
    <row r="956" ht="15.75" customHeight="1">
      <c r="A956" s="13"/>
      <c r="B956" s="13"/>
      <c r="C956" s="13"/>
      <c r="D956" s="13"/>
      <c r="E956" s="13"/>
      <c r="F956" s="13"/>
    </row>
    <row r="957" ht="15.75" customHeight="1">
      <c r="A957" s="13"/>
      <c r="B957" s="13"/>
      <c r="C957" s="13"/>
      <c r="D957" s="13"/>
      <c r="E957" s="13"/>
      <c r="F957" s="13"/>
    </row>
    <row r="958" ht="15.75" customHeight="1">
      <c r="A958" s="13"/>
      <c r="B958" s="13"/>
      <c r="C958" s="13"/>
      <c r="D958" s="13"/>
      <c r="E958" s="13"/>
      <c r="F958" s="13"/>
    </row>
    <row r="959" ht="15.75" customHeight="1">
      <c r="A959" s="13"/>
      <c r="B959" s="13"/>
      <c r="C959" s="13"/>
      <c r="D959" s="13"/>
      <c r="E959" s="13"/>
      <c r="F959" s="13"/>
    </row>
    <row r="960" ht="15.75" customHeight="1">
      <c r="A960" s="13"/>
      <c r="B960" s="13"/>
      <c r="C960" s="13"/>
      <c r="D960" s="13"/>
      <c r="E960" s="13"/>
      <c r="F960" s="13"/>
    </row>
    <row r="961" ht="15.75" customHeight="1">
      <c r="A961" s="13"/>
      <c r="B961" s="13"/>
      <c r="C961" s="13"/>
      <c r="D961" s="13"/>
      <c r="E961" s="13"/>
      <c r="F961" s="13"/>
    </row>
    <row r="962" ht="15.75" customHeight="1">
      <c r="A962" s="13"/>
      <c r="B962" s="13"/>
      <c r="C962" s="13"/>
      <c r="D962" s="13"/>
      <c r="E962" s="13"/>
      <c r="F962" s="13"/>
    </row>
    <row r="963" ht="15.75" customHeight="1">
      <c r="A963" s="13"/>
      <c r="B963" s="13"/>
      <c r="C963" s="13"/>
      <c r="D963" s="13"/>
      <c r="E963" s="13"/>
      <c r="F963" s="13"/>
    </row>
    <row r="964" ht="15.75" customHeight="1">
      <c r="A964" s="13"/>
      <c r="B964" s="13"/>
      <c r="C964" s="13"/>
      <c r="D964" s="13"/>
      <c r="E964" s="13"/>
      <c r="F964" s="13"/>
    </row>
    <row r="965" ht="15.75" customHeight="1">
      <c r="A965" s="13"/>
      <c r="B965" s="13"/>
      <c r="C965" s="13"/>
      <c r="D965" s="13"/>
      <c r="E965" s="13"/>
      <c r="F965" s="13"/>
    </row>
    <row r="966" ht="15.75" customHeight="1">
      <c r="A966" s="13"/>
      <c r="B966" s="13"/>
      <c r="C966" s="13"/>
      <c r="D966" s="13"/>
      <c r="E966" s="13"/>
      <c r="F966" s="13"/>
    </row>
    <row r="967" ht="15.75" customHeight="1">
      <c r="A967" s="13"/>
      <c r="B967" s="13"/>
      <c r="C967" s="13"/>
      <c r="D967" s="13"/>
      <c r="E967" s="13"/>
      <c r="F967" s="13"/>
    </row>
    <row r="968" ht="15.75" customHeight="1">
      <c r="A968" s="13"/>
      <c r="B968" s="13"/>
      <c r="C968" s="13"/>
      <c r="D968" s="13"/>
      <c r="E968" s="13"/>
      <c r="F968" s="13"/>
    </row>
    <row r="969" ht="15.75" customHeight="1">
      <c r="A969" s="13"/>
      <c r="B969" s="13"/>
      <c r="C969" s="13"/>
      <c r="D969" s="13"/>
      <c r="E969" s="13"/>
      <c r="F969" s="13"/>
    </row>
    <row r="970" ht="15.75" customHeight="1">
      <c r="A970" s="13"/>
      <c r="B970" s="13"/>
      <c r="C970" s="13"/>
      <c r="D970" s="13"/>
      <c r="E970" s="13"/>
      <c r="F970" s="13"/>
    </row>
    <row r="971" ht="15.75" customHeight="1">
      <c r="A971" s="13"/>
      <c r="B971" s="13"/>
      <c r="C971" s="13"/>
      <c r="D971" s="13"/>
      <c r="E971" s="13"/>
      <c r="F971" s="13"/>
    </row>
    <row r="972" ht="15.75" customHeight="1">
      <c r="A972" s="13"/>
      <c r="B972" s="13"/>
      <c r="C972" s="13"/>
      <c r="D972" s="13"/>
      <c r="E972" s="13"/>
      <c r="F972" s="13"/>
    </row>
    <row r="973" ht="15.75" customHeight="1">
      <c r="A973" s="13"/>
      <c r="B973" s="13"/>
      <c r="C973" s="13"/>
      <c r="D973" s="13"/>
      <c r="E973" s="13"/>
      <c r="F973" s="13"/>
    </row>
    <row r="974" ht="15.75" customHeight="1">
      <c r="A974" s="13"/>
      <c r="B974" s="13"/>
      <c r="C974" s="13"/>
      <c r="D974" s="13"/>
      <c r="E974" s="13"/>
      <c r="F974" s="13"/>
    </row>
    <row r="975" ht="15.75" customHeight="1">
      <c r="A975" s="13"/>
      <c r="B975" s="13"/>
      <c r="C975" s="13"/>
      <c r="D975" s="13"/>
      <c r="E975" s="13"/>
      <c r="F975" s="13"/>
    </row>
    <row r="976" ht="15.75" customHeight="1">
      <c r="A976" s="13"/>
      <c r="B976" s="13"/>
      <c r="C976" s="13"/>
      <c r="D976" s="13"/>
      <c r="E976" s="13"/>
      <c r="F976" s="13"/>
    </row>
    <row r="977" ht="15.75" customHeight="1">
      <c r="A977" s="13"/>
      <c r="B977" s="13"/>
      <c r="C977" s="13"/>
      <c r="D977" s="13"/>
      <c r="E977" s="13"/>
      <c r="F977" s="13"/>
    </row>
    <row r="978" ht="15.75" customHeight="1">
      <c r="A978" s="13"/>
      <c r="B978" s="13"/>
      <c r="C978" s="13"/>
      <c r="D978" s="13"/>
      <c r="E978" s="13"/>
      <c r="F978" s="13"/>
    </row>
    <row r="979" ht="15.75" customHeight="1">
      <c r="A979" s="13"/>
      <c r="B979" s="13"/>
      <c r="C979" s="13"/>
      <c r="D979" s="13"/>
      <c r="E979" s="13"/>
      <c r="F979" s="13"/>
    </row>
    <row r="980" ht="15.75" customHeight="1">
      <c r="A980" s="13"/>
      <c r="B980" s="13"/>
      <c r="C980" s="13"/>
      <c r="D980" s="13"/>
      <c r="E980" s="13"/>
      <c r="F980" s="13"/>
    </row>
    <row r="981" ht="15.75" customHeight="1">
      <c r="A981" s="13"/>
      <c r="B981" s="13"/>
      <c r="C981" s="13"/>
      <c r="D981" s="13"/>
      <c r="E981" s="13"/>
      <c r="F981" s="13"/>
    </row>
    <row r="982" ht="15.75" customHeight="1">
      <c r="A982" s="13"/>
      <c r="B982" s="13"/>
      <c r="C982" s="13"/>
      <c r="D982" s="13"/>
      <c r="E982" s="13"/>
      <c r="F982" s="13"/>
    </row>
    <row r="983" ht="15.75" customHeight="1">
      <c r="A983" s="13"/>
      <c r="B983" s="13"/>
      <c r="C983" s="13"/>
      <c r="D983" s="13"/>
      <c r="E983" s="13"/>
      <c r="F983" s="13"/>
    </row>
    <row r="984" ht="15.75" customHeight="1">
      <c r="A984" s="13"/>
      <c r="B984" s="13"/>
      <c r="C984" s="13"/>
      <c r="D984" s="13"/>
      <c r="E984" s="13"/>
      <c r="F984" s="13"/>
    </row>
    <row r="985" ht="15.75" customHeight="1">
      <c r="A985" s="13"/>
      <c r="B985" s="13"/>
      <c r="C985" s="13"/>
      <c r="D985" s="13"/>
      <c r="E985" s="13"/>
      <c r="F985" s="13"/>
    </row>
    <row r="986" ht="15.75" customHeight="1">
      <c r="A986" s="13"/>
      <c r="B986" s="13"/>
      <c r="C986" s="13"/>
      <c r="D986" s="13"/>
      <c r="E986" s="13"/>
      <c r="F986" s="13"/>
    </row>
    <row r="987" ht="15.75" customHeight="1">
      <c r="A987" s="13"/>
      <c r="B987" s="13"/>
      <c r="C987" s="13"/>
      <c r="D987" s="13"/>
      <c r="E987" s="13"/>
      <c r="F987" s="13"/>
    </row>
    <row r="988" ht="15.75" customHeight="1">
      <c r="A988" s="13"/>
      <c r="B988" s="13"/>
      <c r="C988" s="13"/>
      <c r="D988" s="13"/>
      <c r="E988" s="13"/>
      <c r="F988" s="13"/>
    </row>
    <row r="989" ht="15.75" customHeight="1">
      <c r="A989" s="13"/>
      <c r="B989" s="13"/>
      <c r="C989" s="13"/>
      <c r="D989" s="13"/>
      <c r="E989" s="13"/>
      <c r="F989" s="13"/>
    </row>
    <row r="990" ht="15.75" customHeight="1">
      <c r="A990" s="13"/>
      <c r="B990" s="13"/>
      <c r="C990" s="13"/>
      <c r="D990" s="13"/>
      <c r="E990" s="13"/>
      <c r="F990" s="13"/>
    </row>
    <row r="991" ht="15.75" customHeight="1">
      <c r="A991" s="13"/>
      <c r="B991" s="13"/>
      <c r="C991" s="13"/>
      <c r="D991" s="13"/>
      <c r="E991" s="13"/>
      <c r="F991" s="13"/>
    </row>
    <row r="992" ht="15.75" customHeight="1">
      <c r="A992" s="13"/>
      <c r="B992" s="13"/>
      <c r="C992" s="13"/>
      <c r="D992" s="13"/>
      <c r="E992" s="13"/>
      <c r="F992" s="13"/>
    </row>
    <row r="993" ht="15.75" customHeight="1">
      <c r="A993" s="13"/>
      <c r="B993" s="13"/>
      <c r="C993" s="13"/>
      <c r="D993" s="13"/>
      <c r="E993" s="13"/>
      <c r="F993" s="13"/>
    </row>
    <row r="994" ht="15.75" customHeight="1">
      <c r="A994" s="13"/>
      <c r="B994" s="13"/>
      <c r="C994" s="13"/>
      <c r="D994" s="13"/>
      <c r="E994" s="13"/>
      <c r="F994" s="13"/>
    </row>
    <row r="995" ht="15.75" customHeight="1">
      <c r="A995" s="13"/>
      <c r="B995" s="13"/>
      <c r="C995" s="13"/>
      <c r="D995" s="13"/>
      <c r="E995" s="13"/>
      <c r="F995" s="13"/>
    </row>
    <row r="996" ht="15.75" customHeight="1">
      <c r="A996" s="13"/>
      <c r="B996" s="13"/>
      <c r="C996" s="13"/>
      <c r="D996" s="13"/>
      <c r="E996" s="13"/>
      <c r="F996" s="13"/>
    </row>
    <row r="997" ht="15.75" customHeight="1">
      <c r="A997" s="13"/>
      <c r="B997" s="13"/>
      <c r="C997" s="13"/>
      <c r="D997" s="13"/>
      <c r="E997" s="13"/>
      <c r="F997" s="13"/>
    </row>
    <row r="998" ht="15.75" customHeight="1">
      <c r="A998" s="13"/>
      <c r="B998" s="13"/>
      <c r="C998" s="13"/>
      <c r="D998" s="13"/>
      <c r="E998" s="13"/>
      <c r="F998" s="13"/>
    </row>
    <row r="999" ht="15.75" customHeight="1">
      <c r="A999" s="13"/>
      <c r="B999" s="13"/>
      <c r="C999" s="13"/>
      <c r="D999" s="13"/>
      <c r="E999" s="13"/>
      <c r="F999" s="13"/>
    </row>
    <row r="1000" ht="15.75" customHeight="1">
      <c r="A1000" s="13"/>
      <c r="B1000" s="13"/>
      <c r="C1000" s="13"/>
      <c r="D1000" s="13"/>
      <c r="E1000" s="13"/>
      <c r="F1000" s="13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41.86"/>
    <col customWidth="1" min="3" max="3" width="51.14"/>
    <col customWidth="1" min="4" max="4" width="49.14"/>
    <col customWidth="1" min="5" max="5" width="23.71"/>
    <col customWidth="1" min="6" max="6" width="26.86"/>
    <col customWidth="1" min="7" max="7" width="18.0"/>
    <col customWidth="1" min="8" max="8" width="22.0"/>
    <col customWidth="1" min="9" max="26" width="8.71"/>
  </cols>
  <sheetData>
    <row r="1" ht="39.75" customHeight="1">
      <c r="A1" s="1" t="s">
        <v>89</v>
      </c>
      <c r="B1" s="2"/>
      <c r="C1" s="2"/>
      <c r="D1" s="2"/>
      <c r="E1" s="2"/>
      <c r="F1" s="2"/>
      <c r="G1" s="2"/>
      <c r="H1" s="3"/>
    </row>
    <row r="2" ht="7.5" customHeight="1">
      <c r="A2" s="4"/>
      <c r="B2" s="2"/>
      <c r="C2" s="2"/>
      <c r="D2" s="2"/>
      <c r="E2" s="2"/>
      <c r="F2" s="2"/>
      <c r="G2" s="2"/>
      <c r="H2" s="3"/>
    </row>
    <row r="3" ht="30.0" customHeight="1">
      <c r="A3" s="14" t="s">
        <v>1</v>
      </c>
      <c r="B3" s="14" t="s">
        <v>90</v>
      </c>
      <c r="C3" s="14" t="s">
        <v>91</v>
      </c>
      <c r="D3" s="14" t="s">
        <v>92</v>
      </c>
      <c r="E3" s="14" t="s">
        <v>93</v>
      </c>
      <c r="F3" s="14" t="s">
        <v>94</v>
      </c>
      <c r="G3" s="14" t="s">
        <v>4</v>
      </c>
      <c r="H3" s="14" t="s">
        <v>95</v>
      </c>
    </row>
    <row r="4" ht="21.75" customHeight="1">
      <c r="A4" s="15">
        <v>2.0</v>
      </c>
      <c r="B4" s="16" t="s">
        <v>7</v>
      </c>
      <c r="C4" s="16" t="s">
        <v>96</v>
      </c>
      <c r="D4" s="16" t="s">
        <v>97</v>
      </c>
      <c r="E4" s="17" t="s">
        <v>98</v>
      </c>
      <c r="F4" s="16">
        <v>4.620015121E9</v>
      </c>
      <c r="G4" s="16">
        <v>6.2982916484E10</v>
      </c>
      <c r="H4" s="16" t="s">
        <v>99</v>
      </c>
    </row>
    <row r="5" ht="21.75" customHeight="1">
      <c r="A5" s="15">
        <v>3.0</v>
      </c>
      <c r="B5" s="16" t="s">
        <v>11</v>
      </c>
      <c r="C5" s="16" t="s">
        <v>100</v>
      </c>
      <c r="D5" s="16" t="s">
        <v>101</v>
      </c>
      <c r="E5" s="16" t="s">
        <v>98</v>
      </c>
      <c r="F5" s="16">
        <v>8.9525591E9</v>
      </c>
      <c r="G5" s="16">
        <v>6.2998333684E10</v>
      </c>
      <c r="H5" s="16" t="s">
        <v>102</v>
      </c>
    </row>
    <row r="6" ht="21.75" customHeight="1">
      <c r="A6" s="15">
        <v>4.0</v>
      </c>
      <c r="B6" s="16" t="s">
        <v>11</v>
      </c>
      <c r="C6" s="16" t="s">
        <v>103</v>
      </c>
      <c r="D6" s="16" t="s">
        <v>101</v>
      </c>
      <c r="E6" s="16" t="s">
        <v>98</v>
      </c>
      <c r="F6" s="16">
        <v>9.63788914E9</v>
      </c>
      <c r="G6" s="16">
        <v>6.1996107028E10</v>
      </c>
      <c r="H6" s="16" t="s">
        <v>102</v>
      </c>
    </row>
    <row r="7" ht="21.75" customHeight="1">
      <c r="A7" s="15">
        <v>5.0</v>
      </c>
      <c r="B7" s="16" t="s">
        <v>11</v>
      </c>
      <c r="C7" s="16" t="s">
        <v>104</v>
      </c>
      <c r="D7" s="16" t="s">
        <v>101</v>
      </c>
      <c r="E7" s="16" t="s">
        <v>98</v>
      </c>
      <c r="F7" s="16">
        <v>8.419797154E9</v>
      </c>
      <c r="G7" s="16">
        <v>6.1992655463E10</v>
      </c>
      <c r="H7" s="16" t="s">
        <v>102</v>
      </c>
    </row>
    <row r="8" ht="21.75" customHeight="1">
      <c r="A8" s="15">
        <v>6.0</v>
      </c>
      <c r="B8" s="16" t="s">
        <v>11</v>
      </c>
      <c r="C8" s="16" t="s">
        <v>105</v>
      </c>
      <c r="D8" s="16" t="s">
        <v>101</v>
      </c>
      <c r="E8" s="16" t="s">
        <v>98</v>
      </c>
      <c r="F8" s="16">
        <v>8.07271314E9</v>
      </c>
      <c r="G8" s="16">
        <v>6.19858702161E11</v>
      </c>
      <c r="H8" s="16" t="s">
        <v>102</v>
      </c>
    </row>
    <row r="9" ht="21.75" customHeight="1">
      <c r="A9" s="15">
        <v>7.0</v>
      </c>
      <c r="B9" s="16" t="s">
        <v>15</v>
      </c>
      <c r="C9" s="16" t="s">
        <v>106</v>
      </c>
      <c r="D9" s="16" t="s">
        <v>107</v>
      </c>
      <c r="E9" s="16" t="s">
        <v>98</v>
      </c>
      <c r="F9" s="16" t="s">
        <v>108</v>
      </c>
      <c r="G9" s="16">
        <v>6.299971838E10</v>
      </c>
      <c r="H9" s="16" t="s">
        <v>99</v>
      </c>
    </row>
    <row r="10" ht="21.75" customHeight="1">
      <c r="A10" s="15">
        <v>8.0</v>
      </c>
      <c r="B10" s="16" t="s">
        <v>11</v>
      </c>
      <c r="C10" s="16" t="s">
        <v>109</v>
      </c>
      <c r="D10" s="16" t="s">
        <v>101</v>
      </c>
      <c r="E10" s="16" t="s">
        <v>98</v>
      </c>
      <c r="F10" s="16">
        <v>5.8377484153E10</v>
      </c>
      <c r="G10" s="16">
        <v>6.1998117475E10</v>
      </c>
      <c r="H10" s="16" t="s">
        <v>99</v>
      </c>
    </row>
    <row r="11" ht="21.75" customHeight="1">
      <c r="A11" s="15">
        <v>9.0</v>
      </c>
      <c r="B11" s="16" t="s">
        <v>11</v>
      </c>
      <c r="C11" s="16" t="s">
        <v>110</v>
      </c>
      <c r="D11" s="16" t="s">
        <v>101</v>
      </c>
      <c r="E11" s="16" t="s">
        <v>98</v>
      </c>
      <c r="F11" s="16">
        <v>7.899703174E9</v>
      </c>
      <c r="G11" s="16">
        <v>6.1998117475E10</v>
      </c>
      <c r="H11" s="16" t="s">
        <v>99</v>
      </c>
    </row>
    <row r="12" ht="21.75" customHeight="1">
      <c r="A12" s="15">
        <v>10.0</v>
      </c>
      <c r="B12" s="16" t="s">
        <v>11</v>
      </c>
      <c r="C12" s="16" t="s">
        <v>111</v>
      </c>
      <c r="D12" s="16" t="s">
        <v>101</v>
      </c>
      <c r="E12" s="16" t="s">
        <v>98</v>
      </c>
      <c r="F12" s="16">
        <v>7.630645139E9</v>
      </c>
      <c r="G12" s="16">
        <v>6.1984536021E10</v>
      </c>
      <c r="H12" s="16" t="s">
        <v>99</v>
      </c>
    </row>
    <row r="13" ht="21.75" customHeight="1">
      <c r="A13" s="15">
        <v>11.0</v>
      </c>
      <c r="B13" s="16" t="s">
        <v>11</v>
      </c>
      <c r="C13" s="16" t="s">
        <v>112</v>
      </c>
      <c r="D13" s="16" t="s">
        <v>101</v>
      </c>
      <c r="E13" s="16" t="s">
        <v>98</v>
      </c>
      <c r="F13" s="16">
        <v>9.092993158E9</v>
      </c>
      <c r="G13" s="16">
        <v>6.19815309541E11</v>
      </c>
      <c r="H13" s="16" t="s">
        <v>99</v>
      </c>
    </row>
    <row r="14" ht="21.75" customHeight="1">
      <c r="A14" s="15">
        <v>12.0</v>
      </c>
      <c r="B14" s="16" t="s">
        <v>11</v>
      </c>
      <c r="C14" s="16" t="s">
        <v>113</v>
      </c>
      <c r="D14" s="16" t="s">
        <v>114</v>
      </c>
      <c r="E14" s="16" t="s">
        <v>115</v>
      </c>
      <c r="F14" s="16">
        <v>9.8158961134E10</v>
      </c>
      <c r="G14" s="16">
        <v>6.19988046571E11</v>
      </c>
      <c r="H14" s="16" t="s">
        <v>99</v>
      </c>
    </row>
    <row r="15" ht="21.75" customHeight="1">
      <c r="A15" s="15">
        <v>13.0</v>
      </c>
      <c r="B15" s="16" t="s">
        <v>11</v>
      </c>
      <c r="C15" s="16" t="s">
        <v>116</v>
      </c>
      <c r="D15" s="16" t="s">
        <v>101</v>
      </c>
      <c r="E15" s="16" t="s">
        <v>98</v>
      </c>
      <c r="F15" s="16">
        <v>6.9755167153E10</v>
      </c>
      <c r="G15" s="16">
        <v>6.1992512129E10</v>
      </c>
      <c r="H15" s="16" t="s">
        <v>99</v>
      </c>
    </row>
    <row r="16" ht="21.75" customHeight="1">
      <c r="A16" s="15">
        <v>14.0</v>
      </c>
      <c r="B16" s="16" t="s">
        <v>11</v>
      </c>
      <c r="C16" s="16" t="s">
        <v>117</v>
      </c>
      <c r="D16" s="16" t="s">
        <v>101</v>
      </c>
      <c r="E16" s="16" t="s">
        <v>98</v>
      </c>
      <c r="F16" s="16">
        <v>2.673333312E9</v>
      </c>
      <c r="G16" s="16">
        <v>6.1981746685E10</v>
      </c>
      <c r="H16" s="16" t="s">
        <v>99</v>
      </c>
    </row>
    <row r="17" ht="21.75" customHeight="1">
      <c r="A17" s="15">
        <v>15.0</v>
      </c>
      <c r="B17" s="16" t="s">
        <v>11</v>
      </c>
      <c r="C17" s="16" t="s">
        <v>118</v>
      </c>
      <c r="D17" s="16" t="s">
        <v>101</v>
      </c>
      <c r="E17" s="16" t="s">
        <v>98</v>
      </c>
      <c r="F17" s="16">
        <v>3.078304116E9</v>
      </c>
      <c r="G17" s="16">
        <v>6.2993467519E10</v>
      </c>
      <c r="H17" s="16" t="s">
        <v>99</v>
      </c>
    </row>
    <row r="18" ht="21.75" customHeight="1">
      <c r="A18" s="15">
        <v>16.0</v>
      </c>
      <c r="B18" s="16" t="s">
        <v>11</v>
      </c>
      <c r="C18" s="16" t="s">
        <v>119</v>
      </c>
      <c r="D18" s="16" t="s">
        <v>101</v>
      </c>
      <c r="E18" s="16" t="s">
        <v>98</v>
      </c>
      <c r="F18" s="16" t="s">
        <v>120</v>
      </c>
      <c r="G18" s="16">
        <v>6.1991318333E10</v>
      </c>
      <c r="H18" s="16" t="s">
        <v>99</v>
      </c>
    </row>
    <row r="19" ht="21.75" customHeight="1">
      <c r="A19" s="15">
        <v>17.0</v>
      </c>
      <c r="B19" s="16" t="s">
        <v>11</v>
      </c>
      <c r="C19" s="16" t="s">
        <v>121</v>
      </c>
      <c r="D19" s="16" t="s">
        <v>101</v>
      </c>
      <c r="E19" s="16" t="s">
        <v>98</v>
      </c>
      <c r="F19" s="16">
        <v>1.2716279497E10</v>
      </c>
      <c r="G19" s="16">
        <v>6.1982376265E10</v>
      </c>
      <c r="H19" s="16" t="s">
        <v>99</v>
      </c>
    </row>
    <row r="20" ht="21.75" customHeight="1">
      <c r="A20" s="18">
        <v>18.0</v>
      </c>
      <c r="B20" s="16" t="s">
        <v>11</v>
      </c>
      <c r="C20" s="16" t="s">
        <v>122</v>
      </c>
      <c r="D20" s="16" t="s">
        <v>101</v>
      </c>
      <c r="E20" s="16" t="s">
        <v>98</v>
      </c>
      <c r="F20" s="16">
        <v>7.235181141E9</v>
      </c>
      <c r="G20" s="16">
        <v>6.199670439E10</v>
      </c>
      <c r="H20" s="16" t="s">
        <v>99</v>
      </c>
    </row>
    <row r="21" ht="21.75" customHeight="1">
      <c r="A21" s="19">
        <v>19.0</v>
      </c>
      <c r="B21" s="20" t="s">
        <v>11</v>
      </c>
      <c r="C21" s="16" t="s">
        <v>123</v>
      </c>
      <c r="D21" s="16" t="s">
        <v>101</v>
      </c>
      <c r="E21" s="16" t="s">
        <v>98</v>
      </c>
      <c r="F21" s="16">
        <v>7.372119111E9</v>
      </c>
      <c r="G21" s="16">
        <v>6.1995712311E10</v>
      </c>
      <c r="H21" s="16" t="s">
        <v>99</v>
      </c>
    </row>
    <row r="22" ht="21.75" customHeight="1">
      <c r="A22" s="19">
        <v>20.0</v>
      </c>
      <c r="B22" s="20" t="s">
        <v>11</v>
      </c>
      <c r="C22" s="16" t="s">
        <v>124</v>
      </c>
      <c r="D22" s="16" t="s">
        <v>101</v>
      </c>
      <c r="E22" s="16" t="s">
        <v>98</v>
      </c>
      <c r="F22" s="16">
        <v>2.941450106E9</v>
      </c>
      <c r="G22" s="16">
        <v>6.1993972049E10</v>
      </c>
      <c r="H22" s="16" t="s">
        <v>99</v>
      </c>
    </row>
    <row r="23" ht="21.75" customHeight="1">
      <c r="A23" s="19">
        <v>21.0</v>
      </c>
      <c r="B23" s="20" t="s">
        <v>11</v>
      </c>
      <c r="C23" s="16" t="s">
        <v>125</v>
      </c>
      <c r="D23" s="16" t="s">
        <v>101</v>
      </c>
      <c r="E23" s="16" t="s">
        <v>98</v>
      </c>
      <c r="F23" s="16">
        <v>9.829266184E9</v>
      </c>
      <c r="G23" s="16">
        <v>6.1993159807E10</v>
      </c>
      <c r="H23" s="16" t="s">
        <v>99</v>
      </c>
    </row>
    <row r="24" ht="21.75" customHeight="1">
      <c r="A24" s="21">
        <v>22.0</v>
      </c>
      <c r="B24" s="20" t="s">
        <v>11</v>
      </c>
      <c r="C24" s="16" t="s">
        <v>126</v>
      </c>
      <c r="D24" s="16" t="s">
        <v>101</v>
      </c>
      <c r="E24" s="16" t="s">
        <v>98</v>
      </c>
      <c r="F24" s="16" t="s">
        <v>127</v>
      </c>
      <c r="G24" s="16">
        <v>6.1998524652E10</v>
      </c>
      <c r="H24" s="16" t="s">
        <v>99</v>
      </c>
    </row>
    <row r="25" ht="21.75" customHeight="1">
      <c r="A25" s="21">
        <v>23.0</v>
      </c>
      <c r="B25" s="20" t="s">
        <v>11</v>
      </c>
      <c r="C25" s="16" t="s">
        <v>128</v>
      </c>
      <c r="D25" s="16" t="s">
        <v>101</v>
      </c>
      <c r="E25" s="16" t="s">
        <v>98</v>
      </c>
      <c r="F25" s="16">
        <v>8.480857102E9</v>
      </c>
      <c r="G25" s="16">
        <v>6.8974008638E10</v>
      </c>
      <c r="H25" s="16" t="s">
        <v>99</v>
      </c>
    </row>
    <row r="26" ht="21.75" customHeight="1">
      <c r="A26" s="19">
        <v>24.0</v>
      </c>
      <c r="B26" s="20" t="s">
        <v>18</v>
      </c>
      <c r="C26" s="16" t="s">
        <v>129</v>
      </c>
      <c r="D26" s="16" t="s">
        <v>130</v>
      </c>
      <c r="E26" s="16" t="s">
        <v>98</v>
      </c>
      <c r="F26" s="16">
        <v>7.1041320177E10</v>
      </c>
      <c r="G26" s="16">
        <v>6.2994398006E10</v>
      </c>
      <c r="H26" s="16" t="s">
        <v>99</v>
      </c>
    </row>
    <row r="27" ht="21.75" customHeight="1">
      <c r="A27" s="19">
        <v>25.0</v>
      </c>
      <c r="B27" s="20" t="s">
        <v>18</v>
      </c>
      <c r="C27" s="16" t="s">
        <v>131</v>
      </c>
      <c r="D27" s="16" t="s">
        <v>114</v>
      </c>
      <c r="E27" s="16" t="s">
        <v>115</v>
      </c>
      <c r="F27" s="16">
        <v>3.325063209E9</v>
      </c>
      <c r="G27" s="16">
        <v>6.1982032161E10</v>
      </c>
      <c r="H27" s="16" t="s">
        <v>99</v>
      </c>
    </row>
    <row r="28" ht="21.75" customHeight="1">
      <c r="A28" s="19">
        <v>26.0</v>
      </c>
      <c r="B28" s="20" t="s">
        <v>18</v>
      </c>
      <c r="C28" s="16" t="s">
        <v>132</v>
      </c>
      <c r="D28" s="16" t="s">
        <v>130</v>
      </c>
      <c r="E28" s="16" t="s">
        <v>98</v>
      </c>
      <c r="F28" s="16">
        <v>2.76839811E9</v>
      </c>
      <c r="G28" s="16">
        <v>6.2982800037E10</v>
      </c>
      <c r="H28" s="16" t="s">
        <v>99</v>
      </c>
    </row>
    <row r="29" ht="21.75" customHeight="1">
      <c r="A29" s="19">
        <v>27.0</v>
      </c>
      <c r="B29" s="20" t="s">
        <v>21</v>
      </c>
      <c r="C29" s="16" t="s">
        <v>133</v>
      </c>
      <c r="D29" s="16" t="s">
        <v>134</v>
      </c>
      <c r="E29" s="16" t="s">
        <v>98</v>
      </c>
      <c r="F29" s="16">
        <v>3.8086379191E10</v>
      </c>
      <c r="G29" s="16">
        <v>6.2991017458E10</v>
      </c>
      <c r="H29" s="16" t="s">
        <v>99</v>
      </c>
    </row>
    <row r="30" ht="21.75" customHeight="1">
      <c r="A30" s="21">
        <v>28.0</v>
      </c>
      <c r="B30" s="20" t="s">
        <v>21</v>
      </c>
      <c r="C30" s="16" t="s">
        <v>135</v>
      </c>
      <c r="D30" s="16" t="s">
        <v>134</v>
      </c>
      <c r="E30" s="16" t="s">
        <v>98</v>
      </c>
      <c r="F30" s="16">
        <v>8.3961712115E10</v>
      </c>
      <c r="G30" s="16">
        <v>6.2984819874E10</v>
      </c>
      <c r="H30" s="16" t="s">
        <v>99</v>
      </c>
    </row>
    <row r="31" ht="21.75" customHeight="1">
      <c r="A31" s="21">
        <v>29.0</v>
      </c>
      <c r="B31" s="20" t="s">
        <v>22</v>
      </c>
      <c r="C31" s="16" t="s">
        <v>136</v>
      </c>
      <c r="D31" s="16" t="s">
        <v>137</v>
      </c>
      <c r="E31" s="16" t="s">
        <v>98</v>
      </c>
      <c r="F31" s="16">
        <v>6.9557764104E10</v>
      </c>
      <c r="G31" s="16">
        <v>6.2994720044E10</v>
      </c>
      <c r="H31" s="16" t="s">
        <v>99</v>
      </c>
    </row>
    <row r="32" ht="21.75" customHeight="1">
      <c r="A32" s="19">
        <v>30.0</v>
      </c>
      <c r="B32" s="20" t="s">
        <v>15</v>
      </c>
      <c r="C32" s="16" t="s">
        <v>138</v>
      </c>
      <c r="D32" s="16" t="s">
        <v>139</v>
      </c>
      <c r="E32" s="16" t="s">
        <v>98</v>
      </c>
      <c r="F32" s="16">
        <v>7.11022152E8</v>
      </c>
      <c r="G32" s="15"/>
      <c r="H32" s="16" t="s">
        <v>99</v>
      </c>
    </row>
    <row r="33" ht="21.75" customHeight="1">
      <c r="A33" s="19">
        <v>31.0</v>
      </c>
      <c r="B33" s="20" t="s">
        <v>23</v>
      </c>
      <c r="C33" s="16" t="s">
        <v>140</v>
      </c>
      <c r="D33" s="16" t="s">
        <v>141</v>
      </c>
      <c r="E33" s="16" t="s">
        <v>98</v>
      </c>
      <c r="F33" s="16">
        <v>9.08970137E8</v>
      </c>
      <c r="G33" s="16">
        <v>6.2998060973E10</v>
      </c>
      <c r="H33" s="16" t="s">
        <v>99</v>
      </c>
    </row>
    <row r="34" ht="21.75" customHeight="1">
      <c r="A34" s="19">
        <v>32.0</v>
      </c>
      <c r="B34" s="20" t="s">
        <v>23</v>
      </c>
      <c r="C34" s="16" t="s">
        <v>142</v>
      </c>
      <c r="D34" s="16" t="s">
        <v>141</v>
      </c>
      <c r="E34" s="16" t="s">
        <v>98</v>
      </c>
      <c r="F34" s="16">
        <v>6.530814132E9</v>
      </c>
      <c r="G34" s="16">
        <v>6.2994417671E10</v>
      </c>
      <c r="H34" s="16" t="s">
        <v>99</v>
      </c>
    </row>
    <row r="35" ht="21.75" customHeight="1">
      <c r="A35" s="19">
        <v>33.0</v>
      </c>
      <c r="B35" s="22"/>
      <c r="C35" s="16" t="s">
        <v>143</v>
      </c>
      <c r="D35" s="16" t="s">
        <v>144</v>
      </c>
      <c r="E35" s="16" t="s">
        <v>98</v>
      </c>
      <c r="F35" s="16">
        <v>8.54518193E8</v>
      </c>
      <c r="G35" s="16">
        <v>6.2982259494E10</v>
      </c>
      <c r="H35" s="16" t="s">
        <v>99</v>
      </c>
    </row>
    <row r="36" ht="27.75" customHeight="1">
      <c r="A36" s="21">
        <v>34.0</v>
      </c>
      <c r="B36" s="20" t="s">
        <v>24</v>
      </c>
      <c r="C36" s="23" t="s">
        <v>145</v>
      </c>
      <c r="D36" s="23" t="s">
        <v>146</v>
      </c>
      <c r="E36" s="16" t="s">
        <v>98</v>
      </c>
      <c r="F36" s="24" t="s">
        <v>147</v>
      </c>
      <c r="G36" s="15"/>
      <c r="H36" s="16" t="s">
        <v>99</v>
      </c>
    </row>
    <row r="37" ht="21.75" customHeight="1">
      <c r="A37" s="21">
        <v>35.0</v>
      </c>
      <c r="B37" s="20" t="s">
        <v>24</v>
      </c>
      <c r="C37" s="23" t="s">
        <v>148</v>
      </c>
      <c r="D37" s="23" t="s">
        <v>146</v>
      </c>
      <c r="E37" s="16" t="s">
        <v>98</v>
      </c>
      <c r="F37" s="23" t="s">
        <v>149</v>
      </c>
      <c r="G37" s="15"/>
      <c r="H37" s="16" t="s">
        <v>99</v>
      </c>
    </row>
    <row r="38" ht="21.75" customHeight="1">
      <c r="A38" s="19">
        <v>36.0</v>
      </c>
      <c r="B38" s="20" t="s">
        <v>24</v>
      </c>
      <c r="C38" s="23" t="s">
        <v>150</v>
      </c>
      <c r="D38" s="23" t="s">
        <v>151</v>
      </c>
      <c r="E38" s="16" t="s">
        <v>98</v>
      </c>
      <c r="F38" s="24" t="s">
        <v>152</v>
      </c>
      <c r="G38" s="15"/>
      <c r="H38" s="16" t="s">
        <v>99</v>
      </c>
    </row>
    <row r="39" ht="21.75" customHeight="1">
      <c r="A39" s="19">
        <v>37.0</v>
      </c>
      <c r="B39" s="20" t="s">
        <v>24</v>
      </c>
      <c r="C39" s="23" t="s">
        <v>153</v>
      </c>
      <c r="D39" s="23" t="s">
        <v>151</v>
      </c>
      <c r="E39" s="16" t="s">
        <v>98</v>
      </c>
      <c r="F39" s="24" t="s">
        <v>154</v>
      </c>
      <c r="G39" s="15"/>
      <c r="H39" s="16" t="s">
        <v>99</v>
      </c>
    </row>
    <row r="40" ht="21.75" customHeight="1">
      <c r="A40" s="19">
        <v>38.0</v>
      </c>
      <c r="B40" s="20" t="s">
        <v>24</v>
      </c>
      <c r="C40" s="23" t="s">
        <v>155</v>
      </c>
      <c r="D40" s="23" t="s">
        <v>151</v>
      </c>
      <c r="E40" s="16" t="s">
        <v>98</v>
      </c>
      <c r="F40" s="24" t="s">
        <v>156</v>
      </c>
      <c r="G40" s="15"/>
      <c r="H40" s="16" t="s">
        <v>99</v>
      </c>
    </row>
    <row r="41" ht="21.75" customHeight="1">
      <c r="A41" s="19">
        <v>39.0</v>
      </c>
      <c r="B41" s="20" t="s">
        <v>24</v>
      </c>
      <c r="C41" s="23" t="s">
        <v>157</v>
      </c>
      <c r="D41" s="23" t="s">
        <v>151</v>
      </c>
      <c r="E41" s="16" t="s">
        <v>98</v>
      </c>
      <c r="F41" s="24" t="s">
        <v>158</v>
      </c>
      <c r="G41" s="15"/>
      <c r="H41" s="16" t="s">
        <v>99</v>
      </c>
    </row>
    <row r="42" ht="21.75" customHeight="1">
      <c r="A42" s="21">
        <v>40.0</v>
      </c>
      <c r="B42" s="20" t="s">
        <v>24</v>
      </c>
      <c r="C42" s="23" t="s">
        <v>159</v>
      </c>
      <c r="D42" s="23" t="s">
        <v>151</v>
      </c>
      <c r="E42" s="16" t="s">
        <v>98</v>
      </c>
      <c r="F42" s="24" t="s">
        <v>160</v>
      </c>
      <c r="G42" s="15"/>
      <c r="H42" s="16" t="s">
        <v>99</v>
      </c>
    </row>
    <row r="43" ht="21.75" customHeight="1">
      <c r="A43" s="21">
        <v>41.0</v>
      </c>
      <c r="B43" s="20" t="s">
        <v>24</v>
      </c>
      <c r="C43" s="23" t="s">
        <v>161</v>
      </c>
      <c r="D43" s="23" t="s">
        <v>146</v>
      </c>
      <c r="E43" s="16" t="s">
        <v>98</v>
      </c>
      <c r="F43" s="24" t="s">
        <v>162</v>
      </c>
      <c r="G43" s="15"/>
      <c r="H43" s="16" t="s">
        <v>99</v>
      </c>
    </row>
    <row r="44" ht="21.75" customHeight="1">
      <c r="A44" s="19">
        <v>42.0</v>
      </c>
      <c r="B44" s="20" t="s">
        <v>24</v>
      </c>
      <c r="C44" s="23" t="s">
        <v>163</v>
      </c>
      <c r="D44" s="23" t="s">
        <v>151</v>
      </c>
      <c r="E44" s="16" t="s">
        <v>98</v>
      </c>
      <c r="F44" s="24" t="s">
        <v>164</v>
      </c>
      <c r="G44" s="15"/>
      <c r="H44" s="16" t="s">
        <v>99</v>
      </c>
    </row>
    <row r="45" ht="21.75" customHeight="1">
      <c r="A45" s="19">
        <v>43.0</v>
      </c>
      <c r="B45" s="20" t="s">
        <v>24</v>
      </c>
      <c r="C45" s="23" t="s">
        <v>165</v>
      </c>
      <c r="D45" s="23" t="s">
        <v>146</v>
      </c>
      <c r="E45" s="16" t="s">
        <v>98</v>
      </c>
      <c r="F45" s="23" t="s">
        <v>166</v>
      </c>
      <c r="G45" s="15"/>
      <c r="H45" s="16" t="s">
        <v>99</v>
      </c>
    </row>
    <row r="46" ht="21.75" customHeight="1">
      <c r="A46" s="19">
        <v>44.0</v>
      </c>
      <c r="B46" s="20" t="s">
        <v>24</v>
      </c>
      <c r="C46" s="23" t="s">
        <v>167</v>
      </c>
      <c r="D46" s="23" t="s">
        <v>146</v>
      </c>
      <c r="E46" s="16" t="s">
        <v>98</v>
      </c>
      <c r="F46" s="24" t="s">
        <v>168</v>
      </c>
      <c r="G46" s="15"/>
      <c r="H46" s="16" t="s">
        <v>99</v>
      </c>
    </row>
    <row r="47" ht="21.75" customHeight="1">
      <c r="A47" s="19">
        <v>45.0</v>
      </c>
      <c r="B47" s="20" t="s">
        <v>24</v>
      </c>
      <c r="C47" s="23" t="s">
        <v>169</v>
      </c>
      <c r="D47" s="23" t="s">
        <v>170</v>
      </c>
      <c r="E47" s="16" t="s">
        <v>98</v>
      </c>
      <c r="F47" s="23" t="s">
        <v>171</v>
      </c>
      <c r="G47" s="15"/>
      <c r="H47" s="16" t="s">
        <v>99</v>
      </c>
    </row>
    <row r="48" ht="21.75" customHeight="1">
      <c r="A48" s="21">
        <v>46.0</v>
      </c>
      <c r="B48" s="20" t="s">
        <v>24</v>
      </c>
      <c r="C48" s="23" t="s">
        <v>172</v>
      </c>
      <c r="D48" s="23" t="s">
        <v>173</v>
      </c>
      <c r="E48" s="16" t="s">
        <v>115</v>
      </c>
      <c r="F48" s="24" t="s">
        <v>108</v>
      </c>
      <c r="G48" s="15"/>
      <c r="H48" s="16" t="s">
        <v>99</v>
      </c>
    </row>
    <row r="49" ht="21.75" customHeight="1">
      <c r="A49" s="21">
        <v>47.0</v>
      </c>
      <c r="B49" s="20" t="s">
        <v>24</v>
      </c>
      <c r="C49" s="23" t="s">
        <v>174</v>
      </c>
      <c r="D49" s="23" t="s">
        <v>173</v>
      </c>
      <c r="E49" s="16" t="s">
        <v>115</v>
      </c>
      <c r="F49" s="24" t="s">
        <v>175</v>
      </c>
      <c r="G49" s="15"/>
      <c r="H49" s="16" t="s">
        <v>99</v>
      </c>
    </row>
    <row r="50" ht="21.75" customHeight="1">
      <c r="A50" s="19">
        <v>48.0</v>
      </c>
      <c r="B50" s="20" t="s">
        <v>18</v>
      </c>
      <c r="C50" s="16" t="s">
        <v>176</v>
      </c>
      <c r="D50" s="16" t="s">
        <v>177</v>
      </c>
      <c r="E50" s="16" t="s">
        <v>98</v>
      </c>
      <c r="F50" s="16" t="s">
        <v>178</v>
      </c>
      <c r="G50" s="15"/>
      <c r="H50" s="16" t="s">
        <v>99</v>
      </c>
    </row>
    <row r="51" ht="21.75" customHeight="1">
      <c r="A51" s="19">
        <v>49.0</v>
      </c>
      <c r="B51" s="20" t="s">
        <v>18</v>
      </c>
      <c r="C51" s="16" t="s">
        <v>129</v>
      </c>
      <c r="D51" s="16" t="s">
        <v>177</v>
      </c>
      <c r="E51" s="16" t="s">
        <v>98</v>
      </c>
      <c r="F51" s="16" t="s">
        <v>179</v>
      </c>
      <c r="G51" s="15"/>
      <c r="H51" s="16" t="s">
        <v>99</v>
      </c>
    </row>
    <row r="52" ht="21.75" customHeight="1">
      <c r="A52" s="19">
        <v>50.0</v>
      </c>
      <c r="B52" s="20" t="s">
        <v>18</v>
      </c>
      <c r="C52" s="16" t="s">
        <v>180</v>
      </c>
      <c r="D52" s="16" t="s">
        <v>114</v>
      </c>
      <c r="E52" s="16" t="s">
        <v>115</v>
      </c>
      <c r="F52" s="16" t="s">
        <v>181</v>
      </c>
      <c r="G52" s="15"/>
      <c r="H52" s="16" t="s">
        <v>99</v>
      </c>
    </row>
    <row r="53" ht="21.75" customHeight="1">
      <c r="A53" s="19">
        <v>51.0</v>
      </c>
      <c r="B53" s="20" t="s">
        <v>18</v>
      </c>
      <c r="C53" s="16" t="s">
        <v>182</v>
      </c>
      <c r="D53" s="16" t="s">
        <v>114</v>
      </c>
      <c r="E53" s="16" t="s">
        <v>115</v>
      </c>
      <c r="F53" s="16" t="s">
        <v>183</v>
      </c>
      <c r="G53" s="15"/>
      <c r="H53" s="16" t="s">
        <v>99</v>
      </c>
    </row>
    <row r="54" ht="21.75" customHeight="1">
      <c r="A54" s="21">
        <v>52.0</v>
      </c>
      <c r="B54" s="20" t="s">
        <v>22</v>
      </c>
      <c r="C54" s="16" t="s">
        <v>184</v>
      </c>
      <c r="D54" s="16" t="s">
        <v>137</v>
      </c>
      <c r="E54" s="16" t="s">
        <v>98</v>
      </c>
      <c r="F54" s="16">
        <v>2.544500166E9</v>
      </c>
      <c r="G54" s="16">
        <v>6.2991995786E10</v>
      </c>
      <c r="H54" s="16" t="s">
        <v>99</v>
      </c>
    </row>
    <row r="55" ht="21.75" customHeight="1">
      <c r="A55" s="21">
        <v>53.0</v>
      </c>
      <c r="B55" s="20" t="s">
        <v>11</v>
      </c>
      <c r="C55" s="16" t="s">
        <v>185</v>
      </c>
      <c r="D55" s="16" t="s">
        <v>186</v>
      </c>
      <c r="E55" s="16" t="s">
        <v>98</v>
      </c>
      <c r="F55" s="16">
        <v>1.3187029642E10</v>
      </c>
      <c r="G55" s="16">
        <v>6.1999563881E10</v>
      </c>
      <c r="H55" s="16" t="s">
        <v>99</v>
      </c>
    </row>
    <row r="56" ht="21.75" customHeight="1">
      <c r="A56" s="19">
        <v>54.0</v>
      </c>
      <c r="B56" s="20" t="s">
        <v>21</v>
      </c>
      <c r="C56" s="16" t="s">
        <v>187</v>
      </c>
      <c r="D56" s="16" t="s">
        <v>188</v>
      </c>
      <c r="E56" s="16" t="s">
        <v>98</v>
      </c>
      <c r="F56" s="16">
        <v>6.1204994153E10</v>
      </c>
      <c r="G56" s="16">
        <v>6.2981824613E10</v>
      </c>
      <c r="H56" s="16" t="s">
        <v>99</v>
      </c>
    </row>
    <row r="57" ht="21.75" customHeight="1">
      <c r="A57" s="19">
        <v>55.0</v>
      </c>
      <c r="B57" s="20" t="s">
        <v>11</v>
      </c>
      <c r="C57" s="16" t="s">
        <v>189</v>
      </c>
      <c r="D57" s="16" t="s">
        <v>190</v>
      </c>
      <c r="E57" s="16" t="s">
        <v>115</v>
      </c>
      <c r="F57" s="16">
        <v>9.0732804191E10</v>
      </c>
      <c r="G57" s="16">
        <v>6.199609202E10</v>
      </c>
      <c r="H57" s="16" t="s">
        <v>99</v>
      </c>
    </row>
    <row r="58" ht="21.75" customHeight="1">
      <c r="A58" s="19">
        <v>56.0</v>
      </c>
      <c r="B58" s="20" t="s">
        <v>23</v>
      </c>
      <c r="C58" s="16" t="s">
        <v>191</v>
      </c>
      <c r="D58" s="16" t="s">
        <v>141</v>
      </c>
      <c r="E58" s="16" t="s">
        <v>98</v>
      </c>
      <c r="F58" s="16">
        <v>1.494935171E9</v>
      </c>
      <c r="G58" s="16">
        <v>6.2993618317E10</v>
      </c>
      <c r="H58" s="16" t="s">
        <v>99</v>
      </c>
    </row>
    <row r="59" ht="21.75" customHeight="1">
      <c r="A59" s="19">
        <v>57.0</v>
      </c>
      <c r="B59" s="20" t="s">
        <v>28</v>
      </c>
      <c r="C59" s="16" t="s">
        <v>192</v>
      </c>
      <c r="D59" s="16" t="s">
        <v>193</v>
      </c>
      <c r="E59" s="16" t="s">
        <v>98</v>
      </c>
      <c r="F59" s="16">
        <v>3.727468106E9</v>
      </c>
      <c r="G59" s="15"/>
      <c r="H59" s="16" t="s">
        <v>99</v>
      </c>
    </row>
    <row r="60" ht="21.75" customHeight="1">
      <c r="A60" s="21">
        <v>58.0</v>
      </c>
      <c r="B60" s="20" t="s">
        <v>28</v>
      </c>
      <c r="C60" s="16" t="s">
        <v>194</v>
      </c>
      <c r="D60" s="16" t="s">
        <v>195</v>
      </c>
      <c r="E60" s="16" t="s">
        <v>98</v>
      </c>
      <c r="F60" s="16">
        <v>1.155452127E9</v>
      </c>
      <c r="G60" s="15"/>
      <c r="H60" s="16" t="s">
        <v>99</v>
      </c>
    </row>
    <row r="61" ht="21.75" customHeight="1">
      <c r="A61" s="21">
        <v>59.0</v>
      </c>
      <c r="B61" s="20" t="s">
        <v>28</v>
      </c>
      <c r="C61" s="16" t="s">
        <v>196</v>
      </c>
      <c r="D61" s="16" t="s">
        <v>197</v>
      </c>
      <c r="E61" s="16" t="s">
        <v>115</v>
      </c>
      <c r="F61" s="16">
        <v>7.0385059124E10</v>
      </c>
      <c r="G61" s="15"/>
      <c r="H61" s="16" t="s">
        <v>99</v>
      </c>
    </row>
    <row r="62" ht="21.75" customHeight="1">
      <c r="A62" s="19">
        <v>60.0</v>
      </c>
      <c r="B62" s="22"/>
      <c r="C62" s="16" t="s">
        <v>198</v>
      </c>
      <c r="D62" s="16" t="s">
        <v>199</v>
      </c>
      <c r="E62" s="16" t="s">
        <v>98</v>
      </c>
      <c r="F62" s="16">
        <v>7.433872604E9</v>
      </c>
      <c r="G62" s="16">
        <v>6.298142807E10</v>
      </c>
      <c r="H62" s="16" t="s">
        <v>99</v>
      </c>
    </row>
    <row r="63" ht="21.75" customHeight="1">
      <c r="A63" s="19">
        <v>61.0</v>
      </c>
      <c r="B63" s="20" t="s">
        <v>21</v>
      </c>
      <c r="C63" s="16" t="s">
        <v>200</v>
      </c>
      <c r="D63" s="16" t="s">
        <v>201</v>
      </c>
      <c r="E63" s="16" t="s">
        <v>98</v>
      </c>
      <c r="F63" s="16" t="s">
        <v>202</v>
      </c>
      <c r="G63" s="15"/>
      <c r="H63" s="16" t="s">
        <v>99</v>
      </c>
    </row>
    <row r="64" ht="21.75" customHeight="1">
      <c r="A64" s="19">
        <v>62.0</v>
      </c>
      <c r="B64" s="20" t="s">
        <v>21</v>
      </c>
      <c r="C64" s="16" t="s">
        <v>203</v>
      </c>
      <c r="D64" s="16" t="s">
        <v>204</v>
      </c>
      <c r="E64" s="16" t="s">
        <v>98</v>
      </c>
      <c r="F64" s="16" t="s">
        <v>205</v>
      </c>
      <c r="G64" s="15"/>
      <c r="H64" s="16" t="s">
        <v>99</v>
      </c>
    </row>
    <row r="65" ht="21.75" customHeight="1">
      <c r="A65" s="19">
        <v>63.0</v>
      </c>
      <c r="B65" s="20" t="s">
        <v>21</v>
      </c>
      <c r="C65" s="16" t="s">
        <v>206</v>
      </c>
      <c r="D65" s="16" t="s">
        <v>204</v>
      </c>
      <c r="E65" s="16" t="s">
        <v>98</v>
      </c>
      <c r="F65" s="16" t="s">
        <v>207</v>
      </c>
      <c r="G65" s="15"/>
      <c r="H65" s="16" t="s">
        <v>99</v>
      </c>
    </row>
    <row r="66" ht="21.75" customHeight="1">
      <c r="A66" s="21">
        <v>64.0</v>
      </c>
      <c r="B66" s="20" t="s">
        <v>29</v>
      </c>
      <c r="C66" s="16" t="s">
        <v>208</v>
      </c>
      <c r="D66" s="16" t="s">
        <v>209</v>
      </c>
      <c r="E66" s="16" t="s">
        <v>98</v>
      </c>
      <c r="F66" s="16">
        <v>2.111032174E9</v>
      </c>
      <c r="G66" s="16">
        <v>6.2999254758E10</v>
      </c>
      <c r="H66" s="16" t="s">
        <v>99</v>
      </c>
    </row>
    <row r="67" ht="21.75" customHeight="1">
      <c r="A67" s="21">
        <v>65.0</v>
      </c>
      <c r="B67" s="20" t="s">
        <v>30</v>
      </c>
      <c r="C67" s="16" t="s">
        <v>210</v>
      </c>
      <c r="D67" s="16" t="s">
        <v>211</v>
      </c>
      <c r="E67" s="16" t="s">
        <v>115</v>
      </c>
      <c r="F67" s="16">
        <v>7.3398349153E10</v>
      </c>
      <c r="G67" s="16">
        <v>6.2981170095E10</v>
      </c>
      <c r="H67" s="16" t="s">
        <v>99</v>
      </c>
    </row>
    <row r="68" ht="21.75" customHeight="1">
      <c r="A68" s="19">
        <v>66.0</v>
      </c>
      <c r="B68" s="20" t="s">
        <v>30</v>
      </c>
      <c r="C68" s="16" t="s">
        <v>212</v>
      </c>
      <c r="D68" s="16" t="s">
        <v>211</v>
      </c>
      <c r="E68" s="16" t="s">
        <v>98</v>
      </c>
      <c r="F68" s="16">
        <v>4.7621320125E10</v>
      </c>
      <c r="G68" s="16">
        <v>6.2992741778E10</v>
      </c>
      <c r="H68" s="16" t="s">
        <v>99</v>
      </c>
    </row>
    <row r="69" ht="21.75" customHeight="1">
      <c r="A69" s="19">
        <v>67.0</v>
      </c>
      <c r="B69" s="20" t="s">
        <v>22</v>
      </c>
      <c r="C69" s="16" t="s">
        <v>213</v>
      </c>
      <c r="D69" s="16" t="s">
        <v>214</v>
      </c>
      <c r="E69" s="16" t="s">
        <v>98</v>
      </c>
      <c r="F69" s="16">
        <v>7.0027435113E10</v>
      </c>
      <c r="G69" s="16">
        <v>6.2992629872E10</v>
      </c>
      <c r="H69" s="16" t="s">
        <v>99</v>
      </c>
    </row>
    <row r="70" ht="21.75" customHeight="1">
      <c r="A70" s="19">
        <v>68.0</v>
      </c>
      <c r="B70" s="20" t="s">
        <v>35</v>
      </c>
      <c r="C70" s="16" t="s">
        <v>215</v>
      </c>
      <c r="D70" s="16" t="s">
        <v>216</v>
      </c>
      <c r="E70" s="16" t="s">
        <v>98</v>
      </c>
      <c r="F70" s="16">
        <v>2.794347152E9</v>
      </c>
      <c r="G70" s="16">
        <v>6.2991231243E10</v>
      </c>
      <c r="H70" s="16" t="s">
        <v>99</v>
      </c>
    </row>
    <row r="71" ht="21.75" customHeight="1">
      <c r="A71" s="19">
        <v>69.0</v>
      </c>
      <c r="B71" s="20" t="s">
        <v>21</v>
      </c>
      <c r="C71" s="16" t="s">
        <v>217</v>
      </c>
      <c r="D71" s="16" t="s">
        <v>218</v>
      </c>
      <c r="E71" s="16" t="s">
        <v>115</v>
      </c>
      <c r="F71" s="16">
        <v>6.9940800134E10</v>
      </c>
      <c r="G71" s="16">
        <v>6.2984620667E10</v>
      </c>
      <c r="H71" s="16" t="s">
        <v>99</v>
      </c>
    </row>
    <row r="72" ht="21.75" customHeight="1">
      <c r="A72" s="21">
        <v>70.0</v>
      </c>
      <c r="B72" s="20" t="s">
        <v>21</v>
      </c>
      <c r="C72" s="16" t="s">
        <v>219</v>
      </c>
      <c r="D72" s="16" t="s">
        <v>218</v>
      </c>
      <c r="E72" s="16" t="s">
        <v>115</v>
      </c>
      <c r="F72" s="16">
        <v>3.5487666172E10</v>
      </c>
      <c r="G72" s="16">
        <v>6.2999555696E10</v>
      </c>
      <c r="H72" s="16" t="s">
        <v>99</v>
      </c>
    </row>
    <row r="73" ht="21.75" customHeight="1">
      <c r="A73" s="21">
        <v>71.0</v>
      </c>
      <c r="B73" s="20" t="s">
        <v>31</v>
      </c>
      <c r="C73" s="16" t="s">
        <v>220</v>
      </c>
      <c r="D73" s="16" t="s">
        <v>221</v>
      </c>
      <c r="E73" s="16" t="s">
        <v>98</v>
      </c>
      <c r="F73" s="16">
        <v>3.5051558615E10</v>
      </c>
      <c r="G73" s="16">
        <v>3.499135909E10</v>
      </c>
      <c r="H73" s="16" t="s">
        <v>99</v>
      </c>
    </row>
    <row r="74" ht="21.75" customHeight="1">
      <c r="A74" s="19">
        <v>72.0</v>
      </c>
      <c r="B74" s="22"/>
      <c r="C74" s="16" t="s">
        <v>222</v>
      </c>
      <c r="D74" s="16" t="s">
        <v>223</v>
      </c>
      <c r="E74" s="16" t="s">
        <v>98</v>
      </c>
      <c r="F74" s="15"/>
      <c r="G74" s="15"/>
      <c r="H74" s="16" t="s">
        <v>99</v>
      </c>
    </row>
    <row r="75" ht="21.75" customHeight="1">
      <c r="A75" s="19">
        <v>73.0</v>
      </c>
      <c r="B75" s="22"/>
      <c r="C75" s="16" t="s">
        <v>224</v>
      </c>
      <c r="D75" s="16" t="s">
        <v>139</v>
      </c>
      <c r="E75" s="15"/>
      <c r="F75" s="15"/>
      <c r="G75" s="15"/>
      <c r="H75" s="16" t="s">
        <v>99</v>
      </c>
    </row>
    <row r="76" ht="21.75" customHeight="1">
      <c r="A76" s="19">
        <v>74.0</v>
      </c>
      <c r="B76" s="22"/>
      <c r="C76" s="16" t="s">
        <v>225</v>
      </c>
      <c r="D76" s="16" t="s">
        <v>226</v>
      </c>
      <c r="E76" s="15"/>
      <c r="F76" s="15"/>
      <c r="G76" s="15"/>
      <c r="H76" s="16" t="s">
        <v>99</v>
      </c>
    </row>
    <row r="77" ht="21.75" customHeight="1">
      <c r="A77" s="19">
        <v>75.0</v>
      </c>
      <c r="B77" s="20" t="s">
        <v>32</v>
      </c>
      <c r="C77" s="16" t="s">
        <v>227</v>
      </c>
      <c r="D77" s="16" t="s">
        <v>228</v>
      </c>
      <c r="E77" s="16" t="s">
        <v>115</v>
      </c>
      <c r="F77" s="16">
        <v>5.343524133E9</v>
      </c>
      <c r="G77" s="16">
        <v>6.2993631315E10</v>
      </c>
      <c r="H77" s="16" t="s">
        <v>99</v>
      </c>
    </row>
    <row r="78" ht="21.75" customHeight="1">
      <c r="A78" s="21">
        <v>76.0</v>
      </c>
      <c r="B78" s="20" t="s">
        <v>28</v>
      </c>
      <c r="C78" s="16" t="s">
        <v>229</v>
      </c>
      <c r="D78" s="16" t="s">
        <v>199</v>
      </c>
      <c r="E78" s="16" t="s">
        <v>98</v>
      </c>
      <c r="F78" s="16">
        <v>4.77227619E9</v>
      </c>
      <c r="G78" s="16">
        <v>6.1996868267E10</v>
      </c>
      <c r="H78" s="16" t="s">
        <v>99</v>
      </c>
    </row>
    <row r="79" ht="21.75" customHeight="1">
      <c r="A79" s="21">
        <v>77.0</v>
      </c>
      <c r="B79" s="20" t="s">
        <v>28</v>
      </c>
      <c r="C79" s="16" t="s">
        <v>230</v>
      </c>
      <c r="D79" s="16" t="s">
        <v>231</v>
      </c>
      <c r="E79" s="16" t="s">
        <v>98</v>
      </c>
      <c r="F79" s="16">
        <v>7.11349991E10</v>
      </c>
      <c r="G79" s="16">
        <v>6.2985961053E10</v>
      </c>
      <c r="H79" s="16" t="s">
        <v>99</v>
      </c>
    </row>
    <row r="80" ht="21.75" customHeight="1">
      <c r="A80" s="19">
        <v>78.0</v>
      </c>
      <c r="B80" s="20" t="s">
        <v>15</v>
      </c>
      <c r="C80" s="16" t="s">
        <v>232</v>
      </c>
      <c r="D80" s="16" t="s">
        <v>233</v>
      </c>
      <c r="E80" s="16" t="s">
        <v>115</v>
      </c>
      <c r="F80" s="16">
        <v>2.7229130549E10</v>
      </c>
      <c r="G80" s="16">
        <v>7.1997293137E10</v>
      </c>
      <c r="H80" s="16" t="s">
        <v>99</v>
      </c>
    </row>
    <row r="81" ht="21.75" customHeight="1">
      <c r="A81" s="19">
        <v>79.0</v>
      </c>
      <c r="B81" s="20" t="s">
        <v>34</v>
      </c>
      <c r="C81" s="16" t="s">
        <v>234</v>
      </c>
      <c r="D81" s="16" t="s">
        <v>235</v>
      </c>
      <c r="E81" s="16" t="s">
        <v>98</v>
      </c>
      <c r="F81" s="16">
        <v>4.3823149172E10</v>
      </c>
      <c r="G81" s="16">
        <v>6.2996047193E10</v>
      </c>
      <c r="H81" s="16" t="s">
        <v>99</v>
      </c>
    </row>
    <row r="82" ht="21.75" customHeight="1">
      <c r="A82" s="19">
        <v>80.0</v>
      </c>
      <c r="B82" s="20" t="s">
        <v>34</v>
      </c>
      <c r="C82" s="16" t="s">
        <v>236</v>
      </c>
      <c r="D82" s="16" t="s">
        <v>237</v>
      </c>
      <c r="E82" s="16" t="s">
        <v>98</v>
      </c>
      <c r="F82" s="16">
        <v>2.35063924E9</v>
      </c>
      <c r="G82" s="16">
        <v>6.2982947401E10</v>
      </c>
      <c r="H82" s="16" t="s">
        <v>99</v>
      </c>
    </row>
    <row r="83" ht="21.75" customHeight="1">
      <c r="A83" s="19">
        <v>81.0</v>
      </c>
      <c r="B83" s="20" t="s">
        <v>34</v>
      </c>
      <c r="C83" s="16" t="s">
        <v>238</v>
      </c>
      <c r="D83" s="16" t="s">
        <v>218</v>
      </c>
      <c r="E83" s="16" t="s">
        <v>98</v>
      </c>
      <c r="F83" s="16">
        <v>3.778710109E9</v>
      </c>
      <c r="G83" s="16">
        <v>6.29919301E8</v>
      </c>
      <c r="H83" s="16" t="s">
        <v>99</v>
      </c>
    </row>
    <row r="84" ht="21.75" customHeight="1">
      <c r="A84" s="21">
        <v>82.0</v>
      </c>
      <c r="B84" s="20" t="s">
        <v>34</v>
      </c>
      <c r="C84" s="16" t="s">
        <v>239</v>
      </c>
      <c r="D84" s="16" t="s">
        <v>199</v>
      </c>
      <c r="E84" s="16" t="s">
        <v>115</v>
      </c>
      <c r="F84" s="16">
        <v>9.0336642153E10</v>
      </c>
      <c r="G84" s="16">
        <v>6.2994023407E10</v>
      </c>
      <c r="H84" s="16" t="s">
        <v>99</v>
      </c>
    </row>
    <row r="85" ht="21.75" customHeight="1">
      <c r="A85" s="21">
        <v>83.0</v>
      </c>
      <c r="B85" s="20" t="s">
        <v>33</v>
      </c>
      <c r="C85" s="16" t="s">
        <v>240</v>
      </c>
      <c r="D85" s="16" t="s">
        <v>241</v>
      </c>
      <c r="E85" s="16" t="s">
        <v>98</v>
      </c>
      <c r="F85" s="16">
        <v>7.522931215E9</v>
      </c>
      <c r="G85" s="16">
        <v>6.2991471183E10</v>
      </c>
      <c r="H85" s="16" t="s">
        <v>99</v>
      </c>
    </row>
    <row r="86" ht="21.75" customHeight="1">
      <c r="A86" s="19">
        <v>84.0</v>
      </c>
      <c r="B86" s="20" t="s">
        <v>33</v>
      </c>
      <c r="C86" s="16" t="s">
        <v>242</v>
      </c>
      <c r="D86" s="16" t="s">
        <v>241</v>
      </c>
      <c r="E86" s="16" t="s">
        <v>98</v>
      </c>
      <c r="F86" s="16">
        <v>7.0857770167E10</v>
      </c>
      <c r="G86" s="16">
        <v>6.29925958E10</v>
      </c>
      <c r="H86" s="16" t="s">
        <v>99</v>
      </c>
    </row>
    <row r="87" ht="21.75" customHeight="1">
      <c r="A87" s="19">
        <v>85.0</v>
      </c>
      <c r="B87" s="20" t="s">
        <v>33</v>
      </c>
      <c r="C87" s="16" t="s">
        <v>243</v>
      </c>
      <c r="D87" s="16" t="s">
        <v>241</v>
      </c>
      <c r="E87" s="16" t="s">
        <v>98</v>
      </c>
      <c r="F87" s="16">
        <v>5.9977680159E10</v>
      </c>
      <c r="G87" s="16">
        <v>6.2994221196E10</v>
      </c>
      <c r="H87" s="16" t="s">
        <v>99</v>
      </c>
    </row>
    <row r="88" ht="21.75" customHeight="1">
      <c r="A88" s="19">
        <v>86.0</v>
      </c>
      <c r="B88" s="20" t="s">
        <v>33</v>
      </c>
      <c r="C88" s="16" t="s">
        <v>244</v>
      </c>
      <c r="D88" s="16" t="s">
        <v>241</v>
      </c>
      <c r="E88" s="16" t="s">
        <v>98</v>
      </c>
      <c r="F88" s="16">
        <v>7.7016149153E10</v>
      </c>
      <c r="G88" s="16">
        <v>6.2996719925E10</v>
      </c>
      <c r="H88" s="16" t="s">
        <v>99</v>
      </c>
    </row>
    <row r="89" ht="21.75" customHeight="1">
      <c r="A89" s="19">
        <v>87.0</v>
      </c>
      <c r="B89" s="20" t="s">
        <v>11</v>
      </c>
      <c r="C89" s="16" t="s">
        <v>245</v>
      </c>
      <c r="D89" s="16" t="s">
        <v>241</v>
      </c>
      <c r="E89" s="16" t="s">
        <v>98</v>
      </c>
      <c r="F89" s="16">
        <v>7.0108395146E10</v>
      </c>
      <c r="G89" s="16">
        <v>6.298635965E10</v>
      </c>
      <c r="H89" s="16" t="s">
        <v>99</v>
      </c>
    </row>
    <row r="90" ht="21.75" customHeight="1">
      <c r="A90" s="21">
        <v>88.0</v>
      </c>
      <c r="B90" s="20" t="s">
        <v>11</v>
      </c>
      <c r="C90" s="16" t="s">
        <v>246</v>
      </c>
      <c r="D90" s="16" t="s">
        <v>241</v>
      </c>
      <c r="E90" s="16" t="s">
        <v>98</v>
      </c>
      <c r="F90" s="16">
        <v>1.458492109E9</v>
      </c>
      <c r="G90" s="16">
        <v>6.2992305674E10</v>
      </c>
      <c r="H90" s="16" t="s">
        <v>99</v>
      </c>
    </row>
    <row r="91" ht="21.75" customHeight="1">
      <c r="A91" s="21">
        <v>89.0</v>
      </c>
      <c r="B91" s="20" t="s">
        <v>11</v>
      </c>
      <c r="C91" s="16" t="s">
        <v>247</v>
      </c>
      <c r="D91" s="16" t="s">
        <v>241</v>
      </c>
      <c r="E91" s="16" t="s">
        <v>98</v>
      </c>
      <c r="F91" s="16">
        <v>7.561735812E10</v>
      </c>
      <c r="G91" s="16">
        <v>6.2993924245E10</v>
      </c>
      <c r="H91" s="16" t="s">
        <v>99</v>
      </c>
    </row>
    <row r="92" ht="21.75" customHeight="1">
      <c r="A92" s="19">
        <v>90.0</v>
      </c>
      <c r="B92" s="20" t="s">
        <v>11</v>
      </c>
      <c r="C92" s="16" t="s">
        <v>248</v>
      </c>
      <c r="D92" s="16" t="s">
        <v>241</v>
      </c>
      <c r="E92" s="16" t="s">
        <v>98</v>
      </c>
      <c r="F92" s="16">
        <v>7.574748012E10</v>
      </c>
      <c r="G92" s="16">
        <v>6.2998090494E10</v>
      </c>
      <c r="H92" s="16" t="s">
        <v>99</v>
      </c>
    </row>
    <row r="93" ht="21.75" customHeight="1">
      <c r="A93" s="19">
        <v>91.0</v>
      </c>
      <c r="B93" s="20" t="s">
        <v>33</v>
      </c>
      <c r="C93" s="16" t="s">
        <v>249</v>
      </c>
      <c r="D93" s="16" t="s">
        <v>250</v>
      </c>
      <c r="E93" s="16" t="s">
        <v>98</v>
      </c>
      <c r="F93" s="16">
        <v>9.1570077304E10</v>
      </c>
      <c r="G93" s="16">
        <v>6.29933187E10</v>
      </c>
      <c r="H93" s="16" t="s">
        <v>99</v>
      </c>
    </row>
    <row r="94" ht="21.75" customHeight="1">
      <c r="A94" s="19">
        <v>92.0</v>
      </c>
      <c r="B94" s="20" t="s">
        <v>35</v>
      </c>
      <c r="C94" s="16" t="s">
        <v>251</v>
      </c>
      <c r="D94" s="16" t="s">
        <v>252</v>
      </c>
      <c r="E94" s="16" t="s">
        <v>98</v>
      </c>
      <c r="F94" s="16">
        <v>8.8508560168E10</v>
      </c>
      <c r="G94" s="16">
        <v>6.2984054948E10</v>
      </c>
      <c r="H94" s="16" t="s">
        <v>99</v>
      </c>
    </row>
    <row r="95" ht="21.75" customHeight="1">
      <c r="A95" s="19">
        <v>93.0</v>
      </c>
      <c r="B95" s="20" t="s">
        <v>23</v>
      </c>
      <c r="C95" s="16" t="s">
        <v>253</v>
      </c>
      <c r="D95" s="16" t="s">
        <v>141</v>
      </c>
      <c r="E95" s="16" t="s">
        <v>98</v>
      </c>
      <c r="F95" s="16">
        <v>1.19060213E9</v>
      </c>
      <c r="G95" s="16">
        <v>6.2991956192E10</v>
      </c>
      <c r="H95" s="16" t="s">
        <v>99</v>
      </c>
    </row>
    <row r="96" ht="21.75" customHeight="1">
      <c r="A96" s="21">
        <v>94.0</v>
      </c>
      <c r="B96" s="20" t="s">
        <v>35</v>
      </c>
      <c r="C96" s="16" t="s">
        <v>254</v>
      </c>
      <c r="D96" s="16" t="s">
        <v>190</v>
      </c>
      <c r="E96" s="16" t="s">
        <v>98</v>
      </c>
      <c r="F96" s="16">
        <v>1.164684167E9</v>
      </c>
      <c r="G96" s="16">
        <v>6.2994981475E10</v>
      </c>
      <c r="H96" s="16" t="s">
        <v>99</v>
      </c>
    </row>
    <row r="97" ht="21.75" customHeight="1">
      <c r="A97" s="21">
        <v>95.0</v>
      </c>
      <c r="B97" s="20" t="s">
        <v>35</v>
      </c>
      <c r="C97" s="25" t="s">
        <v>255</v>
      </c>
      <c r="D97" s="25" t="s">
        <v>256</v>
      </c>
      <c r="E97" s="16" t="s">
        <v>98</v>
      </c>
      <c r="F97" s="16">
        <v>6.438852198E9</v>
      </c>
      <c r="G97" s="16">
        <v>6.4999477903E10</v>
      </c>
      <c r="H97" s="16" t="s">
        <v>99</v>
      </c>
    </row>
    <row r="98" ht="21.75" customHeight="1">
      <c r="A98" s="19">
        <v>96.0</v>
      </c>
      <c r="B98" s="20" t="s">
        <v>36</v>
      </c>
      <c r="C98" s="16" t="s">
        <v>257</v>
      </c>
      <c r="D98" s="16" t="s">
        <v>258</v>
      </c>
      <c r="E98" s="16" t="s">
        <v>98</v>
      </c>
      <c r="F98" s="16">
        <v>3.5101672874E10</v>
      </c>
      <c r="G98" s="16">
        <v>2.993436154E9</v>
      </c>
      <c r="H98" s="16" t="s">
        <v>99</v>
      </c>
    </row>
    <row r="99" ht="21.75" customHeight="1">
      <c r="A99" s="19">
        <v>97.0</v>
      </c>
      <c r="B99" s="20" t="s">
        <v>36</v>
      </c>
      <c r="C99" s="16" t="s">
        <v>259</v>
      </c>
      <c r="D99" s="16" t="s">
        <v>258</v>
      </c>
      <c r="E99" s="16" t="s">
        <v>98</v>
      </c>
      <c r="F99" s="16">
        <v>7.0684889196E10</v>
      </c>
      <c r="G99" s="16">
        <v>6.2991878239E10</v>
      </c>
      <c r="H99" s="16" t="s">
        <v>99</v>
      </c>
    </row>
    <row r="100" ht="21.75" customHeight="1">
      <c r="A100" s="19">
        <v>98.0</v>
      </c>
      <c r="B100" s="20" t="s">
        <v>37</v>
      </c>
      <c r="C100" s="16" t="s">
        <v>260</v>
      </c>
      <c r="D100" s="16" t="s">
        <v>261</v>
      </c>
      <c r="E100" s="16" t="s">
        <v>115</v>
      </c>
      <c r="F100" s="16" t="s">
        <v>262</v>
      </c>
      <c r="G100" s="26"/>
      <c r="H100" s="26"/>
    </row>
    <row r="101" ht="21.75" customHeight="1">
      <c r="A101" s="19">
        <v>99.0</v>
      </c>
      <c r="B101" s="20" t="s">
        <v>37</v>
      </c>
      <c r="C101" s="16" t="s">
        <v>263</v>
      </c>
      <c r="D101" s="16" t="s">
        <v>264</v>
      </c>
      <c r="E101" s="16" t="s">
        <v>98</v>
      </c>
      <c r="F101" s="16" t="s">
        <v>265</v>
      </c>
      <c r="G101" s="26"/>
      <c r="H101" s="26"/>
    </row>
    <row r="102" ht="21.75" customHeight="1">
      <c r="A102" s="21">
        <v>100.0</v>
      </c>
      <c r="B102" s="20" t="s">
        <v>37</v>
      </c>
      <c r="C102" s="16" t="s">
        <v>266</v>
      </c>
      <c r="D102" s="16" t="s">
        <v>264</v>
      </c>
      <c r="E102" s="16" t="s">
        <v>98</v>
      </c>
      <c r="F102" s="16" t="s">
        <v>267</v>
      </c>
      <c r="G102" s="26"/>
      <c r="H102" s="26"/>
    </row>
    <row r="103" ht="21.75" customHeight="1">
      <c r="A103" s="21">
        <v>101.0</v>
      </c>
      <c r="B103" s="20" t="s">
        <v>37</v>
      </c>
      <c r="C103" s="16" t="s">
        <v>268</v>
      </c>
      <c r="D103" s="16" t="s">
        <v>269</v>
      </c>
      <c r="E103" s="16" t="s">
        <v>98</v>
      </c>
      <c r="F103" s="16" t="s">
        <v>270</v>
      </c>
      <c r="G103" s="26"/>
      <c r="H103" s="26"/>
    </row>
    <row r="104" ht="21.75" customHeight="1">
      <c r="A104" s="19">
        <v>102.0</v>
      </c>
      <c r="B104" s="20" t="s">
        <v>37</v>
      </c>
      <c r="C104" s="16" t="s">
        <v>271</v>
      </c>
      <c r="D104" s="16" t="s">
        <v>272</v>
      </c>
      <c r="E104" s="16" t="s">
        <v>98</v>
      </c>
      <c r="F104" s="16" t="s">
        <v>273</v>
      </c>
      <c r="G104" s="26"/>
      <c r="H104" s="26"/>
    </row>
    <row r="105" ht="21.75" customHeight="1">
      <c r="A105" s="19">
        <v>103.0</v>
      </c>
      <c r="B105" s="20" t="s">
        <v>37</v>
      </c>
      <c r="C105" s="16" t="s">
        <v>274</v>
      </c>
      <c r="D105" s="16" t="s">
        <v>264</v>
      </c>
      <c r="E105" s="16" t="s">
        <v>98</v>
      </c>
      <c r="F105" s="16" t="s">
        <v>275</v>
      </c>
      <c r="G105" s="26"/>
      <c r="H105" s="26"/>
    </row>
    <row r="106" ht="21.75" customHeight="1">
      <c r="A106" s="19">
        <v>104.0</v>
      </c>
      <c r="B106" s="20" t="s">
        <v>37</v>
      </c>
      <c r="C106" s="16" t="s">
        <v>276</v>
      </c>
      <c r="D106" s="16" t="s">
        <v>272</v>
      </c>
      <c r="E106" s="16" t="s">
        <v>98</v>
      </c>
      <c r="F106" s="16" t="s">
        <v>277</v>
      </c>
      <c r="G106" s="26"/>
      <c r="H106" s="26"/>
    </row>
    <row r="107" ht="21.75" customHeight="1">
      <c r="A107" s="19">
        <v>105.0</v>
      </c>
      <c r="B107" s="20" t="s">
        <v>37</v>
      </c>
      <c r="C107" s="16" t="s">
        <v>278</v>
      </c>
      <c r="D107" s="16" t="s">
        <v>264</v>
      </c>
      <c r="E107" s="16" t="s">
        <v>98</v>
      </c>
      <c r="F107" s="16" t="s">
        <v>279</v>
      </c>
      <c r="G107" s="26"/>
      <c r="H107" s="26"/>
    </row>
    <row r="108" ht="21.75" customHeight="1">
      <c r="A108" s="21">
        <v>106.0</v>
      </c>
      <c r="B108" s="20" t="s">
        <v>37</v>
      </c>
      <c r="C108" s="16" t="s">
        <v>280</v>
      </c>
      <c r="D108" s="16" t="s">
        <v>264</v>
      </c>
      <c r="E108" s="16" t="s">
        <v>98</v>
      </c>
      <c r="F108" s="16" t="s">
        <v>281</v>
      </c>
      <c r="G108" s="26"/>
      <c r="H108" s="26"/>
    </row>
    <row r="109" ht="21.75" customHeight="1">
      <c r="A109" s="21">
        <v>107.0</v>
      </c>
      <c r="B109" s="20" t="s">
        <v>37</v>
      </c>
      <c r="C109" s="16" t="s">
        <v>282</v>
      </c>
      <c r="D109" s="16" t="s">
        <v>264</v>
      </c>
      <c r="E109" s="16" t="s">
        <v>98</v>
      </c>
      <c r="F109" s="16" t="s">
        <v>283</v>
      </c>
      <c r="G109" s="26"/>
      <c r="H109" s="26"/>
    </row>
    <row r="110" ht="21.75" customHeight="1">
      <c r="A110" s="19">
        <v>108.0</v>
      </c>
      <c r="B110" s="20" t="s">
        <v>37</v>
      </c>
      <c r="C110" s="16" t="s">
        <v>284</v>
      </c>
      <c r="D110" s="16" t="s">
        <v>272</v>
      </c>
      <c r="E110" s="16" t="s">
        <v>98</v>
      </c>
      <c r="F110" s="16" t="s">
        <v>285</v>
      </c>
      <c r="G110" s="26"/>
      <c r="H110" s="26"/>
    </row>
    <row r="111" ht="21.75" customHeight="1">
      <c r="A111" s="19">
        <v>109.0</v>
      </c>
      <c r="B111" s="20" t="s">
        <v>37</v>
      </c>
      <c r="C111" s="16" t="s">
        <v>286</v>
      </c>
      <c r="D111" s="16" t="s">
        <v>264</v>
      </c>
      <c r="E111" s="16" t="s">
        <v>98</v>
      </c>
      <c r="F111" s="16" t="s">
        <v>287</v>
      </c>
      <c r="G111" s="26"/>
      <c r="H111" s="26"/>
    </row>
    <row r="112" ht="21.75" customHeight="1">
      <c r="A112" s="19">
        <v>110.0</v>
      </c>
      <c r="B112" s="20" t="s">
        <v>37</v>
      </c>
      <c r="C112" s="16" t="s">
        <v>288</v>
      </c>
      <c r="D112" s="16" t="s">
        <v>264</v>
      </c>
      <c r="E112" s="16" t="s">
        <v>98</v>
      </c>
      <c r="F112" s="16" t="s">
        <v>289</v>
      </c>
      <c r="G112" s="26"/>
      <c r="H112" s="26"/>
    </row>
    <row r="113" ht="21.75" customHeight="1">
      <c r="A113" s="19">
        <v>111.0</v>
      </c>
      <c r="B113" s="20" t="s">
        <v>37</v>
      </c>
      <c r="C113" s="16" t="s">
        <v>290</v>
      </c>
      <c r="D113" s="16" t="s">
        <v>264</v>
      </c>
      <c r="E113" s="16" t="s">
        <v>98</v>
      </c>
      <c r="F113" s="16" t="s">
        <v>291</v>
      </c>
      <c r="G113" s="26"/>
      <c r="H113" s="26"/>
    </row>
    <row r="114" ht="21.75" customHeight="1">
      <c r="A114" s="21">
        <v>112.0</v>
      </c>
      <c r="B114" s="20" t="s">
        <v>37</v>
      </c>
      <c r="C114" s="16" t="s">
        <v>292</v>
      </c>
      <c r="D114" s="16" t="s">
        <v>264</v>
      </c>
      <c r="E114" s="16" t="s">
        <v>98</v>
      </c>
      <c r="F114" s="16" t="s">
        <v>293</v>
      </c>
      <c r="G114" s="26"/>
      <c r="H114" s="26"/>
    </row>
    <row r="115" ht="21.75" customHeight="1">
      <c r="A115" s="21">
        <v>113.0</v>
      </c>
      <c r="B115" s="20" t="s">
        <v>37</v>
      </c>
      <c r="C115" s="16" t="s">
        <v>294</v>
      </c>
      <c r="D115" s="16" t="s">
        <v>264</v>
      </c>
      <c r="E115" s="16" t="s">
        <v>98</v>
      </c>
      <c r="F115" s="16" t="s">
        <v>295</v>
      </c>
      <c r="G115" s="26"/>
      <c r="H115" s="26"/>
    </row>
    <row r="116" ht="21.75" customHeight="1">
      <c r="A116" s="19">
        <v>114.0</v>
      </c>
      <c r="B116" s="20" t="s">
        <v>37</v>
      </c>
      <c r="C116" s="16" t="s">
        <v>296</v>
      </c>
      <c r="D116" s="16" t="s">
        <v>264</v>
      </c>
      <c r="E116" s="16" t="s">
        <v>98</v>
      </c>
      <c r="F116" s="16" t="s">
        <v>297</v>
      </c>
      <c r="G116" s="26"/>
      <c r="H116" s="26"/>
    </row>
    <row r="117" ht="21.75" customHeight="1">
      <c r="A117" s="19">
        <v>115.0</v>
      </c>
      <c r="B117" s="20" t="s">
        <v>37</v>
      </c>
      <c r="C117" s="16" t="s">
        <v>298</v>
      </c>
      <c r="D117" s="16" t="s">
        <v>264</v>
      </c>
      <c r="E117" s="16" t="s">
        <v>98</v>
      </c>
      <c r="F117" s="16" t="s">
        <v>299</v>
      </c>
      <c r="G117" s="26"/>
      <c r="H117" s="26"/>
    </row>
    <row r="118" ht="21.75" customHeight="1">
      <c r="A118" s="19">
        <v>116.0</v>
      </c>
      <c r="B118" s="20" t="s">
        <v>37</v>
      </c>
      <c r="C118" s="16" t="s">
        <v>300</v>
      </c>
      <c r="D118" s="16" t="s">
        <v>269</v>
      </c>
      <c r="E118" s="16" t="s">
        <v>98</v>
      </c>
      <c r="F118" s="16" t="s">
        <v>301</v>
      </c>
      <c r="G118" s="26"/>
      <c r="H118" s="26"/>
    </row>
    <row r="119" ht="21.75" customHeight="1">
      <c r="A119" s="19">
        <v>117.0</v>
      </c>
      <c r="B119" s="20" t="s">
        <v>37</v>
      </c>
      <c r="C119" s="16" t="s">
        <v>302</v>
      </c>
      <c r="D119" s="16" t="s">
        <v>303</v>
      </c>
      <c r="E119" s="16" t="s">
        <v>98</v>
      </c>
      <c r="F119" s="16" t="s">
        <v>304</v>
      </c>
      <c r="G119" s="26"/>
      <c r="H119" s="26"/>
    </row>
    <row r="120" ht="21.75" customHeight="1">
      <c r="A120" s="21">
        <v>118.0</v>
      </c>
      <c r="B120" s="20" t="s">
        <v>37</v>
      </c>
      <c r="C120" s="16" t="s">
        <v>305</v>
      </c>
      <c r="D120" s="16" t="s">
        <v>303</v>
      </c>
      <c r="E120" s="16" t="s">
        <v>98</v>
      </c>
      <c r="F120" s="16" t="s">
        <v>306</v>
      </c>
      <c r="G120" s="26"/>
      <c r="H120" s="26"/>
    </row>
    <row r="121" ht="21.75" customHeight="1">
      <c r="A121" s="21">
        <v>119.0</v>
      </c>
      <c r="B121" s="27" t="s">
        <v>37</v>
      </c>
      <c r="C121" s="28" t="s">
        <v>307</v>
      </c>
      <c r="D121" s="28" t="s">
        <v>303</v>
      </c>
      <c r="E121" s="28" t="s">
        <v>98</v>
      </c>
      <c r="F121" s="28" t="s">
        <v>308</v>
      </c>
      <c r="G121" s="26"/>
      <c r="H121" s="26"/>
    </row>
    <row r="122" ht="21.75" customHeight="1">
      <c r="A122" s="19">
        <v>120.0</v>
      </c>
      <c r="B122" s="21" t="s">
        <v>7</v>
      </c>
      <c r="C122" s="21" t="s">
        <v>309</v>
      </c>
      <c r="D122" s="21" t="s">
        <v>97</v>
      </c>
      <c r="E122" s="21" t="s">
        <v>98</v>
      </c>
      <c r="F122" s="21">
        <v>7.160255313E10</v>
      </c>
      <c r="G122" s="29"/>
      <c r="H122" s="26"/>
    </row>
    <row r="123" ht="21.75" customHeight="1">
      <c r="A123" s="19">
        <v>121.0</v>
      </c>
      <c r="B123" s="21" t="s">
        <v>34</v>
      </c>
      <c r="C123" s="21" t="s">
        <v>310</v>
      </c>
      <c r="D123" s="21" t="s">
        <v>311</v>
      </c>
      <c r="E123" s="21" t="s">
        <v>98</v>
      </c>
      <c r="F123" s="21">
        <v>2.692046102E9</v>
      </c>
      <c r="G123" s="29"/>
      <c r="H123" s="26"/>
    </row>
    <row r="124" ht="21.75" customHeight="1">
      <c r="A124" s="19">
        <v>122.0</v>
      </c>
      <c r="B124" s="21" t="s">
        <v>34</v>
      </c>
      <c r="C124" s="21" t="s">
        <v>312</v>
      </c>
      <c r="D124" s="21" t="s">
        <v>311</v>
      </c>
      <c r="E124" s="21" t="s">
        <v>98</v>
      </c>
      <c r="F124" s="21" t="s">
        <v>313</v>
      </c>
      <c r="G124" s="29"/>
      <c r="H124" s="26"/>
    </row>
    <row r="125" ht="21.75" customHeight="1">
      <c r="A125" s="19">
        <v>123.0</v>
      </c>
      <c r="B125" s="21" t="s">
        <v>34</v>
      </c>
      <c r="C125" s="21" t="s">
        <v>314</v>
      </c>
      <c r="D125" s="21" t="s">
        <v>315</v>
      </c>
      <c r="E125" s="21" t="s">
        <v>98</v>
      </c>
      <c r="F125" s="21">
        <v>2.681511712E10</v>
      </c>
      <c r="G125" s="29"/>
      <c r="H125" s="26"/>
    </row>
    <row r="126" ht="21.75" customHeight="1">
      <c r="A126" s="21">
        <v>124.0</v>
      </c>
      <c r="B126" s="21" t="s">
        <v>34</v>
      </c>
      <c r="C126" s="21" t="s">
        <v>316</v>
      </c>
      <c r="D126" s="21" t="s">
        <v>311</v>
      </c>
      <c r="E126" s="21" t="s">
        <v>98</v>
      </c>
      <c r="F126" s="21">
        <v>5.83584624E9</v>
      </c>
      <c r="G126" s="29"/>
      <c r="H126" s="26"/>
    </row>
    <row r="127" ht="21.75" customHeight="1">
      <c r="A127" s="21">
        <v>125.0</v>
      </c>
      <c r="B127" s="21" t="s">
        <v>34</v>
      </c>
      <c r="C127" s="21" t="s">
        <v>317</v>
      </c>
      <c r="D127" s="21" t="s">
        <v>311</v>
      </c>
      <c r="E127" s="21" t="s">
        <v>98</v>
      </c>
      <c r="F127" s="21">
        <v>5.541665335E9</v>
      </c>
      <c r="G127" s="29"/>
      <c r="H127" s="26"/>
    </row>
    <row r="128" ht="21.75" customHeight="1">
      <c r="A128" s="19">
        <v>126.0</v>
      </c>
      <c r="B128" s="21" t="s">
        <v>34</v>
      </c>
      <c r="C128" s="21" t="s">
        <v>318</v>
      </c>
      <c r="D128" s="21" t="s">
        <v>269</v>
      </c>
      <c r="E128" s="21" t="s">
        <v>98</v>
      </c>
      <c r="F128" s="21">
        <v>4.3937314172E10</v>
      </c>
      <c r="G128" s="29"/>
      <c r="H128" s="26"/>
    </row>
    <row r="129" ht="21.75" customHeight="1">
      <c r="A129" s="19">
        <v>127.0</v>
      </c>
      <c r="B129" s="21" t="s">
        <v>34</v>
      </c>
      <c r="C129" s="21" t="s">
        <v>319</v>
      </c>
      <c r="D129" s="21" t="s">
        <v>311</v>
      </c>
      <c r="E129" s="21" t="s">
        <v>98</v>
      </c>
      <c r="F129" s="21" t="s">
        <v>320</v>
      </c>
      <c r="G129" s="29"/>
      <c r="H129" s="26"/>
    </row>
    <row r="130" ht="21.75" customHeight="1">
      <c r="A130" s="19">
        <v>128.0</v>
      </c>
      <c r="B130" s="21" t="s">
        <v>35</v>
      </c>
      <c r="C130" s="21" t="s">
        <v>321</v>
      </c>
      <c r="D130" s="21" t="s">
        <v>311</v>
      </c>
      <c r="E130" s="21" t="s">
        <v>98</v>
      </c>
      <c r="F130" s="21" t="s">
        <v>322</v>
      </c>
      <c r="G130" s="29"/>
      <c r="H130" s="26"/>
    </row>
    <row r="131" ht="21.75" customHeight="1">
      <c r="A131" s="19">
        <v>129.0</v>
      </c>
      <c r="B131" s="21" t="s">
        <v>35</v>
      </c>
      <c r="C131" s="21" t="s">
        <v>323</v>
      </c>
      <c r="D131" s="21" t="s">
        <v>311</v>
      </c>
      <c r="E131" s="21" t="s">
        <v>98</v>
      </c>
      <c r="F131" s="21" t="s">
        <v>324</v>
      </c>
      <c r="G131" s="29"/>
      <c r="H131" s="26"/>
    </row>
    <row r="132" ht="21.75" customHeight="1">
      <c r="A132" s="21">
        <v>130.0</v>
      </c>
      <c r="B132" s="21" t="s">
        <v>35</v>
      </c>
      <c r="C132" s="21" t="s">
        <v>325</v>
      </c>
      <c r="D132" s="21" t="s">
        <v>311</v>
      </c>
      <c r="E132" s="21" t="s">
        <v>98</v>
      </c>
      <c r="F132" s="21" t="s">
        <v>326</v>
      </c>
      <c r="G132" s="29"/>
      <c r="H132" s="26"/>
    </row>
    <row r="133" ht="21.75" customHeight="1">
      <c r="A133" s="21">
        <v>131.0</v>
      </c>
      <c r="B133" s="21" t="s">
        <v>35</v>
      </c>
      <c r="C133" s="21" t="s">
        <v>327</v>
      </c>
      <c r="D133" s="21" t="s">
        <v>328</v>
      </c>
      <c r="E133" s="21" t="s">
        <v>98</v>
      </c>
      <c r="F133" s="21" t="s">
        <v>329</v>
      </c>
      <c r="G133" s="29"/>
      <c r="H133" s="26"/>
    </row>
    <row r="134" ht="21.75" customHeight="1">
      <c r="A134" s="19">
        <v>132.0</v>
      </c>
      <c r="B134" s="21" t="s">
        <v>35</v>
      </c>
      <c r="C134" s="21" t="s">
        <v>330</v>
      </c>
      <c r="D134" s="21" t="s">
        <v>311</v>
      </c>
      <c r="E134" s="21" t="s">
        <v>98</v>
      </c>
      <c r="F134" s="21" t="s">
        <v>331</v>
      </c>
      <c r="G134" s="29"/>
      <c r="H134" s="26"/>
    </row>
    <row r="135" ht="21.75" customHeight="1">
      <c r="A135" s="19">
        <v>133.0</v>
      </c>
      <c r="B135" s="21" t="s">
        <v>35</v>
      </c>
      <c r="C135" s="21" t="s">
        <v>332</v>
      </c>
      <c r="D135" s="21" t="s">
        <v>311</v>
      </c>
      <c r="E135" s="21" t="s">
        <v>98</v>
      </c>
      <c r="F135" s="21" t="s">
        <v>333</v>
      </c>
      <c r="G135" s="29"/>
      <c r="H135" s="26"/>
    </row>
    <row r="136" ht="21.75" customHeight="1">
      <c r="A136" s="19">
        <v>134.0</v>
      </c>
      <c r="B136" s="21" t="s">
        <v>35</v>
      </c>
      <c r="C136" s="21" t="s">
        <v>334</v>
      </c>
      <c r="D136" s="21" t="s">
        <v>315</v>
      </c>
      <c r="E136" s="21" t="s">
        <v>98</v>
      </c>
      <c r="F136" s="21" t="s">
        <v>335</v>
      </c>
      <c r="G136" s="29"/>
      <c r="H136" s="26"/>
    </row>
    <row r="137" ht="21.75" customHeight="1">
      <c r="A137" s="19">
        <v>135.0</v>
      </c>
      <c r="B137" s="21" t="s">
        <v>35</v>
      </c>
      <c r="C137" s="21" t="s">
        <v>336</v>
      </c>
      <c r="D137" s="21" t="s">
        <v>101</v>
      </c>
      <c r="E137" s="21" t="s">
        <v>98</v>
      </c>
      <c r="F137" s="21" t="s">
        <v>337</v>
      </c>
      <c r="G137" s="29"/>
      <c r="H137" s="26"/>
    </row>
    <row r="138" ht="21.75" customHeight="1">
      <c r="A138" s="21">
        <v>136.0</v>
      </c>
      <c r="B138" s="21" t="s">
        <v>35</v>
      </c>
      <c r="C138" s="21" t="s">
        <v>338</v>
      </c>
      <c r="D138" s="21" t="s">
        <v>101</v>
      </c>
      <c r="E138" s="21" t="s">
        <v>98</v>
      </c>
      <c r="F138" s="21" t="s">
        <v>339</v>
      </c>
      <c r="G138" s="29"/>
      <c r="H138" s="26"/>
    </row>
    <row r="139" ht="21.75" customHeight="1">
      <c r="A139" s="21">
        <v>137.0</v>
      </c>
      <c r="B139" s="21" t="s">
        <v>35</v>
      </c>
      <c r="C139" s="21" t="s">
        <v>340</v>
      </c>
      <c r="D139" s="21" t="s">
        <v>101</v>
      </c>
      <c r="E139" s="21" t="s">
        <v>98</v>
      </c>
      <c r="F139" s="21" t="s">
        <v>341</v>
      </c>
      <c r="G139" s="29"/>
      <c r="H139" s="26"/>
    </row>
    <row r="140" ht="21.75" customHeight="1">
      <c r="A140" s="19">
        <v>138.0</v>
      </c>
      <c r="B140" s="21" t="s">
        <v>35</v>
      </c>
      <c r="C140" s="21" t="s">
        <v>342</v>
      </c>
      <c r="D140" s="21" t="s">
        <v>101</v>
      </c>
      <c r="E140" s="21" t="s">
        <v>98</v>
      </c>
      <c r="F140" s="21" t="s">
        <v>343</v>
      </c>
      <c r="G140" s="29"/>
      <c r="H140" s="26"/>
    </row>
    <row r="141" ht="21.75" customHeight="1">
      <c r="A141" s="19">
        <v>139.0</v>
      </c>
      <c r="B141" s="21" t="s">
        <v>35</v>
      </c>
      <c r="C141" s="21" t="s">
        <v>344</v>
      </c>
      <c r="D141" s="21" t="s">
        <v>101</v>
      </c>
      <c r="E141" s="21" t="s">
        <v>98</v>
      </c>
      <c r="F141" s="21" t="s">
        <v>345</v>
      </c>
      <c r="G141" s="29"/>
      <c r="H141" s="26"/>
    </row>
    <row r="142" ht="21.75" customHeight="1">
      <c r="A142" s="19">
        <v>140.0</v>
      </c>
      <c r="B142" s="21" t="s">
        <v>35</v>
      </c>
      <c r="C142" s="21" t="s">
        <v>346</v>
      </c>
      <c r="D142" s="21" t="s">
        <v>101</v>
      </c>
      <c r="E142" s="21" t="s">
        <v>98</v>
      </c>
      <c r="F142" s="21" t="s">
        <v>347</v>
      </c>
      <c r="G142" s="29"/>
      <c r="H142" s="26"/>
    </row>
    <row r="143" ht="21.75" customHeight="1">
      <c r="A143" s="19">
        <v>141.0</v>
      </c>
      <c r="B143" s="21" t="s">
        <v>35</v>
      </c>
      <c r="C143" s="21" t="s">
        <v>348</v>
      </c>
      <c r="D143" s="21" t="s">
        <v>101</v>
      </c>
      <c r="E143" s="21" t="s">
        <v>98</v>
      </c>
      <c r="F143" s="21" t="s">
        <v>349</v>
      </c>
      <c r="G143" s="29"/>
      <c r="H143" s="26"/>
    </row>
    <row r="144" ht="21.75" customHeight="1">
      <c r="A144" s="21">
        <v>142.0</v>
      </c>
      <c r="B144" s="21" t="s">
        <v>35</v>
      </c>
      <c r="C144" s="21" t="s">
        <v>350</v>
      </c>
      <c r="D144" s="21" t="s">
        <v>101</v>
      </c>
      <c r="E144" s="21" t="s">
        <v>98</v>
      </c>
      <c r="F144" s="21" t="s">
        <v>351</v>
      </c>
      <c r="G144" s="29"/>
      <c r="H144" s="26"/>
    </row>
    <row r="145" ht="21.75" customHeight="1">
      <c r="A145" s="21">
        <v>143.0</v>
      </c>
      <c r="B145" s="21" t="s">
        <v>35</v>
      </c>
      <c r="C145" s="21" t="s">
        <v>352</v>
      </c>
      <c r="D145" s="21" t="s">
        <v>101</v>
      </c>
      <c r="E145" s="21" t="s">
        <v>98</v>
      </c>
      <c r="F145" s="21" t="s">
        <v>353</v>
      </c>
      <c r="G145" s="29"/>
      <c r="H145" s="26"/>
    </row>
    <row r="146" ht="21.75" customHeight="1">
      <c r="A146" s="19">
        <v>144.0</v>
      </c>
      <c r="B146" s="21" t="s">
        <v>35</v>
      </c>
      <c r="C146" s="21" t="s">
        <v>354</v>
      </c>
      <c r="D146" s="21" t="s">
        <v>101</v>
      </c>
      <c r="E146" s="21" t="s">
        <v>98</v>
      </c>
      <c r="F146" s="21" t="s">
        <v>355</v>
      </c>
      <c r="G146" s="29"/>
      <c r="H146" s="26"/>
    </row>
    <row r="147" ht="21.75" customHeight="1">
      <c r="A147" s="19">
        <v>145.0</v>
      </c>
      <c r="B147" s="21" t="s">
        <v>35</v>
      </c>
      <c r="C147" s="21" t="s">
        <v>356</v>
      </c>
      <c r="D147" s="21" t="s">
        <v>101</v>
      </c>
      <c r="E147" s="21" t="s">
        <v>98</v>
      </c>
      <c r="F147" s="21" t="s">
        <v>357</v>
      </c>
      <c r="G147" s="29"/>
      <c r="H147" s="26"/>
    </row>
    <row r="148" ht="21.75" customHeight="1">
      <c r="A148" s="19">
        <v>146.0</v>
      </c>
      <c r="B148" s="21" t="s">
        <v>35</v>
      </c>
      <c r="C148" s="21" t="s">
        <v>358</v>
      </c>
      <c r="D148" s="21" t="s">
        <v>101</v>
      </c>
      <c r="E148" s="21" t="s">
        <v>98</v>
      </c>
      <c r="F148" s="21" t="s">
        <v>359</v>
      </c>
      <c r="G148" s="29"/>
      <c r="H148" s="26"/>
    </row>
    <row r="149" ht="21.75" customHeight="1">
      <c r="A149" s="19">
        <v>147.0</v>
      </c>
      <c r="B149" s="21" t="s">
        <v>35</v>
      </c>
      <c r="C149" s="21" t="s">
        <v>360</v>
      </c>
      <c r="D149" s="21" t="s">
        <v>101</v>
      </c>
      <c r="E149" s="21" t="s">
        <v>98</v>
      </c>
      <c r="F149" s="21" t="s">
        <v>361</v>
      </c>
      <c r="G149" s="29"/>
      <c r="H149" s="26"/>
    </row>
    <row r="150" ht="21.75" customHeight="1">
      <c r="A150" s="21">
        <v>148.0</v>
      </c>
      <c r="B150" s="21" t="s">
        <v>35</v>
      </c>
      <c r="C150" s="21" t="s">
        <v>362</v>
      </c>
      <c r="D150" s="21" t="s">
        <v>101</v>
      </c>
      <c r="E150" s="21" t="s">
        <v>98</v>
      </c>
      <c r="F150" s="21" t="s">
        <v>363</v>
      </c>
      <c r="G150" s="29"/>
      <c r="H150" s="26"/>
    </row>
    <row r="151" ht="21.75" customHeight="1">
      <c r="A151" s="21">
        <v>149.0</v>
      </c>
      <c r="B151" s="21" t="s">
        <v>35</v>
      </c>
      <c r="C151" s="21" t="s">
        <v>364</v>
      </c>
      <c r="D151" s="21" t="s">
        <v>101</v>
      </c>
      <c r="E151" s="21" t="s">
        <v>98</v>
      </c>
      <c r="F151" s="21" t="s">
        <v>365</v>
      </c>
      <c r="G151" s="29"/>
      <c r="H151" s="26"/>
    </row>
    <row r="152" ht="21.75" customHeight="1">
      <c r="A152" s="19">
        <v>150.0</v>
      </c>
      <c r="B152" s="21" t="s">
        <v>35</v>
      </c>
      <c r="C152" s="21" t="s">
        <v>366</v>
      </c>
      <c r="D152" s="21" t="s">
        <v>101</v>
      </c>
      <c r="E152" s="21" t="s">
        <v>98</v>
      </c>
      <c r="F152" s="21" t="s">
        <v>367</v>
      </c>
      <c r="G152" s="29"/>
      <c r="H152" s="26"/>
    </row>
    <row r="153" ht="21.75" customHeight="1">
      <c r="A153" s="19">
        <v>151.0</v>
      </c>
      <c r="B153" s="21" t="s">
        <v>35</v>
      </c>
      <c r="C153" s="21" t="s">
        <v>368</v>
      </c>
      <c r="D153" s="21" t="s">
        <v>101</v>
      </c>
      <c r="E153" s="21" t="s">
        <v>98</v>
      </c>
      <c r="F153" s="21" t="s">
        <v>369</v>
      </c>
      <c r="G153" s="29"/>
      <c r="H153" s="26"/>
    </row>
    <row r="154" ht="21.75" customHeight="1">
      <c r="A154" s="19">
        <v>152.0</v>
      </c>
      <c r="B154" s="21" t="s">
        <v>35</v>
      </c>
      <c r="C154" s="21" t="s">
        <v>370</v>
      </c>
      <c r="D154" s="21" t="s">
        <v>101</v>
      </c>
      <c r="E154" s="21" t="s">
        <v>98</v>
      </c>
      <c r="F154" s="21" t="s">
        <v>371</v>
      </c>
      <c r="G154" s="29"/>
      <c r="H154" s="26"/>
    </row>
    <row r="155" ht="21.75" customHeight="1">
      <c r="A155" s="19">
        <v>153.0</v>
      </c>
      <c r="B155" s="21" t="s">
        <v>35</v>
      </c>
      <c r="C155" s="21" t="s">
        <v>372</v>
      </c>
      <c r="D155" s="21" t="s">
        <v>101</v>
      </c>
      <c r="E155" s="21" t="s">
        <v>98</v>
      </c>
      <c r="F155" s="21" t="s">
        <v>373</v>
      </c>
      <c r="G155" s="29"/>
      <c r="H155" s="26"/>
    </row>
    <row r="156" ht="21.75" customHeight="1">
      <c r="A156" s="21">
        <v>154.0</v>
      </c>
      <c r="B156" s="21" t="s">
        <v>35</v>
      </c>
      <c r="C156" s="21" t="s">
        <v>374</v>
      </c>
      <c r="D156" s="21" t="s">
        <v>101</v>
      </c>
      <c r="E156" s="21" t="s">
        <v>98</v>
      </c>
      <c r="F156" s="21" t="s">
        <v>375</v>
      </c>
      <c r="G156" s="29"/>
      <c r="H156" s="26"/>
    </row>
    <row r="157" ht="21.75" customHeight="1">
      <c r="A157" s="21">
        <v>155.0</v>
      </c>
      <c r="B157" s="21" t="s">
        <v>35</v>
      </c>
      <c r="C157" s="21" t="s">
        <v>376</v>
      </c>
      <c r="D157" s="21" t="s">
        <v>101</v>
      </c>
      <c r="E157" s="21" t="s">
        <v>98</v>
      </c>
      <c r="F157" s="21" t="s">
        <v>377</v>
      </c>
      <c r="G157" s="29"/>
      <c r="H157" s="26"/>
    </row>
    <row r="158" ht="21.75" customHeight="1">
      <c r="A158" s="19">
        <v>156.0</v>
      </c>
      <c r="B158" s="21" t="s">
        <v>35</v>
      </c>
      <c r="C158" s="21" t="s">
        <v>378</v>
      </c>
      <c r="D158" s="21" t="s">
        <v>101</v>
      </c>
      <c r="E158" s="21" t="s">
        <v>98</v>
      </c>
      <c r="F158" s="21" t="s">
        <v>379</v>
      </c>
      <c r="G158" s="29"/>
      <c r="H158" s="26"/>
    </row>
    <row r="159" ht="21.75" customHeight="1">
      <c r="A159" s="19">
        <v>157.0</v>
      </c>
      <c r="B159" s="21" t="s">
        <v>35</v>
      </c>
      <c r="C159" s="21" t="s">
        <v>380</v>
      </c>
      <c r="D159" s="21" t="s">
        <v>101</v>
      </c>
      <c r="E159" s="21" t="s">
        <v>98</v>
      </c>
      <c r="F159" s="21" t="s">
        <v>381</v>
      </c>
      <c r="G159" s="29"/>
      <c r="H159" s="26"/>
    </row>
    <row r="160" ht="21.75" customHeight="1">
      <c r="A160" s="19">
        <v>158.0</v>
      </c>
      <c r="B160" s="21" t="s">
        <v>35</v>
      </c>
      <c r="C160" s="21" t="s">
        <v>382</v>
      </c>
      <c r="D160" s="21" t="s">
        <v>101</v>
      </c>
      <c r="E160" s="21" t="s">
        <v>98</v>
      </c>
      <c r="F160" s="21" t="s">
        <v>383</v>
      </c>
      <c r="G160" s="29"/>
      <c r="H160" s="26"/>
    </row>
    <row r="161" ht="21.75" customHeight="1">
      <c r="A161" s="19">
        <v>159.0</v>
      </c>
      <c r="B161" s="21" t="s">
        <v>35</v>
      </c>
      <c r="C161" s="21" t="s">
        <v>384</v>
      </c>
      <c r="D161" s="21" t="s">
        <v>101</v>
      </c>
      <c r="E161" s="21" t="s">
        <v>98</v>
      </c>
      <c r="F161" s="21" t="s">
        <v>385</v>
      </c>
      <c r="G161" s="29"/>
      <c r="H161" s="26"/>
    </row>
    <row r="162" ht="21.75" customHeight="1">
      <c r="A162" s="21">
        <v>160.0</v>
      </c>
      <c r="B162" s="21" t="s">
        <v>35</v>
      </c>
      <c r="C162" s="21" t="s">
        <v>386</v>
      </c>
      <c r="D162" s="21" t="s">
        <v>101</v>
      </c>
      <c r="E162" s="21" t="s">
        <v>98</v>
      </c>
      <c r="F162" s="21" t="s">
        <v>387</v>
      </c>
      <c r="G162" s="29"/>
      <c r="H162" s="26"/>
    </row>
    <row r="163" ht="21.75" customHeight="1">
      <c r="A163" s="21">
        <v>161.0</v>
      </c>
      <c r="B163" s="21" t="s">
        <v>35</v>
      </c>
      <c r="C163" s="21" t="s">
        <v>388</v>
      </c>
      <c r="D163" s="21" t="s">
        <v>101</v>
      </c>
      <c r="E163" s="21" t="s">
        <v>98</v>
      </c>
      <c r="F163" s="21" t="s">
        <v>389</v>
      </c>
      <c r="G163" s="29"/>
      <c r="H163" s="26"/>
    </row>
    <row r="164" ht="21.75" customHeight="1">
      <c r="A164" s="19">
        <v>162.0</v>
      </c>
      <c r="B164" s="21" t="s">
        <v>35</v>
      </c>
      <c r="C164" s="21" t="s">
        <v>390</v>
      </c>
      <c r="D164" s="21" t="s">
        <v>101</v>
      </c>
      <c r="E164" s="21" t="s">
        <v>98</v>
      </c>
      <c r="F164" s="21" t="s">
        <v>391</v>
      </c>
      <c r="G164" s="29"/>
      <c r="H164" s="26"/>
    </row>
    <row r="165" ht="21.75" customHeight="1">
      <c r="A165" s="19">
        <v>163.0</v>
      </c>
      <c r="B165" s="21" t="s">
        <v>35</v>
      </c>
      <c r="C165" s="21" t="s">
        <v>392</v>
      </c>
      <c r="D165" s="21" t="s">
        <v>101</v>
      </c>
      <c r="E165" s="21" t="s">
        <v>98</v>
      </c>
      <c r="F165" s="21" t="s">
        <v>393</v>
      </c>
      <c r="G165" s="29"/>
      <c r="H165" s="26"/>
    </row>
    <row r="166" ht="21.75" customHeight="1">
      <c r="A166" s="19">
        <v>164.0</v>
      </c>
      <c r="B166" s="21" t="s">
        <v>35</v>
      </c>
      <c r="C166" s="21" t="s">
        <v>394</v>
      </c>
      <c r="D166" s="21" t="s">
        <v>395</v>
      </c>
      <c r="E166" s="21" t="s">
        <v>98</v>
      </c>
      <c r="F166" s="21" t="s">
        <v>396</v>
      </c>
      <c r="G166" s="29"/>
      <c r="H166" s="26"/>
    </row>
    <row r="167" ht="21.75" customHeight="1">
      <c r="A167" s="19">
        <v>165.0</v>
      </c>
      <c r="B167" s="21" t="s">
        <v>35</v>
      </c>
      <c r="C167" s="21" t="s">
        <v>397</v>
      </c>
      <c r="D167" s="21" t="s">
        <v>398</v>
      </c>
      <c r="E167" s="21" t="s">
        <v>98</v>
      </c>
      <c r="F167" s="21" t="s">
        <v>399</v>
      </c>
      <c r="G167" s="29"/>
      <c r="H167" s="26"/>
    </row>
    <row r="168" ht="21.75" customHeight="1">
      <c r="A168" s="21">
        <v>166.0</v>
      </c>
      <c r="B168" s="21" t="s">
        <v>35</v>
      </c>
      <c r="C168" s="21" t="s">
        <v>400</v>
      </c>
      <c r="D168" s="21" t="s">
        <v>226</v>
      </c>
      <c r="E168" s="21" t="s">
        <v>98</v>
      </c>
      <c r="F168" s="21" t="s">
        <v>401</v>
      </c>
      <c r="G168" s="29"/>
      <c r="H168" s="26"/>
    </row>
    <row r="169" ht="21.75" customHeight="1">
      <c r="A169" s="21">
        <v>167.0</v>
      </c>
      <c r="B169" s="21" t="s">
        <v>35</v>
      </c>
      <c r="C169" s="21" t="s">
        <v>402</v>
      </c>
      <c r="D169" s="21" t="s">
        <v>403</v>
      </c>
      <c r="E169" s="21" t="s">
        <v>98</v>
      </c>
      <c r="F169" s="21" t="s">
        <v>404</v>
      </c>
      <c r="G169" s="29"/>
      <c r="H169" s="26"/>
    </row>
    <row r="170" ht="21.75" customHeight="1">
      <c r="A170" s="19">
        <v>168.0</v>
      </c>
      <c r="B170" s="21" t="s">
        <v>35</v>
      </c>
      <c r="C170" s="21" t="s">
        <v>405</v>
      </c>
      <c r="D170" s="21" t="s">
        <v>406</v>
      </c>
      <c r="E170" s="21" t="s">
        <v>98</v>
      </c>
      <c r="F170" s="21" t="s">
        <v>407</v>
      </c>
      <c r="G170" s="29"/>
      <c r="H170" s="26"/>
    </row>
    <row r="171" ht="21.75" customHeight="1">
      <c r="A171" s="19">
        <v>169.0</v>
      </c>
      <c r="B171" s="21" t="s">
        <v>35</v>
      </c>
      <c r="C171" s="21" t="s">
        <v>408</v>
      </c>
      <c r="D171" s="21" t="s">
        <v>226</v>
      </c>
      <c r="E171" s="21" t="s">
        <v>98</v>
      </c>
      <c r="F171" s="21" t="s">
        <v>409</v>
      </c>
      <c r="G171" s="29"/>
      <c r="H171" s="26"/>
    </row>
    <row r="172" ht="21.75" customHeight="1">
      <c r="A172" s="19">
        <v>170.0</v>
      </c>
      <c r="B172" s="21" t="s">
        <v>35</v>
      </c>
      <c r="C172" s="21" t="s">
        <v>410</v>
      </c>
      <c r="D172" s="21" t="s">
        <v>395</v>
      </c>
      <c r="E172" s="21" t="s">
        <v>98</v>
      </c>
      <c r="F172" s="21" t="s">
        <v>411</v>
      </c>
      <c r="G172" s="29"/>
      <c r="H172" s="26"/>
    </row>
    <row r="173" ht="21.75" customHeight="1">
      <c r="A173" s="19">
        <v>171.0</v>
      </c>
      <c r="B173" s="21" t="s">
        <v>35</v>
      </c>
      <c r="C173" s="21" t="s">
        <v>412</v>
      </c>
      <c r="D173" s="21" t="s">
        <v>101</v>
      </c>
      <c r="E173" s="21" t="s">
        <v>98</v>
      </c>
      <c r="F173" s="21" t="s">
        <v>413</v>
      </c>
      <c r="G173" s="29"/>
      <c r="H173" s="26"/>
    </row>
    <row r="174" ht="21.75" customHeight="1">
      <c r="A174" s="21">
        <v>172.0</v>
      </c>
      <c r="B174" s="21" t="s">
        <v>35</v>
      </c>
      <c r="C174" s="21" t="s">
        <v>414</v>
      </c>
      <c r="D174" s="21" t="s">
        <v>101</v>
      </c>
      <c r="E174" s="21" t="s">
        <v>98</v>
      </c>
      <c r="F174" s="21" t="s">
        <v>415</v>
      </c>
      <c r="G174" s="29"/>
      <c r="H174" s="26"/>
    </row>
    <row r="175" ht="21.75" customHeight="1">
      <c r="A175" s="21">
        <v>173.0</v>
      </c>
      <c r="B175" s="21" t="s">
        <v>35</v>
      </c>
      <c r="C175" s="21" t="s">
        <v>416</v>
      </c>
      <c r="D175" s="21" t="s">
        <v>101</v>
      </c>
      <c r="E175" s="21" t="s">
        <v>417</v>
      </c>
      <c r="F175" s="21" t="s">
        <v>418</v>
      </c>
      <c r="G175" s="29"/>
      <c r="H175" s="26"/>
    </row>
    <row r="176" ht="21.75" customHeight="1">
      <c r="A176" s="19">
        <v>174.0</v>
      </c>
      <c r="B176" s="21" t="s">
        <v>39</v>
      </c>
      <c r="C176" s="21" t="s">
        <v>419</v>
      </c>
      <c r="D176" s="21" t="s">
        <v>420</v>
      </c>
      <c r="E176" s="21" t="s">
        <v>115</v>
      </c>
      <c r="F176" s="21" t="s">
        <v>421</v>
      </c>
      <c r="G176" s="29"/>
      <c r="H176" s="26"/>
    </row>
    <row r="177" ht="21.75" customHeight="1">
      <c r="A177" s="19">
        <v>175.0</v>
      </c>
      <c r="B177" s="21" t="s">
        <v>39</v>
      </c>
      <c r="C177" s="21" t="s">
        <v>422</v>
      </c>
      <c r="D177" s="21" t="s">
        <v>423</v>
      </c>
      <c r="E177" s="21" t="s">
        <v>98</v>
      </c>
      <c r="F177" s="21" t="s">
        <v>424</v>
      </c>
      <c r="G177" s="29"/>
      <c r="H177" s="26"/>
    </row>
    <row r="178" ht="21.75" customHeight="1">
      <c r="A178" s="19">
        <v>176.0</v>
      </c>
      <c r="B178" s="21" t="s">
        <v>35</v>
      </c>
      <c r="C178" s="21" t="s">
        <v>425</v>
      </c>
      <c r="D178" s="21" t="s">
        <v>426</v>
      </c>
      <c r="E178" s="21" t="s">
        <v>115</v>
      </c>
      <c r="F178" s="21" t="s">
        <v>427</v>
      </c>
      <c r="G178" s="29"/>
      <c r="H178" s="26"/>
    </row>
    <row r="179" ht="21.75" customHeight="1">
      <c r="A179" s="19">
        <v>177.0</v>
      </c>
      <c r="B179" s="21" t="s">
        <v>40</v>
      </c>
      <c r="C179" s="21" t="s">
        <v>428</v>
      </c>
      <c r="D179" s="21" t="s">
        <v>311</v>
      </c>
      <c r="E179" s="21" t="s">
        <v>98</v>
      </c>
      <c r="F179" s="21" t="s">
        <v>429</v>
      </c>
      <c r="G179" s="29"/>
      <c r="H179" s="26"/>
    </row>
    <row r="180" ht="21.75" customHeight="1">
      <c r="A180" s="21">
        <v>178.0</v>
      </c>
      <c r="B180" s="21" t="s">
        <v>40</v>
      </c>
      <c r="C180" s="21" t="s">
        <v>430</v>
      </c>
      <c r="D180" s="21" t="s">
        <v>311</v>
      </c>
      <c r="E180" s="21" t="s">
        <v>98</v>
      </c>
      <c r="F180" s="21" t="s">
        <v>431</v>
      </c>
      <c r="G180" s="29"/>
      <c r="H180" s="26"/>
    </row>
    <row r="181" ht="21.75" customHeight="1">
      <c r="A181" s="21">
        <v>179.0</v>
      </c>
      <c r="B181" s="21" t="s">
        <v>40</v>
      </c>
      <c r="C181" s="21" t="s">
        <v>432</v>
      </c>
      <c r="D181" s="21" t="s">
        <v>311</v>
      </c>
      <c r="E181" s="21" t="s">
        <v>98</v>
      </c>
      <c r="F181" s="21" t="s">
        <v>433</v>
      </c>
      <c r="G181" s="29"/>
      <c r="H181" s="26"/>
    </row>
    <row r="182" ht="21.75" customHeight="1">
      <c r="A182" s="19">
        <v>180.0</v>
      </c>
      <c r="B182" s="21" t="s">
        <v>40</v>
      </c>
      <c r="C182" s="21" t="s">
        <v>434</v>
      </c>
      <c r="D182" s="21" t="s">
        <v>311</v>
      </c>
      <c r="E182" s="21" t="s">
        <v>98</v>
      </c>
      <c r="F182" s="21" t="s">
        <v>435</v>
      </c>
      <c r="G182" s="29"/>
      <c r="H182" s="26"/>
    </row>
    <row r="183" ht="21.75" customHeight="1">
      <c r="A183" s="19">
        <v>181.0</v>
      </c>
      <c r="B183" s="21" t="s">
        <v>40</v>
      </c>
      <c r="C183" s="21" t="s">
        <v>436</v>
      </c>
      <c r="D183" s="21" t="s">
        <v>311</v>
      </c>
      <c r="E183" s="21" t="s">
        <v>98</v>
      </c>
      <c r="F183" s="21" t="s">
        <v>437</v>
      </c>
      <c r="G183" s="29"/>
      <c r="H183" s="26"/>
    </row>
    <row r="184" ht="21.75" customHeight="1">
      <c r="A184" s="19">
        <v>182.0</v>
      </c>
      <c r="B184" s="21" t="s">
        <v>40</v>
      </c>
      <c r="C184" s="21" t="s">
        <v>438</v>
      </c>
      <c r="D184" s="21" t="s">
        <v>311</v>
      </c>
      <c r="E184" s="21" t="s">
        <v>98</v>
      </c>
      <c r="F184" s="21" t="s">
        <v>439</v>
      </c>
      <c r="G184" s="29"/>
      <c r="H184" s="26"/>
    </row>
    <row r="185" ht="21.75" customHeight="1">
      <c r="A185" s="19">
        <v>183.0</v>
      </c>
      <c r="B185" s="21" t="s">
        <v>40</v>
      </c>
      <c r="C185" s="21" t="s">
        <v>440</v>
      </c>
      <c r="D185" s="21" t="s">
        <v>311</v>
      </c>
      <c r="E185" s="21" t="s">
        <v>98</v>
      </c>
      <c r="F185" s="21" t="s">
        <v>441</v>
      </c>
      <c r="G185" s="29"/>
      <c r="H185" s="26"/>
    </row>
    <row r="186" ht="21.75" customHeight="1">
      <c r="A186" s="21">
        <v>184.0</v>
      </c>
      <c r="B186" s="21" t="s">
        <v>40</v>
      </c>
      <c r="C186" s="21" t="s">
        <v>442</v>
      </c>
      <c r="D186" s="21" t="s">
        <v>311</v>
      </c>
      <c r="E186" s="21" t="s">
        <v>98</v>
      </c>
      <c r="F186" s="21" t="s">
        <v>443</v>
      </c>
      <c r="G186" s="29"/>
      <c r="H186" s="26"/>
    </row>
    <row r="187" ht="21.75" customHeight="1">
      <c r="A187" s="21">
        <v>185.0</v>
      </c>
      <c r="B187" s="21" t="s">
        <v>40</v>
      </c>
      <c r="C187" s="21" t="s">
        <v>444</v>
      </c>
      <c r="D187" s="21" t="s">
        <v>311</v>
      </c>
      <c r="E187" s="21" t="s">
        <v>98</v>
      </c>
      <c r="F187" s="21" t="s">
        <v>445</v>
      </c>
      <c r="G187" s="29"/>
      <c r="H187" s="26"/>
    </row>
    <row r="188" ht="21.75" customHeight="1">
      <c r="A188" s="19">
        <v>186.0</v>
      </c>
      <c r="B188" s="21" t="s">
        <v>40</v>
      </c>
      <c r="C188" s="21" t="s">
        <v>446</v>
      </c>
      <c r="D188" s="21" t="s">
        <v>311</v>
      </c>
      <c r="E188" s="21" t="s">
        <v>98</v>
      </c>
      <c r="F188" s="21" t="s">
        <v>447</v>
      </c>
      <c r="G188" s="29"/>
      <c r="H188" s="26"/>
    </row>
    <row r="189" ht="21.75" customHeight="1">
      <c r="A189" s="19">
        <v>187.0</v>
      </c>
      <c r="B189" s="21" t="s">
        <v>38</v>
      </c>
      <c r="C189" s="21" t="s">
        <v>448</v>
      </c>
      <c r="D189" s="21" t="s">
        <v>311</v>
      </c>
      <c r="E189" s="21" t="s">
        <v>98</v>
      </c>
      <c r="F189" s="21" t="s">
        <v>449</v>
      </c>
      <c r="G189" s="29"/>
      <c r="H189" s="26"/>
    </row>
    <row r="190" ht="21.75" customHeight="1">
      <c r="A190" s="19">
        <v>188.0</v>
      </c>
      <c r="B190" s="21" t="s">
        <v>42</v>
      </c>
      <c r="C190" s="21" t="s">
        <v>450</v>
      </c>
      <c r="D190" s="21" t="s">
        <v>451</v>
      </c>
      <c r="E190" s="21" t="s">
        <v>115</v>
      </c>
      <c r="F190" s="21" t="s">
        <v>452</v>
      </c>
      <c r="G190" s="29"/>
      <c r="H190" s="26"/>
    </row>
    <row r="191" ht="21.75" customHeight="1">
      <c r="A191" s="19">
        <v>189.0</v>
      </c>
      <c r="B191" s="21" t="s">
        <v>41</v>
      </c>
      <c r="C191" s="21" t="s">
        <v>453</v>
      </c>
      <c r="D191" s="21" t="s">
        <v>328</v>
      </c>
      <c r="E191" s="21" t="s">
        <v>115</v>
      </c>
      <c r="F191" s="21" t="s">
        <v>454</v>
      </c>
      <c r="G191" s="29"/>
      <c r="H191" s="26"/>
    </row>
    <row r="192" ht="21.75" customHeight="1">
      <c r="A192" s="21">
        <v>190.0</v>
      </c>
      <c r="B192" s="21" t="s">
        <v>41</v>
      </c>
      <c r="C192" s="21" t="s">
        <v>455</v>
      </c>
      <c r="D192" s="21" t="s">
        <v>328</v>
      </c>
      <c r="E192" s="21" t="s">
        <v>98</v>
      </c>
      <c r="F192" s="21" t="s">
        <v>456</v>
      </c>
      <c r="G192" s="29"/>
      <c r="H192" s="26"/>
    </row>
    <row r="193" ht="21.75" customHeight="1">
      <c r="A193" s="21">
        <v>191.0</v>
      </c>
      <c r="B193" s="21" t="s">
        <v>43</v>
      </c>
      <c r="C193" s="21" t="s">
        <v>457</v>
      </c>
      <c r="D193" s="21" t="s">
        <v>458</v>
      </c>
      <c r="E193" s="21" t="s">
        <v>115</v>
      </c>
      <c r="F193" s="21" t="s">
        <v>459</v>
      </c>
      <c r="G193" s="29"/>
      <c r="H193" s="26"/>
    </row>
    <row r="194" ht="21.75" customHeight="1">
      <c r="A194" s="19">
        <v>192.0</v>
      </c>
      <c r="B194" s="21" t="s">
        <v>46</v>
      </c>
      <c r="C194" s="21" t="s">
        <v>460</v>
      </c>
      <c r="D194" s="21" t="s">
        <v>261</v>
      </c>
      <c r="E194" s="21" t="s">
        <v>115</v>
      </c>
      <c r="F194" s="21" t="s">
        <v>461</v>
      </c>
      <c r="G194" s="29"/>
      <c r="H194" s="26"/>
    </row>
    <row r="195" ht="21.75" customHeight="1">
      <c r="A195" s="19">
        <v>193.0</v>
      </c>
      <c r="B195" s="21" t="s">
        <v>47</v>
      </c>
      <c r="C195" s="21" t="s">
        <v>462</v>
      </c>
      <c r="D195" s="21" t="s">
        <v>463</v>
      </c>
      <c r="E195" s="21" t="s">
        <v>98</v>
      </c>
      <c r="F195" s="21" t="s">
        <v>464</v>
      </c>
      <c r="G195" s="29"/>
      <c r="H195" s="26"/>
    </row>
    <row r="196" ht="21.75" customHeight="1">
      <c r="A196" s="19">
        <v>194.0</v>
      </c>
      <c r="B196" s="21" t="s">
        <v>46</v>
      </c>
      <c r="C196" s="21" t="s">
        <v>465</v>
      </c>
      <c r="D196" s="21" t="s">
        <v>466</v>
      </c>
      <c r="E196" s="21" t="s">
        <v>115</v>
      </c>
      <c r="F196" s="21" t="s">
        <v>467</v>
      </c>
      <c r="G196" s="29"/>
      <c r="H196" s="26"/>
    </row>
    <row r="197" ht="21.75" customHeight="1">
      <c r="A197" s="19">
        <v>195.0</v>
      </c>
      <c r="B197" s="21" t="s">
        <v>46</v>
      </c>
      <c r="C197" s="21" t="s">
        <v>468</v>
      </c>
      <c r="D197" s="21" t="s">
        <v>469</v>
      </c>
      <c r="E197" s="21" t="s">
        <v>115</v>
      </c>
      <c r="F197" s="21" t="s">
        <v>470</v>
      </c>
      <c r="G197" s="29"/>
      <c r="H197" s="26"/>
    </row>
    <row r="198" ht="21.75" customHeight="1">
      <c r="A198" s="21">
        <v>196.0</v>
      </c>
      <c r="B198" s="21" t="s">
        <v>48</v>
      </c>
      <c r="C198" s="21" t="s">
        <v>471</v>
      </c>
      <c r="D198" s="21" t="s">
        <v>466</v>
      </c>
      <c r="E198" s="21" t="s">
        <v>115</v>
      </c>
      <c r="F198" s="21" t="s">
        <v>472</v>
      </c>
      <c r="G198" s="29"/>
      <c r="H198" s="26"/>
    </row>
    <row r="199" ht="21.75" customHeight="1">
      <c r="A199" s="21">
        <v>197.0</v>
      </c>
      <c r="B199" s="21" t="s">
        <v>48</v>
      </c>
      <c r="C199" s="21" t="s">
        <v>473</v>
      </c>
      <c r="D199" s="21" t="s">
        <v>466</v>
      </c>
      <c r="E199" s="21" t="s">
        <v>115</v>
      </c>
      <c r="F199" s="21" t="s">
        <v>474</v>
      </c>
      <c r="G199" s="29"/>
      <c r="H199" s="26"/>
    </row>
    <row r="200" ht="21.75" customHeight="1">
      <c r="A200" s="19">
        <v>198.0</v>
      </c>
      <c r="B200" s="21" t="s">
        <v>44</v>
      </c>
      <c r="C200" s="21" t="s">
        <v>475</v>
      </c>
      <c r="D200" s="21" t="s">
        <v>476</v>
      </c>
      <c r="E200" s="21" t="s">
        <v>115</v>
      </c>
      <c r="F200" s="21" t="s">
        <v>477</v>
      </c>
      <c r="G200" s="29"/>
      <c r="H200" s="26"/>
    </row>
    <row r="201" ht="21.75" customHeight="1">
      <c r="A201" s="19">
        <v>199.0</v>
      </c>
      <c r="B201" s="21" t="s">
        <v>44</v>
      </c>
      <c r="C201" s="21" t="s">
        <v>478</v>
      </c>
      <c r="D201" s="21" t="s">
        <v>466</v>
      </c>
      <c r="E201" s="21" t="s">
        <v>115</v>
      </c>
      <c r="F201" s="21" t="s">
        <v>479</v>
      </c>
      <c r="G201" s="29"/>
      <c r="H201" s="26"/>
    </row>
    <row r="202" ht="21.75" customHeight="1">
      <c r="A202" s="19">
        <v>200.0</v>
      </c>
      <c r="B202" s="21" t="s">
        <v>45</v>
      </c>
      <c r="C202" s="21" t="s">
        <v>480</v>
      </c>
      <c r="D202" s="21" t="s">
        <v>466</v>
      </c>
      <c r="E202" s="21" t="s">
        <v>115</v>
      </c>
      <c r="F202" s="21" t="s">
        <v>481</v>
      </c>
      <c r="G202" s="29"/>
      <c r="H202" s="26"/>
    </row>
    <row r="203" ht="21.75" customHeight="1">
      <c r="A203" s="19">
        <v>201.0</v>
      </c>
      <c r="B203" s="21" t="s">
        <v>34</v>
      </c>
      <c r="C203" s="21" t="s">
        <v>482</v>
      </c>
      <c r="D203" s="21" t="s">
        <v>483</v>
      </c>
      <c r="E203" s="21" t="s">
        <v>98</v>
      </c>
      <c r="F203" s="21" t="s">
        <v>484</v>
      </c>
      <c r="G203" s="29"/>
      <c r="H203" s="26"/>
    </row>
    <row r="204" ht="21.75" customHeight="1">
      <c r="A204" s="21">
        <v>202.0</v>
      </c>
      <c r="B204" s="21" t="s">
        <v>34</v>
      </c>
      <c r="C204" s="21" t="s">
        <v>485</v>
      </c>
      <c r="D204" s="21" t="s">
        <v>486</v>
      </c>
      <c r="E204" s="21" t="s">
        <v>98</v>
      </c>
      <c r="F204" s="21" t="s">
        <v>487</v>
      </c>
      <c r="G204" s="29"/>
      <c r="H204" s="26"/>
    </row>
    <row r="205" ht="21.75" customHeight="1">
      <c r="A205" s="21">
        <v>203.0</v>
      </c>
      <c r="B205" s="21" t="s">
        <v>34</v>
      </c>
      <c r="C205" s="21" t="s">
        <v>488</v>
      </c>
      <c r="D205" s="21" t="s">
        <v>311</v>
      </c>
      <c r="E205" s="21" t="s">
        <v>98</v>
      </c>
      <c r="F205" s="21" t="s">
        <v>489</v>
      </c>
      <c r="G205" s="29"/>
      <c r="H205" s="26"/>
    </row>
    <row r="206" ht="21.75" customHeight="1">
      <c r="A206" s="19">
        <v>204.0</v>
      </c>
      <c r="B206" s="21" t="s">
        <v>34</v>
      </c>
      <c r="C206" s="21" t="s">
        <v>490</v>
      </c>
      <c r="D206" s="21" t="s">
        <v>311</v>
      </c>
      <c r="E206" s="21" t="s">
        <v>98</v>
      </c>
      <c r="F206" s="21" t="s">
        <v>322</v>
      </c>
      <c r="G206" s="29"/>
      <c r="H206" s="26"/>
    </row>
    <row r="207" ht="21.75" customHeight="1">
      <c r="A207" s="19">
        <v>205.0</v>
      </c>
      <c r="B207" s="21" t="s">
        <v>34</v>
      </c>
      <c r="C207" s="21" t="s">
        <v>491</v>
      </c>
      <c r="D207" s="21" t="s">
        <v>315</v>
      </c>
      <c r="E207" s="21" t="s">
        <v>98</v>
      </c>
      <c r="F207" s="21" t="s">
        <v>492</v>
      </c>
      <c r="G207" s="29"/>
      <c r="H207" s="26"/>
    </row>
    <row r="208" ht="21.75" customHeight="1">
      <c r="A208" s="19">
        <v>206.0</v>
      </c>
      <c r="B208" s="21" t="s">
        <v>34</v>
      </c>
      <c r="C208" s="21" t="s">
        <v>493</v>
      </c>
      <c r="D208" s="21" t="s">
        <v>311</v>
      </c>
      <c r="E208" s="21" t="s">
        <v>98</v>
      </c>
      <c r="F208" s="21" t="s">
        <v>494</v>
      </c>
      <c r="G208" s="29"/>
      <c r="H208" s="26"/>
    </row>
    <row r="209" ht="21.75" customHeight="1">
      <c r="A209" s="19">
        <v>207.0</v>
      </c>
      <c r="B209" s="21" t="s">
        <v>34</v>
      </c>
      <c r="C209" s="21" t="s">
        <v>495</v>
      </c>
      <c r="D209" s="21" t="s">
        <v>496</v>
      </c>
      <c r="E209" s="21" t="s">
        <v>98</v>
      </c>
      <c r="F209" s="21" t="s">
        <v>497</v>
      </c>
      <c r="G209" s="29"/>
      <c r="H209" s="26"/>
    </row>
    <row r="210" ht="21.75" customHeight="1">
      <c r="A210" s="21">
        <v>208.0</v>
      </c>
      <c r="B210" s="21" t="s">
        <v>40</v>
      </c>
      <c r="C210" s="21" t="s">
        <v>498</v>
      </c>
      <c r="D210" s="21" t="s">
        <v>311</v>
      </c>
      <c r="E210" s="21" t="s">
        <v>98</v>
      </c>
      <c r="F210" s="21" t="s">
        <v>499</v>
      </c>
      <c r="G210" s="29"/>
      <c r="H210" s="26"/>
    </row>
    <row r="211" ht="21.75" customHeight="1">
      <c r="A211" s="21">
        <v>209.0</v>
      </c>
      <c r="B211" s="21" t="s">
        <v>35</v>
      </c>
      <c r="C211" s="21" t="s">
        <v>500</v>
      </c>
      <c r="D211" s="21" t="s">
        <v>501</v>
      </c>
      <c r="E211" s="21" t="s">
        <v>98</v>
      </c>
      <c r="F211" s="21" t="s">
        <v>502</v>
      </c>
      <c r="G211" s="29"/>
      <c r="H211" s="26"/>
    </row>
    <row r="212" ht="21.75" customHeight="1">
      <c r="A212" s="19">
        <v>210.0</v>
      </c>
      <c r="B212" s="21" t="s">
        <v>35</v>
      </c>
      <c r="C212" s="21" t="s">
        <v>503</v>
      </c>
      <c r="D212" s="21" t="s">
        <v>501</v>
      </c>
      <c r="E212" s="21" t="s">
        <v>98</v>
      </c>
      <c r="F212" s="21" t="s">
        <v>504</v>
      </c>
      <c r="G212" s="29"/>
      <c r="H212" s="26"/>
    </row>
    <row r="213" ht="21.75" customHeight="1">
      <c r="A213" s="19">
        <v>211.0</v>
      </c>
      <c r="B213" s="21" t="s">
        <v>35</v>
      </c>
      <c r="C213" s="21" t="s">
        <v>505</v>
      </c>
      <c r="D213" s="21" t="s">
        <v>506</v>
      </c>
      <c r="E213" s="21" t="s">
        <v>98</v>
      </c>
      <c r="F213" s="21" t="s">
        <v>507</v>
      </c>
      <c r="G213" s="29"/>
      <c r="H213" s="26"/>
    </row>
    <row r="214" ht="21.75" customHeight="1">
      <c r="A214" s="19">
        <v>212.0</v>
      </c>
      <c r="B214" s="21" t="s">
        <v>35</v>
      </c>
      <c r="C214" s="21" t="s">
        <v>508</v>
      </c>
      <c r="D214" s="21" t="s">
        <v>509</v>
      </c>
      <c r="E214" s="21" t="s">
        <v>98</v>
      </c>
      <c r="F214" s="21" t="s">
        <v>510</v>
      </c>
      <c r="G214" s="29"/>
      <c r="H214" s="26"/>
    </row>
    <row r="215" ht="21.75" customHeight="1">
      <c r="A215" s="19">
        <v>213.0</v>
      </c>
      <c r="B215" s="21" t="s">
        <v>35</v>
      </c>
      <c r="C215" s="21" t="s">
        <v>511</v>
      </c>
      <c r="D215" s="21" t="s">
        <v>311</v>
      </c>
      <c r="E215" s="21" t="s">
        <v>98</v>
      </c>
      <c r="F215" s="21" t="s">
        <v>512</v>
      </c>
      <c r="G215" s="29"/>
      <c r="H215" s="26"/>
    </row>
    <row r="216" ht="21.75" customHeight="1">
      <c r="A216" s="21">
        <v>214.0</v>
      </c>
      <c r="B216" s="21" t="s">
        <v>29</v>
      </c>
      <c r="C216" s="21" t="s">
        <v>513</v>
      </c>
      <c r="D216" s="21" t="s">
        <v>466</v>
      </c>
      <c r="E216" s="21" t="s">
        <v>115</v>
      </c>
      <c r="F216" s="21" t="s">
        <v>514</v>
      </c>
      <c r="G216" s="29"/>
      <c r="H216" s="26"/>
    </row>
    <row r="217" ht="21.75" customHeight="1">
      <c r="A217" s="21">
        <v>215.0</v>
      </c>
      <c r="B217" s="21" t="s">
        <v>49</v>
      </c>
      <c r="C217" s="21" t="s">
        <v>515</v>
      </c>
      <c r="D217" s="21" t="s">
        <v>466</v>
      </c>
      <c r="E217" s="21" t="s">
        <v>115</v>
      </c>
      <c r="F217" s="21" t="s">
        <v>516</v>
      </c>
      <c r="G217" s="29"/>
      <c r="H217" s="26"/>
    </row>
    <row r="218" ht="21.75" customHeight="1">
      <c r="A218" s="19">
        <v>216.0</v>
      </c>
      <c r="B218" s="21" t="s">
        <v>50</v>
      </c>
      <c r="C218" s="21" t="s">
        <v>517</v>
      </c>
      <c r="D218" s="21" t="s">
        <v>466</v>
      </c>
      <c r="E218" s="21" t="s">
        <v>115</v>
      </c>
      <c r="F218" s="21" t="s">
        <v>518</v>
      </c>
      <c r="G218" s="29"/>
      <c r="H218" s="26"/>
    </row>
    <row r="219" ht="21.75" customHeight="1">
      <c r="A219" s="19">
        <v>217.0</v>
      </c>
      <c r="B219" s="21" t="s">
        <v>50</v>
      </c>
      <c r="C219" s="21" t="s">
        <v>519</v>
      </c>
      <c r="D219" s="21" t="s">
        <v>466</v>
      </c>
      <c r="E219" s="21" t="s">
        <v>115</v>
      </c>
      <c r="F219" s="21" t="s">
        <v>520</v>
      </c>
      <c r="G219" s="29"/>
      <c r="H219" s="26"/>
    </row>
    <row r="220" ht="21.75" customHeight="1">
      <c r="A220" s="19">
        <v>218.0</v>
      </c>
      <c r="B220" s="21" t="s">
        <v>18</v>
      </c>
      <c r="C220" s="21" t="s">
        <v>521</v>
      </c>
      <c r="D220" s="21" t="s">
        <v>522</v>
      </c>
      <c r="E220" s="21" t="s">
        <v>98</v>
      </c>
      <c r="F220" s="21" t="s">
        <v>523</v>
      </c>
      <c r="G220" s="29"/>
      <c r="H220" s="26"/>
    </row>
    <row r="221" ht="15.75" customHeight="1">
      <c r="A221" s="19">
        <v>219.0</v>
      </c>
      <c r="B221" s="30" t="s">
        <v>18</v>
      </c>
      <c r="C221" s="30" t="s">
        <v>524</v>
      </c>
      <c r="D221" s="30" t="s">
        <v>522</v>
      </c>
      <c r="E221" s="30" t="s">
        <v>98</v>
      </c>
      <c r="F221" s="30" t="s">
        <v>525</v>
      </c>
      <c r="G221" s="29"/>
      <c r="H221" s="26"/>
    </row>
    <row r="222" ht="15.75" customHeight="1">
      <c r="A222" s="21">
        <v>220.0</v>
      </c>
      <c r="B222" s="30" t="s">
        <v>40</v>
      </c>
      <c r="C222" s="30" t="s">
        <v>526</v>
      </c>
      <c r="D222" s="30" t="s">
        <v>311</v>
      </c>
      <c r="E222" s="30" t="s">
        <v>98</v>
      </c>
      <c r="F222" s="30" t="s">
        <v>527</v>
      </c>
      <c r="G222" s="29"/>
      <c r="H222" s="26"/>
    </row>
    <row r="223" ht="15.75" customHeight="1">
      <c r="A223" s="21">
        <v>221.0</v>
      </c>
      <c r="B223" s="30" t="s">
        <v>40</v>
      </c>
      <c r="C223" s="30" t="s">
        <v>528</v>
      </c>
      <c r="D223" s="30" t="s">
        <v>311</v>
      </c>
      <c r="E223" s="30" t="s">
        <v>98</v>
      </c>
      <c r="F223" s="30" t="s">
        <v>529</v>
      </c>
      <c r="G223" s="29"/>
      <c r="H223" s="26"/>
    </row>
    <row r="224" ht="15.75" customHeight="1">
      <c r="A224" s="19">
        <v>222.0</v>
      </c>
      <c r="B224" s="30" t="s">
        <v>40</v>
      </c>
      <c r="C224" s="30" t="s">
        <v>530</v>
      </c>
      <c r="D224" s="30" t="s">
        <v>311</v>
      </c>
      <c r="E224" s="30" t="s">
        <v>98</v>
      </c>
      <c r="F224" s="30" t="s">
        <v>531</v>
      </c>
      <c r="G224" s="29"/>
      <c r="H224" s="26"/>
    </row>
    <row r="225" ht="15.75" customHeight="1">
      <c r="A225" s="19">
        <v>223.0</v>
      </c>
      <c r="B225" s="30" t="s">
        <v>51</v>
      </c>
      <c r="C225" s="30" t="s">
        <v>532</v>
      </c>
      <c r="D225" s="30" t="s">
        <v>269</v>
      </c>
      <c r="E225" s="30" t="s">
        <v>98</v>
      </c>
      <c r="F225" s="30" t="s">
        <v>533</v>
      </c>
      <c r="G225" s="29"/>
      <c r="H225" s="26"/>
    </row>
    <row r="226" ht="15.75" customHeight="1">
      <c r="A226" s="19">
        <v>224.0</v>
      </c>
      <c r="B226" s="30" t="s">
        <v>40</v>
      </c>
      <c r="C226" s="30" t="s">
        <v>430</v>
      </c>
      <c r="D226" s="31"/>
      <c r="E226" s="31"/>
      <c r="F226" s="31"/>
      <c r="G226" s="29"/>
      <c r="H226" s="26"/>
    </row>
    <row r="227" ht="15.75" customHeight="1">
      <c r="A227" s="19">
        <v>225.0</v>
      </c>
      <c r="B227" s="30" t="s">
        <v>52</v>
      </c>
      <c r="C227" s="30" t="s">
        <v>534</v>
      </c>
      <c r="D227" s="30" t="s">
        <v>250</v>
      </c>
      <c r="E227" s="30" t="s">
        <v>98</v>
      </c>
      <c r="F227" s="30">
        <v>9.991031172E9</v>
      </c>
      <c r="G227" s="29"/>
      <c r="H227" s="26"/>
    </row>
    <row r="228" ht="15.75" customHeight="1">
      <c r="A228" s="21">
        <v>226.0</v>
      </c>
      <c r="B228" s="30" t="s">
        <v>53</v>
      </c>
      <c r="C228" s="30" t="s">
        <v>535</v>
      </c>
      <c r="D228" s="30" t="s">
        <v>536</v>
      </c>
      <c r="E228" s="30" t="s">
        <v>115</v>
      </c>
      <c r="F228" s="30">
        <v>7.0607695102E10</v>
      </c>
      <c r="G228" s="29"/>
      <c r="H228" s="26"/>
    </row>
    <row r="229" ht="15.75" customHeight="1">
      <c r="A229" s="21">
        <v>227.0</v>
      </c>
      <c r="B229" s="32" t="s">
        <v>53</v>
      </c>
      <c r="C229" s="32" t="s">
        <v>537</v>
      </c>
      <c r="D229" s="32" t="s">
        <v>538</v>
      </c>
      <c r="E229" s="32" t="s">
        <v>98</v>
      </c>
      <c r="F229" s="32">
        <v>5.825756132E9</v>
      </c>
      <c r="G229" s="29"/>
      <c r="H229" s="26"/>
    </row>
    <row r="230" ht="15.75" customHeight="1">
      <c r="A230" s="19">
        <v>228.0</v>
      </c>
      <c r="B230" s="32" t="s">
        <v>53</v>
      </c>
      <c r="C230" s="32" t="s">
        <v>539</v>
      </c>
      <c r="D230" s="32" t="s">
        <v>538</v>
      </c>
      <c r="E230" s="32" t="s">
        <v>98</v>
      </c>
      <c r="F230" s="32">
        <v>9.514442121E9</v>
      </c>
      <c r="G230" s="29"/>
      <c r="H230" s="26"/>
    </row>
    <row r="231" ht="15.75" customHeight="1">
      <c r="A231" s="19">
        <v>229.0</v>
      </c>
      <c r="B231" s="32" t="s">
        <v>53</v>
      </c>
      <c r="C231" s="32" t="s">
        <v>540</v>
      </c>
      <c r="D231" s="32" t="s">
        <v>538</v>
      </c>
      <c r="E231" s="32" t="s">
        <v>98</v>
      </c>
      <c r="F231" s="32">
        <v>8.667936154E9</v>
      </c>
      <c r="G231" s="29"/>
      <c r="H231" s="26"/>
    </row>
    <row r="232" ht="15.75" customHeight="1">
      <c r="A232" s="19">
        <v>230.0</v>
      </c>
      <c r="B232" s="32" t="s">
        <v>53</v>
      </c>
      <c r="C232" s="32" t="s">
        <v>541</v>
      </c>
      <c r="D232" s="32" t="s">
        <v>538</v>
      </c>
      <c r="E232" s="32" t="s">
        <v>98</v>
      </c>
      <c r="F232" s="32">
        <v>7.052204517E10</v>
      </c>
      <c r="G232" s="29"/>
      <c r="H232" s="26"/>
    </row>
    <row r="233" ht="15.75" customHeight="1">
      <c r="A233" s="19">
        <v>231.0</v>
      </c>
      <c r="B233" s="32" t="s">
        <v>35</v>
      </c>
      <c r="C233" s="32" t="s">
        <v>542</v>
      </c>
      <c r="D233" s="32" t="s">
        <v>543</v>
      </c>
      <c r="E233" s="32" t="s">
        <v>98</v>
      </c>
      <c r="F233" s="32">
        <v>8.322044127E9</v>
      </c>
      <c r="G233" s="29"/>
      <c r="H233" s="26"/>
    </row>
    <row r="234" ht="15.75" customHeight="1">
      <c r="A234" s="21">
        <v>232.0</v>
      </c>
      <c r="B234" s="32" t="s">
        <v>35</v>
      </c>
      <c r="C234" s="32" t="s">
        <v>374</v>
      </c>
      <c r="D234" s="32" t="s">
        <v>543</v>
      </c>
      <c r="E234" s="32" t="s">
        <v>98</v>
      </c>
      <c r="F234" s="32">
        <v>3.415216128E9</v>
      </c>
      <c r="G234" s="29"/>
      <c r="H234" s="26"/>
    </row>
    <row r="235" ht="15.75" customHeight="1">
      <c r="A235" s="21">
        <v>233.0</v>
      </c>
      <c r="B235" s="32" t="s">
        <v>35</v>
      </c>
      <c r="C235" s="32" t="s">
        <v>544</v>
      </c>
      <c r="D235" s="32" t="s">
        <v>545</v>
      </c>
      <c r="E235" s="32" t="s">
        <v>98</v>
      </c>
      <c r="F235" s="32">
        <v>3.220507158E9</v>
      </c>
      <c r="G235" s="29"/>
      <c r="H235" s="26"/>
    </row>
    <row r="236" ht="15.75" customHeight="1">
      <c r="A236" s="19">
        <v>234.0</v>
      </c>
      <c r="B236" s="32" t="s">
        <v>35</v>
      </c>
      <c r="C236" s="32" t="s">
        <v>546</v>
      </c>
      <c r="D236" s="32" t="s">
        <v>216</v>
      </c>
      <c r="E236" s="32" t="s">
        <v>98</v>
      </c>
      <c r="F236" s="32">
        <v>9.05071182E8</v>
      </c>
      <c r="G236" s="29"/>
      <c r="H236" s="26"/>
    </row>
    <row r="237" ht="15.75" customHeight="1">
      <c r="A237" s="19">
        <v>235.0</v>
      </c>
      <c r="B237" s="32" t="s">
        <v>35</v>
      </c>
      <c r="C237" s="32" t="s">
        <v>547</v>
      </c>
      <c r="D237" s="32" t="s">
        <v>216</v>
      </c>
      <c r="E237" s="32" t="s">
        <v>98</v>
      </c>
      <c r="F237" s="32">
        <v>7.1027934137E10</v>
      </c>
      <c r="G237" s="29"/>
      <c r="H237" s="26"/>
    </row>
    <row r="238" ht="15.75" customHeight="1">
      <c r="A238" s="19">
        <v>236.0</v>
      </c>
      <c r="B238" s="32" t="s">
        <v>35</v>
      </c>
      <c r="C238" s="32" t="s">
        <v>548</v>
      </c>
      <c r="D238" s="32" t="s">
        <v>216</v>
      </c>
      <c r="E238" s="32" t="s">
        <v>98</v>
      </c>
      <c r="F238" s="32">
        <v>7.7830238134E10</v>
      </c>
      <c r="G238" s="29"/>
      <c r="H238" s="26"/>
    </row>
    <row r="239" ht="15.75" customHeight="1">
      <c r="A239" s="19">
        <v>237.0</v>
      </c>
      <c r="B239" s="32" t="s">
        <v>35</v>
      </c>
      <c r="C239" s="32" t="s">
        <v>549</v>
      </c>
      <c r="D239" s="32" t="s">
        <v>216</v>
      </c>
      <c r="E239" s="32" t="s">
        <v>98</v>
      </c>
      <c r="F239" s="32">
        <v>6.182722835E10</v>
      </c>
      <c r="G239" s="29"/>
      <c r="H239" s="26"/>
    </row>
    <row r="240" ht="15.75" customHeight="1">
      <c r="A240" s="21">
        <v>238.0</v>
      </c>
      <c r="B240" s="32" t="s">
        <v>31</v>
      </c>
      <c r="C240" s="33" t="s">
        <v>550</v>
      </c>
      <c r="D240" s="32" t="s">
        <v>144</v>
      </c>
      <c r="E240" s="32" t="s">
        <v>98</v>
      </c>
      <c r="F240" s="32">
        <v>8.6970036529E10</v>
      </c>
      <c r="G240" s="29"/>
      <c r="H240" s="26"/>
    </row>
    <row r="241" ht="15.75" customHeight="1">
      <c r="A241" s="21">
        <v>239.0</v>
      </c>
      <c r="B241" s="32" t="s">
        <v>53</v>
      </c>
      <c r="C241" s="32" t="s">
        <v>551</v>
      </c>
      <c r="D241" s="32" t="s">
        <v>538</v>
      </c>
      <c r="E241" s="34"/>
      <c r="F241" s="32">
        <v>7.1026952174E10</v>
      </c>
      <c r="G241" s="29"/>
      <c r="H241" s="26"/>
    </row>
    <row r="242" ht="15.75" customHeight="1">
      <c r="A242" s="19">
        <v>240.0</v>
      </c>
      <c r="B242" s="32" t="s">
        <v>53</v>
      </c>
      <c r="C242" s="32" t="s">
        <v>552</v>
      </c>
      <c r="D242" s="32" t="s">
        <v>538</v>
      </c>
      <c r="E242" s="34"/>
      <c r="F242" s="32">
        <v>2.836328282E9</v>
      </c>
      <c r="G242" s="29"/>
      <c r="H242" s="26"/>
    </row>
    <row r="243" ht="15.75" customHeight="1">
      <c r="A243" s="19">
        <v>241.0</v>
      </c>
      <c r="B243" s="32" t="s">
        <v>40</v>
      </c>
      <c r="C243" s="32" t="s">
        <v>553</v>
      </c>
      <c r="D243" s="32" t="s">
        <v>250</v>
      </c>
      <c r="E243" s="34"/>
      <c r="F243" s="32">
        <v>2.270205103E9</v>
      </c>
      <c r="G243" s="29"/>
      <c r="H243" s="26"/>
    </row>
    <row r="244" ht="15.75" customHeight="1">
      <c r="A244" s="19">
        <v>242.0</v>
      </c>
      <c r="B244" s="32" t="s">
        <v>29</v>
      </c>
      <c r="C244" s="32" t="s">
        <v>554</v>
      </c>
      <c r="D244" s="32" t="s">
        <v>555</v>
      </c>
      <c r="E244" s="32" t="s">
        <v>115</v>
      </c>
      <c r="F244" s="32">
        <v>5.489370106E9</v>
      </c>
      <c r="G244" s="29"/>
      <c r="H244" s="26"/>
    </row>
    <row r="245" ht="15.75" customHeight="1">
      <c r="A245" s="19">
        <v>243.0</v>
      </c>
      <c r="B245" s="32" t="s">
        <v>29</v>
      </c>
      <c r="C245" s="32" t="s">
        <v>556</v>
      </c>
      <c r="D245" s="32" t="s">
        <v>87</v>
      </c>
      <c r="E245" s="32" t="s">
        <v>98</v>
      </c>
      <c r="F245" s="32">
        <v>5.9781866187E10</v>
      </c>
      <c r="G245" s="29"/>
      <c r="H245" s="26"/>
    </row>
    <row r="246" ht="15.75" customHeight="1">
      <c r="A246" s="21">
        <v>244.0</v>
      </c>
      <c r="B246" s="32" t="s">
        <v>28</v>
      </c>
      <c r="C246" s="33" t="s">
        <v>557</v>
      </c>
      <c r="D246" s="32" t="s">
        <v>558</v>
      </c>
      <c r="E246" s="32" t="s">
        <v>98</v>
      </c>
      <c r="F246" s="32">
        <v>6.6445183115E10</v>
      </c>
      <c r="G246" s="29"/>
      <c r="H246" s="26"/>
    </row>
    <row r="247" ht="15.75" customHeight="1">
      <c r="A247" s="21">
        <v>245.0</v>
      </c>
      <c r="B247" s="32" t="s">
        <v>28</v>
      </c>
      <c r="C247" s="33" t="s">
        <v>559</v>
      </c>
      <c r="D247" s="32" t="s">
        <v>560</v>
      </c>
      <c r="E247" s="32" t="s">
        <v>98</v>
      </c>
      <c r="F247" s="32">
        <v>6.1816191191E10</v>
      </c>
      <c r="G247" s="29"/>
      <c r="H247" s="26"/>
    </row>
    <row r="248" ht="15.75" customHeight="1">
      <c r="A248" s="19">
        <v>246.0</v>
      </c>
      <c r="B248" s="32" t="s">
        <v>28</v>
      </c>
      <c r="C248" s="32" t="s">
        <v>561</v>
      </c>
      <c r="D248" s="32" t="s">
        <v>562</v>
      </c>
      <c r="E248" s="32" t="s">
        <v>98</v>
      </c>
      <c r="F248" s="32">
        <v>1.268409111E9</v>
      </c>
      <c r="G248" s="29"/>
      <c r="H248" s="26"/>
    </row>
    <row r="249" ht="15.75" customHeight="1">
      <c r="A249" s="19">
        <v>247.0</v>
      </c>
      <c r="B249" s="32" t="s">
        <v>55</v>
      </c>
      <c r="C249" s="32" t="s">
        <v>563</v>
      </c>
      <c r="D249" s="32" t="s">
        <v>560</v>
      </c>
      <c r="E249" s="32" t="s">
        <v>115</v>
      </c>
      <c r="F249" s="32">
        <v>1.139621E8</v>
      </c>
      <c r="G249" s="29"/>
      <c r="H249" s="26"/>
    </row>
    <row r="250" ht="15.75" customHeight="1">
      <c r="A250" s="19">
        <v>248.0</v>
      </c>
      <c r="B250" s="32" t="s">
        <v>55</v>
      </c>
      <c r="C250" s="32" t="s">
        <v>564</v>
      </c>
      <c r="D250" s="32" t="s">
        <v>560</v>
      </c>
      <c r="E250" s="32" t="s">
        <v>98</v>
      </c>
      <c r="F250" s="32">
        <v>9.6199822153E10</v>
      </c>
      <c r="G250" s="29"/>
      <c r="H250" s="26"/>
    </row>
    <row r="251" ht="15.75" customHeight="1">
      <c r="A251" s="19">
        <v>249.0</v>
      </c>
      <c r="B251" s="32" t="s">
        <v>28</v>
      </c>
      <c r="C251" s="32" t="s">
        <v>565</v>
      </c>
      <c r="D251" s="32" t="s">
        <v>566</v>
      </c>
      <c r="E251" s="32" t="s">
        <v>98</v>
      </c>
      <c r="F251" s="32">
        <v>2.6946114191E10</v>
      </c>
      <c r="G251" s="29"/>
      <c r="H251" s="26"/>
    </row>
    <row r="252" ht="15.75" customHeight="1">
      <c r="A252" s="21">
        <v>250.0</v>
      </c>
      <c r="B252" s="32" t="s">
        <v>55</v>
      </c>
      <c r="C252" s="32" t="s">
        <v>567</v>
      </c>
      <c r="D252" s="32" t="s">
        <v>241</v>
      </c>
      <c r="E252" s="32" t="s">
        <v>115</v>
      </c>
      <c r="F252" s="32">
        <v>3.995154379E9</v>
      </c>
      <c r="G252" s="29"/>
      <c r="H252" s="26"/>
    </row>
    <row r="253" ht="15.75" customHeight="1">
      <c r="A253" s="21">
        <v>251.0</v>
      </c>
      <c r="B253" s="32" t="s">
        <v>55</v>
      </c>
      <c r="C253" s="32" t="s">
        <v>568</v>
      </c>
      <c r="D253" s="32" t="s">
        <v>241</v>
      </c>
      <c r="E253" s="32" t="s">
        <v>98</v>
      </c>
      <c r="F253" s="32">
        <v>7.0956640133E10</v>
      </c>
      <c r="G253" s="29"/>
      <c r="H253" s="26"/>
    </row>
    <row r="254" ht="15.75" customHeight="1">
      <c r="A254" s="19">
        <v>252.0</v>
      </c>
      <c r="B254" s="32" t="s">
        <v>55</v>
      </c>
      <c r="C254" s="32" t="s">
        <v>569</v>
      </c>
      <c r="D254" s="32" t="s">
        <v>241</v>
      </c>
      <c r="E254" s="32" t="s">
        <v>98</v>
      </c>
      <c r="F254" s="32">
        <v>7.071334315E10</v>
      </c>
      <c r="G254" s="29"/>
      <c r="H254" s="26"/>
    </row>
    <row r="255" ht="15.75" customHeight="1">
      <c r="A255" s="19">
        <v>253.0</v>
      </c>
      <c r="B255" s="32" t="s">
        <v>55</v>
      </c>
      <c r="C255" s="32" t="s">
        <v>570</v>
      </c>
      <c r="D255" s="32" t="s">
        <v>241</v>
      </c>
      <c r="E255" s="32" t="s">
        <v>98</v>
      </c>
      <c r="F255" s="32">
        <v>7.0674394276E10</v>
      </c>
      <c r="G255" s="29"/>
      <c r="H255" s="26"/>
    </row>
    <row r="256" ht="15.75" customHeight="1">
      <c r="A256" s="19">
        <v>254.0</v>
      </c>
      <c r="B256" s="32" t="s">
        <v>55</v>
      </c>
      <c r="C256" s="32" t="s">
        <v>571</v>
      </c>
      <c r="D256" s="32" t="s">
        <v>241</v>
      </c>
      <c r="E256" s="32" t="s">
        <v>98</v>
      </c>
      <c r="F256" s="32">
        <v>4.51352815E9</v>
      </c>
      <c r="G256" s="29"/>
      <c r="H256" s="26"/>
    </row>
    <row r="257" ht="15.75" customHeight="1">
      <c r="A257" s="19">
        <v>255.0</v>
      </c>
      <c r="B257" s="32" t="s">
        <v>45</v>
      </c>
      <c r="C257" s="32" t="s">
        <v>572</v>
      </c>
      <c r="D257" s="32" t="s">
        <v>218</v>
      </c>
      <c r="E257" s="32" t="s">
        <v>98</v>
      </c>
      <c r="F257" s="32">
        <v>1.645611108E9</v>
      </c>
      <c r="G257" s="29"/>
      <c r="H257" s="26"/>
    </row>
    <row r="258" ht="15.75" customHeight="1">
      <c r="A258" s="21">
        <v>256.0</v>
      </c>
      <c r="B258" s="32" t="s">
        <v>35</v>
      </c>
      <c r="C258" s="32" t="s">
        <v>573</v>
      </c>
      <c r="D258" s="32" t="s">
        <v>216</v>
      </c>
      <c r="E258" s="32" t="s">
        <v>98</v>
      </c>
      <c r="F258" s="32">
        <v>8.930037272E9</v>
      </c>
      <c r="G258" s="29"/>
      <c r="H258" s="26"/>
    </row>
    <row r="259" ht="15.75" customHeight="1">
      <c r="A259" s="21">
        <v>257.0</v>
      </c>
      <c r="B259" s="32" t="s">
        <v>35</v>
      </c>
      <c r="C259" s="32" t="s">
        <v>574</v>
      </c>
      <c r="D259" s="32" t="s">
        <v>216</v>
      </c>
      <c r="E259" s="32" t="s">
        <v>98</v>
      </c>
      <c r="F259" s="32">
        <v>1.1152022199E10</v>
      </c>
      <c r="G259" s="29"/>
      <c r="H259" s="26"/>
    </row>
    <row r="260" ht="15.75" customHeight="1">
      <c r="A260" s="19">
        <v>258.0</v>
      </c>
      <c r="B260" s="32" t="s">
        <v>28</v>
      </c>
      <c r="C260" s="32" t="s">
        <v>575</v>
      </c>
      <c r="D260" s="32" t="s">
        <v>566</v>
      </c>
      <c r="E260" s="32" t="s">
        <v>98</v>
      </c>
      <c r="F260" s="32">
        <v>7.41127911E10</v>
      </c>
      <c r="G260" s="29"/>
      <c r="H260" s="26"/>
    </row>
    <row r="261" ht="15.75" customHeight="1">
      <c r="A261" s="19">
        <v>259.0</v>
      </c>
      <c r="B261" s="32" t="s">
        <v>28</v>
      </c>
      <c r="C261" s="32" t="s">
        <v>576</v>
      </c>
      <c r="D261" s="32" t="s">
        <v>566</v>
      </c>
      <c r="E261" s="32" t="s">
        <v>98</v>
      </c>
      <c r="F261" s="32">
        <v>7.0095633146E10</v>
      </c>
      <c r="G261" s="29"/>
      <c r="H261" s="26"/>
    </row>
    <row r="262" ht="15.75" customHeight="1">
      <c r="A262" s="19">
        <v>260.0</v>
      </c>
      <c r="B262" s="32" t="s">
        <v>57</v>
      </c>
      <c r="C262" s="32" t="s">
        <v>577</v>
      </c>
      <c r="D262" s="32" t="s">
        <v>241</v>
      </c>
      <c r="E262" s="32" t="s">
        <v>98</v>
      </c>
      <c r="F262" s="32">
        <v>4.331566196E9</v>
      </c>
      <c r="G262" s="29"/>
      <c r="H262" s="26"/>
    </row>
    <row r="263" ht="15.75" customHeight="1">
      <c r="A263" s="19">
        <v>261.0</v>
      </c>
      <c r="B263" s="32" t="s">
        <v>28</v>
      </c>
      <c r="C263" s="35" t="s">
        <v>578</v>
      </c>
      <c r="D263" s="35" t="s">
        <v>579</v>
      </c>
      <c r="E263" s="32" t="s">
        <v>98</v>
      </c>
      <c r="F263" s="35">
        <v>6.1816191191E10</v>
      </c>
      <c r="G263" s="29"/>
      <c r="H263" s="26"/>
    </row>
    <row r="264" ht="15.75" customHeight="1">
      <c r="A264" s="21">
        <v>262.0</v>
      </c>
      <c r="B264" s="32" t="s">
        <v>28</v>
      </c>
      <c r="C264" s="35" t="s">
        <v>580</v>
      </c>
      <c r="D264" s="35" t="s">
        <v>581</v>
      </c>
      <c r="E264" s="32" t="s">
        <v>98</v>
      </c>
      <c r="F264" s="35" t="s">
        <v>582</v>
      </c>
      <c r="G264" s="29"/>
      <c r="H264" s="26"/>
    </row>
    <row r="265" ht="15.75" customHeight="1">
      <c r="A265" s="21">
        <v>263.0</v>
      </c>
      <c r="B265" s="32" t="s">
        <v>28</v>
      </c>
      <c r="C265" s="35" t="s">
        <v>583</v>
      </c>
      <c r="D265" s="35" t="s">
        <v>584</v>
      </c>
      <c r="E265" s="32" t="s">
        <v>98</v>
      </c>
      <c r="F265" s="35">
        <v>6.6445183115E10</v>
      </c>
      <c r="G265" s="29"/>
      <c r="H265" s="26"/>
    </row>
    <row r="266" ht="15.75" customHeight="1">
      <c r="A266" s="19">
        <v>264.0</v>
      </c>
      <c r="B266" s="32" t="s">
        <v>28</v>
      </c>
      <c r="C266" s="35" t="s">
        <v>585</v>
      </c>
      <c r="D266" s="35" t="s">
        <v>586</v>
      </c>
      <c r="E266" s="32" t="s">
        <v>98</v>
      </c>
      <c r="F266" s="35">
        <v>2.6946114191E10</v>
      </c>
      <c r="G266" s="29"/>
      <c r="H266" s="26"/>
    </row>
    <row r="267" ht="15.75" customHeight="1">
      <c r="A267" s="19">
        <v>265.0</v>
      </c>
      <c r="B267" s="32" t="s">
        <v>28</v>
      </c>
      <c r="C267" s="35" t="s">
        <v>587</v>
      </c>
      <c r="D267" s="35" t="s">
        <v>588</v>
      </c>
      <c r="E267" s="32" t="s">
        <v>98</v>
      </c>
      <c r="F267" s="36" t="s">
        <v>589</v>
      </c>
      <c r="G267" s="29"/>
      <c r="H267" s="26"/>
    </row>
    <row r="268" ht="15.75" customHeight="1">
      <c r="A268" s="19">
        <v>266.0</v>
      </c>
      <c r="B268" s="32" t="s">
        <v>28</v>
      </c>
      <c r="C268" s="35" t="s">
        <v>590</v>
      </c>
      <c r="D268" s="35" t="s">
        <v>591</v>
      </c>
      <c r="E268" s="32" t="s">
        <v>98</v>
      </c>
      <c r="F268" s="35">
        <v>7.11349991E10</v>
      </c>
      <c r="G268" s="29"/>
      <c r="H268" s="26"/>
    </row>
    <row r="269" ht="15.75" customHeight="1">
      <c r="A269" s="19">
        <v>267.0</v>
      </c>
      <c r="B269" s="32" t="s">
        <v>28</v>
      </c>
      <c r="C269" s="35" t="s">
        <v>592</v>
      </c>
      <c r="D269" s="35" t="s">
        <v>593</v>
      </c>
      <c r="E269" s="32" t="s">
        <v>98</v>
      </c>
      <c r="F269" s="35">
        <v>9.8698443168E10</v>
      </c>
      <c r="G269" s="29"/>
      <c r="H269" s="26"/>
    </row>
    <row r="270" ht="15.75" customHeight="1">
      <c r="A270" s="21">
        <v>268.0</v>
      </c>
      <c r="B270" s="32" t="s">
        <v>28</v>
      </c>
      <c r="C270" s="35" t="s">
        <v>594</v>
      </c>
      <c r="D270" s="35" t="s">
        <v>595</v>
      </c>
      <c r="E270" s="32" t="s">
        <v>98</v>
      </c>
      <c r="F270" s="36" t="s">
        <v>596</v>
      </c>
      <c r="G270" s="29"/>
      <c r="H270" s="26"/>
    </row>
    <row r="271" ht="15.75" customHeight="1">
      <c r="A271" s="21">
        <v>269.0</v>
      </c>
      <c r="B271" s="32" t="s">
        <v>28</v>
      </c>
      <c r="C271" s="35" t="s">
        <v>597</v>
      </c>
      <c r="D271" s="35" t="s">
        <v>593</v>
      </c>
      <c r="E271" s="32" t="s">
        <v>98</v>
      </c>
      <c r="F271" s="36" t="s">
        <v>598</v>
      </c>
      <c r="G271" s="29"/>
      <c r="H271" s="26"/>
    </row>
    <row r="272" ht="15.75" customHeight="1">
      <c r="A272" s="19">
        <v>270.0</v>
      </c>
      <c r="B272" s="32" t="s">
        <v>28</v>
      </c>
      <c r="C272" s="37" t="s">
        <v>599</v>
      </c>
      <c r="D272" s="38" t="s">
        <v>600</v>
      </c>
      <c r="E272" s="32" t="s">
        <v>98</v>
      </c>
      <c r="F272" s="36" t="s">
        <v>601</v>
      </c>
      <c r="G272" s="29"/>
      <c r="H272" s="26"/>
    </row>
    <row r="273" ht="15.75" customHeight="1">
      <c r="A273" s="19">
        <v>271.0</v>
      </c>
      <c r="B273" s="32" t="s">
        <v>602</v>
      </c>
      <c r="C273" s="32" t="s">
        <v>603</v>
      </c>
      <c r="D273" s="32" t="s">
        <v>241</v>
      </c>
      <c r="E273" s="32" t="s">
        <v>98</v>
      </c>
      <c r="F273" s="39">
        <v>7.0525097171E10</v>
      </c>
      <c r="G273" s="29"/>
      <c r="H273" s="26"/>
    </row>
    <row r="274" ht="15.75" customHeight="1">
      <c r="A274" s="19">
        <v>272.0</v>
      </c>
      <c r="B274" s="32" t="s">
        <v>602</v>
      </c>
      <c r="C274" s="32" t="s">
        <v>604</v>
      </c>
      <c r="D274" s="32" t="s">
        <v>241</v>
      </c>
      <c r="E274" s="32" t="s">
        <v>98</v>
      </c>
      <c r="F274" s="39">
        <v>7.114080131E9</v>
      </c>
      <c r="G274" s="29"/>
      <c r="H274" s="26"/>
    </row>
    <row r="275" ht="15.75" customHeight="1">
      <c r="A275" s="19">
        <v>273.0</v>
      </c>
      <c r="B275" s="32" t="s">
        <v>602</v>
      </c>
      <c r="C275" s="32" t="s">
        <v>605</v>
      </c>
      <c r="D275" s="32" t="s">
        <v>241</v>
      </c>
      <c r="E275" s="32" t="s">
        <v>98</v>
      </c>
      <c r="F275" s="39">
        <v>5.522337303E9</v>
      </c>
      <c r="G275" s="29"/>
      <c r="H275" s="26"/>
    </row>
    <row r="276" ht="15.75" customHeight="1">
      <c r="A276" s="21">
        <v>274.0</v>
      </c>
      <c r="B276" s="32" t="s">
        <v>602</v>
      </c>
      <c r="C276" s="32" t="s">
        <v>606</v>
      </c>
      <c r="D276" s="32" t="s">
        <v>241</v>
      </c>
      <c r="E276" s="32" t="s">
        <v>98</v>
      </c>
      <c r="F276" s="39">
        <v>5.640066105E9</v>
      </c>
      <c r="G276" s="29"/>
      <c r="H276" s="26"/>
    </row>
    <row r="277" ht="15.75" customHeight="1">
      <c r="A277" s="21">
        <v>275.0</v>
      </c>
      <c r="B277" s="32" t="s">
        <v>602</v>
      </c>
      <c r="C277" s="32" t="s">
        <v>607</v>
      </c>
      <c r="D277" s="32" t="s">
        <v>241</v>
      </c>
      <c r="E277" s="32" t="s">
        <v>98</v>
      </c>
      <c r="F277" s="39">
        <v>8.233043109E9</v>
      </c>
      <c r="G277" s="29"/>
      <c r="H277" s="26"/>
    </row>
    <row r="278" ht="15.75" customHeight="1">
      <c r="A278" s="19">
        <v>276.0</v>
      </c>
      <c r="B278" s="32" t="s">
        <v>602</v>
      </c>
      <c r="C278" s="32" t="s">
        <v>608</v>
      </c>
      <c r="D278" s="32" t="s">
        <v>241</v>
      </c>
      <c r="E278" s="32" t="s">
        <v>98</v>
      </c>
      <c r="F278" s="39">
        <v>9.517636512E10</v>
      </c>
      <c r="G278" s="29"/>
      <c r="H278" s="26"/>
    </row>
    <row r="279" ht="15.75" customHeight="1">
      <c r="A279" s="19">
        <v>277.0</v>
      </c>
      <c r="B279" s="32" t="s">
        <v>602</v>
      </c>
      <c r="C279" s="33" t="s">
        <v>609</v>
      </c>
      <c r="D279" s="32" t="s">
        <v>186</v>
      </c>
      <c r="E279" s="32" t="s">
        <v>98</v>
      </c>
      <c r="F279" s="40">
        <v>9.7302007187E10</v>
      </c>
      <c r="G279" s="29"/>
      <c r="H279" s="26"/>
    </row>
    <row r="280" ht="15.75" customHeight="1">
      <c r="A280" s="19">
        <v>278.0</v>
      </c>
      <c r="B280" s="32" t="s">
        <v>602</v>
      </c>
      <c r="C280" s="41" t="s">
        <v>610</v>
      </c>
      <c r="D280" s="41" t="s">
        <v>611</v>
      </c>
      <c r="E280" s="32" t="s">
        <v>98</v>
      </c>
      <c r="F280" s="39">
        <v>7.1103269186E10</v>
      </c>
      <c r="G280" s="29"/>
      <c r="H280" s="26"/>
    </row>
    <row r="281" ht="15.75" customHeight="1">
      <c r="A281" s="19">
        <v>279.0</v>
      </c>
      <c r="B281" s="32" t="s">
        <v>59</v>
      </c>
      <c r="C281" s="42" t="s">
        <v>612</v>
      </c>
      <c r="D281" s="43" t="s">
        <v>613</v>
      </c>
      <c r="E281" s="32" t="s">
        <v>98</v>
      </c>
      <c r="F281" s="44" t="s">
        <v>614</v>
      </c>
      <c r="G281" s="29"/>
      <c r="H281" s="26"/>
    </row>
    <row r="282" ht="15.75" customHeight="1">
      <c r="A282" s="21">
        <v>280.0</v>
      </c>
      <c r="B282" s="32" t="s">
        <v>59</v>
      </c>
      <c r="C282" s="42" t="s">
        <v>615</v>
      </c>
      <c r="D282" s="43" t="s">
        <v>613</v>
      </c>
      <c r="E282" s="32" t="s">
        <v>98</v>
      </c>
      <c r="F282" s="44" t="s">
        <v>616</v>
      </c>
      <c r="G282" s="29"/>
      <c r="H282" s="26"/>
    </row>
    <row r="283" ht="15.75" customHeight="1">
      <c r="A283" s="21">
        <v>281.0</v>
      </c>
      <c r="B283" s="32" t="s">
        <v>59</v>
      </c>
      <c r="C283" s="42" t="s">
        <v>617</v>
      </c>
      <c r="D283" s="43" t="s">
        <v>618</v>
      </c>
      <c r="E283" s="32" t="s">
        <v>98</v>
      </c>
      <c r="F283" s="44" t="s">
        <v>619</v>
      </c>
      <c r="G283" s="29"/>
      <c r="H283" s="26"/>
    </row>
    <row r="284" ht="15.75" customHeight="1">
      <c r="A284" s="19">
        <v>282.0</v>
      </c>
      <c r="B284" s="32" t="s">
        <v>59</v>
      </c>
      <c r="C284" s="42" t="s">
        <v>620</v>
      </c>
      <c r="D284" s="43" t="s">
        <v>618</v>
      </c>
      <c r="E284" s="32" t="s">
        <v>98</v>
      </c>
      <c r="F284" s="44" t="s">
        <v>621</v>
      </c>
      <c r="G284" s="29"/>
      <c r="H284" s="26"/>
    </row>
    <row r="285" ht="15.75" customHeight="1">
      <c r="A285" s="19">
        <v>283.0</v>
      </c>
      <c r="B285" s="32" t="s">
        <v>59</v>
      </c>
      <c r="C285" s="42" t="s">
        <v>622</v>
      </c>
      <c r="D285" s="43" t="s">
        <v>623</v>
      </c>
      <c r="E285" s="32" t="s">
        <v>98</v>
      </c>
      <c r="F285" s="44" t="s">
        <v>624</v>
      </c>
      <c r="G285" s="29"/>
      <c r="H285" s="26"/>
    </row>
    <row r="286" ht="15.75" customHeight="1">
      <c r="A286" s="19">
        <v>284.0</v>
      </c>
      <c r="B286" s="32" t="s">
        <v>59</v>
      </c>
      <c r="C286" s="42" t="s">
        <v>625</v>
      </c>
      <c r="D286" s="43" t="s">
        <v>623</v>
      </c>
      <c r="E286" s="32" t="s">
        <v>98</v>
      </c>
      <c r="F286" s="44" t="s">
        <v>626</v>
      </c>
      <c r="G286" s="29"/>
      <c r="H286" s="26"/>
    </row>
    <row r="287" ht="15.75" customHeight="1">
      <c r="A287" s="19">
        <v>285.0</v>
      </c>
      <c r="B287" s="32" t="s">
        <v>59</v>
      </c>
      <c r="C287" s="42" t="s">
        <v>627</v>
      </c>
      <c r="D287" s="43" t="s">
        <v>623</v>
      </c>
      <c r="E287" s="32" t="s">
        <v>98</v>
      </c>
      <c r="F287" s="44" t="s">
        <v>628</v>
      </c>
      <c r="G287" s="29"/>
      <c r="H287" s="26"/>
    </row>
    <row r="288" ht="15.75" customHeight="1">
      <c r="A288" s="21">
        <v>286.0</v>
      </c>
      <c r="B288" s="32" t="s">
        <v>59</v>
      </c>
      <c r="C288" s="42" t="s">
        <v>629</v>
      </c>
      <c r="D288" s="43" t="s">
        <v>623</v>
      </c>
      <c r="E288" s="32" t="s">
        <v>98</v>
      </c>
      <c r="F288" s="44" t="s">
        <v>630</v>
      </c>
      <c r="G288" s="29"/>
      <c r="H288" s="26"/>
    </row>
    <row r="289" ht="15.75" customHeight="1">
      <c r="A289" s="21">
        <v>287.0</v>
      </c>
      <c r="B289" s="32" t="s">
        <v>59</v>
      </c>
      <c r="C289" s="42" t="s">
        <v>631</v>
      </c>
      <c r="D289" s="43" t="s">
        <v>623</v>
      </c>
      <c r="E289" s="32" t="s">
        <v>98</v>
      </c>
      <c r="F289" s="44" t="s">
        <v>632</v>
      </c>
      <c r="G289" s="29"/>
      <c r="H289" s="26"/>
    </row>
    <row r="290" ht="15.75" customHeight="1">
      <c r="A290" s="19">
        <v>288.0</v>
      </c>
      <c r="B290" s="32" t="s">
        <v>59</v>
      </c>
      <c r="C290" s="42" t="s">
        <v>633</v>
      </c>
      <c r="D290" s="43" t="s">
        <v>634</v>
      </c>
      <c r="E290" s="32" t="s">
        <v>98</v>
      </c>
      <c r="F290" s="44" t="s">
        <v>635</v>
      </c>
      <c r="G290" s="29"/>
      <c r="H290" s="26"/>
    </row>
    <row r="291" ht="15.75" customHeight="1">
      <c r="A291" s="19">
        <v>289.0</v>
      </c>
      <c r="B291" s="32" t="s">
        <v>59</v>
      </c>
      <c r="C291" s="42" t="s">
        <v>636</v>
      </c>
      <c r="D291" s="43" t="s">
        <v>634</v>
      </c>
      <c r="E291" s="32" t="s">
        <v>98</v>
      </c>
      <c r="F291" s="44" t="s">
        <v>637</v>
      </c>
      <c r="G291" s="29"/>
      <c r="H291" s="26"/>
    </row>
    <row r="292" ht="15.75" customHeight="1">
      <c r="A292" s="19">
        <v>290.0</v>
      </c>
      <c r="B292" s="32" t="s">
        <v>59</v>
      </c>
      <c r="C292" s="42" t="s">
        <v>638</v>
      </c>
      <c r="D292" s="43" t="s">
        <v>623</v>
      </c>
      <c r="E292" s="32" t="s">
        <v>98</v>
      </c>
      <c r="F292" s="44" t="s">
        <v>639</v>
      </c>
      <c r="G292" s="29"/>
      <c r="H292" s="26"/>
    </row>
    <row r="293" ht="15.75" customHeight="1">
      <c r="A293" s="19">
        <v>291.0</v>
      </c>
      <c r="B293" s="32" t="s">
        <v>59</v>
      </c>
      <c r="C293" s="42" t="s">
        <v>640</v>
      </c>
      <c r="D293" s="43" t="s">
        <v>623</v>
      </c>
      <c r="E293" s="32" t="s">
        <v>98</v>
      </c>
      <c r="F293" s="44" t="s">
        <v>641</v>
      </c>
      <c r="G293" s="29"/>
      <c r="H293" s="26"/>
    </row>
    <row r="294" ht="15.75" customHeight="1">
      <c r="A294" s="21">
        <v>292.0</v>
      </c>
      <c r="B294" s="32" t="s">
        <v>59</v>
      </c>
      <c r="C294" s="42" t="s">
        <v>642</v>
      </c>
      <c r="D294" s="43" t="s">
        <v>623</v>
      </c>
      <c r="E294" s="32" t="s">
        <v>98</v>
      </c>
      <c r="F294" s="44" t="s">
        <v>643</v>
      </c>
      <c r="G294" s="29"/>
      <c r="H294" s="26"/>
    </row>
    <row r="295" ht="15.75" customHeight="1">
      <c r="A295" s="21">
        <v>293.0</v>
      </c>
      <c r="B295" s="32" t="s">
        <v>59</v>
      </c>
      <c r="C295" s="42" t="s">
        <v>644</v>
      </c>
      <c r="D295" s="43" t="s">
        <v>645</v>
      </c>
      <c r="E295" s="32" t="s">
        <v>98</v>
      </c>
      <c r="F295" s="44" t="s">
        <v>646</v>
      </c>
      <c r="G295" s="29"/>
      <c r="H295" s="26"/>
    </row>
    <row r="296" ht="15.75" customHeight="1">
      <c r="A296" s="19">
        <v>294.0</v>
      </c>
      <c r="B296" s="32" t="s">
        <v>59</v>
      </c>
      <c r="C296" s="42" t="s">
        <v>647</v>
      </c>
      <c r="D296" s="43" t="s">
        <v>623</v>
      </c>
      <c r="E296" s="32" t="s">
        <v>98</v>
      </c>
      <c r="F296" s="44" t="s">
        <v>648</v>
      </c>
      <c r="G296" s="29"/>
      <c r="H296" s="26"/>
    </row>
    <row r="297" ht="15.75" customHeight="1">
      <c r="A297" s="19">
        <v>295.0</v>
      </c>
      <c r="B297" s="32" t="s">
        <v>59</v>
      </c>
      <c r="C297" s="42" t="s">
        <v>649</v>
      </c>
      <c r="D297" s="43" t="s">
        <v>623</v>
      </c>
      <c r="E297" s="32" t="s">
        <v>98</v>
      </c>
      <c r="F297" s="44" t="s">
        <v>650</v>
      </c>
      <c r="G297" s="29"/>
      <c r="H297" s="26"/>
    </row>
    <row r="298" ht="15.75" customHeight="1">
      <c r="A298" s="19">
        <v>296.0</v>
      </c>
      <c r="B298" s="32" t="s">
        <v>59</v>
      </c>
      <c r="C298" s="42" t="s">
        <v>651</v>
      </c>
      <c r="D298" s="43" t="s">
        <v>652</v>
      </c>
      <c r="E298" s="32" t="s">
        <v>98</v>
      </c>
      <c r="F298" s="44" t="s">
        <v>653</v>
      </c>
      <c r="G298" s="29"/>
      <c r="H298" s="26"/>
    </row>
    <row r="299" ht="15.75" customHeight="1">
      <c r="A299" s="19">
        <v>297.0</v>
      </c>
      <c r="B299" s="32" t="s">
        <v>59</v>
      </c>
      <c r="C299" s="42" t="s">
        <v>654</v>
      </c>
      <c r="D299" s="43" t="s">
        <v>623</v>
      </c>
      <c r="E299" s="32" t="s">
        <v>98</v>
      </c>
      <c r="F299" s="45" t="s">
        <v>655</v>
      </c>
      <c r="G299" s="29"/>
      <c r="H299" s="26"/>
    </row>
    <row r="300" ht="15.75" customHeight="1">
      <c r="A300" s="21">
        <v>298.0</v>
      </c>
      <c r="B300" s="32" t="s">
        <v>59</v>
      </c>
      <c r="C300" s="42" t="s">
        <v>656</v>
      </c>
      <c r="D300" s="43" t="s">
        <v>652</v>
      </c>
      <c r="E300" s="32" t="s">
        <v>98</v>
      </c>
      <c r="F300" s="44" t="s">
        <v>657</v>
      </c>
      <c r="G300" s="29"/>
      <c r="H300" s="26"/>
    </row>
    <row r="301" ht="15.75" customHeight="1">
      <c r="A301" s="21">
        <v>299.0</v>
      </c>
      <c r="B301" s="32" t="s">
        <v>59</v>
      </c>
      <c r="C301" s="42" t="s">
        <v>658</v>
      </c>
      <c r="D301" s="43" t="s">
        <v>652</v>
      </c>
      <c r="E301" s="32" t="s">
        <v>98</v>
      </c>
      <c r="F301" s="44" t="s">
        <v>659</v>
      </c>
      <c r="G301" s="29"/>
      <c r="H301" s="26"/>
    </row>
    <row r="302" ht="15.75" customHeight="1">
      <c r="A302" s="19">
        <v>300.0</v>
      </c>
      <c r="B302" s="32" t="s">
        <v>35</v>
      </c>
      <c r="C302" s="32" t="s">
        <v>660</v>
      </c>
      <c r="D302" s="34"/>
      <c r="E302" s="32" t="s">
        <v>98</v>
      </c>
      <c r="F302" s="46">
        <v>8.1060270153E10</v>
      </c>
      <c r="G302" s="29"/>
      <c r="H302" s="26"/>
    </row>
    <row r="303" ht="15.75" customHeight="1">
      <c r="A303" s="19">
        <v>301.0</v>
      </c>
      <c r="B303" s="32" t="s">
        <v>15</v>
      </c>
      <c r="C303" s="32" t="s">
        <v>661</v>
      </c>
      <c r="D303" s="32" t="s">
        <v>139</v>
      </c>
      <c r="E303" s="32" t="s">
        <v>98</v>
      </c>
      <c r="F303" s="46">
        <v>7.0407006117E10</v>
      </c>
      <c r="G303" s="29"/>
      <c r="H303" s="26"/>
    </row>
    <row r="304" ht="15.75" customHeight="1">
      <c r="A304" s="19">
        <v>302.0</v>
      </c>
      <c r="B304" s="32" t="s">
        <v>15</v>
      </c>
      <c r="C304" s="32" t="s">
        <v>662</v>
      </c>
      <c r="D304" s="32" t="s">
        <v>663</v>
      </c>
      <c r="E304" s="32" t="s">
        <v>98</v>
      </c>
      <c r="F304" s="46">
        <v>7.00046691E10</v>
      </c>
      <c r="G304" s="29"/>
      <c r="H304" s="26"/>
    </row>
    <row r="305" ht="15.75" customHeight="1">
      <c r="A305" s="19">
        <v>303.0</v>
      </c>
      <c r="B305" s="32" t="s">
        <v>15</v>
      </c>
      <c r="C305" s="32" t="s">
        <v>664</v>
      </c>
      <c r="D305" s="32" t="s">
        <v>663</v>
      </c>
      <c r="E305" s="32" t="s">
        <v>98</v>
      </c>
      <c r="F305" s="46">
        <v>7.140315418E10</v>
      </c>
      <c r="G305" s="29"/>
      <c r="H305" s="26"/>
    </row>
    <row r="306" ht="15.75" customHeight="1">
      <c r="A306" s="21">
        <v>304.0</v>
      </c>
      <c r="B306" s="32" t="s">
        <v>63</v>
      </c>
      <c r="C306" s="47" t="s">
        <v>665</v>
      </c>
      <c r="D306" s="48" t="s">
        <v>666</v>
      </c>
      <c r="E306" s="32" t="s">
        <v>98</v>
      </c>
      <c r="F306" s="49" t="s">
        <v>667</v>
      </c>
      <c r="G306" s="29"/>
      <c r="H306" s="26"/>
    </row>
    <row r="307" ht="15.75" customHeight="1">
      <c r="A307" s="21">
        <v>305.0</v>
      </c>
      <c r="B307" s="32" t="s">
        <v>63</v>
      </c>
      <c r="C307" s="50" t="s">
        <v>668</v>
      </c>
      <c r="D307" s="48" t="s">
        <v>669</v>
      </c>
      <c r="E307" s="32" t="s">
        <v>98</v>
      </c>
      <c r="F307" s="49" t="s">
        <v>670</v>
      </c>
      <c r="G307" s="29"/>
      <c r="H307" s="26"/>
    </row>
    <row r="308" ht="15.75" customHeight="1">
      <c r="A308" s="19">
        <v>306.0</v>
      </c>
      <c r="B308" s="32" t="s">
        <v>63</v>
      </c>
      <c r="C308" s="50" t="s">
        <v>671</v>
      </c>
      <c r="D308" s="49" t="s">
        <v>672</v>
      </c>
      <c r="E308" s="32" t="s">
        <v>98</v>
      </c>
      <c r="F308" s="49" t="s">
        <v>673</v>
      </c>
      <c r="G308" s="29"/>
      <c r="H308" s="26"/>
    </row>
    <row r="309" ht="15.75" customHeight="1">
      <c r="A309" s="19">
        <v>307.0</v>
      </c>
      <c r="B309" s="32" t="s">
        <v>63</v>
      </c>
      <c r="C309" s="50" t="s">
        <v>674</v>
      </c>
      <c r="D309" s="48" t="s">
        <v>675</v>
      </c>
      <c r="E309" s="32" t="s">
        <v>98</v>
      </c>
      <c r="F309" s="49" t="s">
        <v>676</v>
      </c>
      <c r="G309" s="29"/>
      <c r="H309" s="26"/>
    </row>
    <row r="310" ht="15.75" customHeight="1">
      <c r="A310" s="19">
        <v>308.0</v>
      </c>
      <c r="B310" s="32" t="s">
        <v>63</v>
      </c>
      <c r="C310" s="51" t="s">
        <v>677</v>
      </c>
      <c r="D310" s="48" t="s">
        <v>678</v>
      </c>
      <c r="E310" s="32" t="s">
        <v>98</v>
      </c>
      <c r="F310" s="49" t="s">
        <v>679</v>
      </c>
      <c r="G310" s="29"/>
      <c r="H310" s="26"/>
    </row>
    <row r="311" ht="15.75" customHeight="1">
      <c r="A311" s="19">
        <v>309.0</v>
      </c>
      <c r="B311" s="32" t="s">
        <v>63</v>
      </c>
      <c r="C311" s="51" t="s">
        <v>680</v>
      </c>
      <c r="D311" s="48" t="s">
        <v>681</v>
      </c>
      <c r="E311" s="32" t="s">
        <v>98</v>
      </c>
      <c r="F311" s="48" t="s">
        <v>682</v>
      </c>
      <c r="G311" s="29"/>
      <c r="H311" s="26"/>
    </row>
    <row r="312" ht="15.75" customHeight="1">
      <c r="A312" s="21">
        <v>310.0</v>
      </c>
      <c r="B312" s="32" t="s">
        <v>63</v>
      </c>
      <c r="C312" s="52" t="s">
        <v>683</v>
      </c>
      <c r="D312" s="53" t="s">
        <v>684</v>
      </c>
      <c r="E312" s="32" t="s">
        <v>98</v>
      </c>
      <c r="F312" s="48" t="s">
        <v>685</v>
      </c>
      <c r="G312" s="29"/>
      <c r="H312" s="26"/>
    </row>
    <row r="313" ht="15.75" customHeight="1">
      <c r="A313" s="21">
        <v>311.0</v>
      </c>
      <c r="B313" s="32" t="s">
        <v>63</v>
      </c>
      <c r="C313" s="52" t="s">
        <v>686</v>
      </c>
      <c r="D313" s="48" t="s">
        <v>684</v>
      </c>
      <c r="E313" s="32" t="s">
        <v>98</v>
      </c>
      <c r="F313" s="48">
        <v>5.454599158E9</v>
      </c>
      <c r="G313" s="29"/>
      <c r="H313" s="26"/>
    </row>
    <row r="314" ht="15.75" customHeight="1">
      <c r="A314" s="19">
        <v>312.0</v>
      </c>
      <c r="B314" s="32" t="s">
        <v>63</v>
      </c>
      <c r="C314" s="52" t="s">
        <v>687</v>
      </c>
      <c r="D314" s="48" t="s">
        <v>684</v>
      </c>
      <c r="E314" s="32" t="s">
        <v>98</v>
      </c>
      <c r="F314" s="48">
        <v>7.0119496151E10</v>
      </c>
      <c r="G314" s="29"/>
      <c r="H314" s="26"/>
    </row>
    <row r="315" ht="15.75" customHeight="1">
      <c r="A315" s="19">
        <v>313.0</v>
      </c>
      <c r="B315" s="32" t="s">
        <v>63</v>
      </c>
      <c r="C315" s="52" t="s">
        <v>688</v>
      </c>
      <c r="D315" s="49" t="s">
        <v>689</v>
      </c>
      <c r="E315" s="32" t="s">
        <v>98</v>
      </c>
      <c r="F315" s="48">
        <v>6.214954833E10</v>
      </c>
      <c r="G315" s="29"/>
      <c r="H315" s="26"/>
    </row>
    <row r="316" ht="15.75" customHeight="1">
      <c r="A316" s="19">
        <v>314.0</v>
      </c>
      <c r="B316" s="32" t="s">
        <v>63</v>
      </c>
      <c r="C316" s="52" t="s">
        <v>690</v>
      </c>
      <c r="D316" s="49" t="s">
        <v>691</v>
      </c>
      <c r="E316" s="32" t="s">
        <v>98</v>
      </c>
      <c r="F316" s="49" t="s">
        <v>692</v>
      </c>
      <c r="G316" s="29"/>
      <c r="H316" s="26"/>
    </row>
    <row r="317" ht="15.75" customHeight="1">
      <c r="A317" s="19">
        <v>315.0</v>
      </c>
      <c r="B317" s="32" t="s">
        <v>63</v>
      </c>
      <c r="C317" s="52" t="s">
        <v>693</v>
      </c>
      <c r="D317" s="54" t="s">
        <v>694</v>
      </c>
      <c r="E317" s="32" t="s">
        <v>98</v>
      </c>
      <c r="F317" s="55" t="s">
        <v>695</v>
      </c>
      <c r="G317" s="29"/>
      <c r="H317" s="26"/>
    </row>
    <row r="318" ht="15.75" customHeight="1">
      <c r="A318" s="21">
        <v>316.0</v>
      </c>
      <c r="B318" s="56"/>
      <c r="C318" s="33" t="s">
        <v>696</v>
      </c>
      <c r="D318" s="56"/>
      <c r="E318" s="32" t="s">
        <v>98</v>
      </c>
      <c r="F318" s="57">
        <v>4.7249188615E10</v>
      </c>
      <c r="G318" s="29"/>
      <c r="H318" s="26"/>
    </row>
    <row r="319" ht="15.75" customHeight="1">
      <c r="A319" s="21">
        <v>317.0</v>
      </c>
      <c r="B319" s="34"/>
      <c r="C319" s="32" t="s">
        <v>697</v>
      </c>
      <c r="D319" s="34"/>
      <c r="E319" s="32" t="s">
        <v>98</v>
      </c>
      <c r="F319" s="34"/>
      <c r="G319" s="29"/>
      <c r="H319" s="26"/>
    </row>
    <row r="320" ht="15.75" customHeight="1">
      <c r="A320" s="19">
        <v>318.0</v>
      </c>
      <c r="B320" s="32" t="s">
        <v>53</v>
      </c>
      <c r="C320" s="32" t="s">
        <v>698</v>
      </c>
      <c r="D320" s="32" t="s">
        <v>538</v>
      </c>
      <c r="E320" s="32" t="s">
        <v>98</v>
      </c>
      <c r="F320" s="32">
        <v>5.332119135E9</v>
      </c>
      <c r="G320" s="29"/>
      <c r="H320" s="26"/>
    </row>
    <row r="321" ht="15.75" customHeight="1">
      <c r="A321" s="19">
        <v>319.0</v>
      </c>
      <c r="B321" s="32" t="s">
        <v>602</v>
      </c>
      <c r="C321" s="32" t="s">
        <v>699</v>
      </c>
      <c r="D321" s="32" t="s">
        <v>186</v>
      </c>
      <c r="E321" s="32" t="s">
        <v>98</v>
      </c>
      <c r="F321" s="32">
        <v>7.1562361139E10</v>
      </c>
      <c r="G321" s="29"/>
      <c r="H321" s="26"/>
    </row>
    <row r="322" ht="15.75" customHeight="1">
      <c r="A322" s="19">
        <v>320.0</v>
      </c>
      <c r="B322" s="32" t="s">
        <v>35</v>
      </c>
      <c r="C322" s="32" t="s">
        <v>700</v>
      </c>
      <c r="D322" s="32" t="s">
        <v>241</v>
      </c>
      <c r="E322" s="32" t="s">
        <v>98</v>
      </c>
      <c r="F322" s="32">
        <v>7.0386530165E10</v>
      </c>
      <c r="G322" s="29"/>
      <c r="H322" s="26"/>
    </row>
    <row r="323" ht="15.75" customHeight="1">
      <c r="A323" s="19">
        <v>321.0</v>
      </c>
      <c r="B323" s="32" t="s">
        <v>35</v>
      </c>
      <c r="C323" s="32" t="s">
        <v>701</v>
      </c>
      <c r="D323" s="32" t="s">
        <v>241</v>
      </c>
      <c r="E323" s="32" t="s">
        <v>98</v>
      </c>
      <c r="F323" s="32">
        <v>4.068227195E9</v>
      </c>
      <c r="G323" s="29"/>
      <c r="H323" s="26"/>
    </row>
    <row r="324" ht="15.75" customHeight="1">
      <c r="A324" s="21">
        <v>322.0</v>
      </c>
      <c r="B324" s="34"/>
      <c r="C324" s="32" t="s">
        <v>372</v>
      </c>
      <c r="D324" s="34"/>
      <c r="E324" s="32" t="s">
        <v>98</v>
      </c>
      <c r="F324" s="34"/>
      <c r="G324" s="29"/>
      <c r="H324" s="26"/>
    </row>
    <row r="325" ht="15.75" customHeight="1">
      <c r="A325" s="21">
        <v>323.0</v>
      </c>
      <c r="B325" s="32" t="s">
        <v>602</v>
      </c>
      <c r="C325" s="32" t="s">
        <v>702</v>
      </c>
      <c r="D325" s="32" t="s">
        <v>241</v>
      </c>
      <c r="E325" s="32" t="s">
        <v>98</v>
      </c>
      <c r="F325" s="32">
        <v>7.0837769116E10</v>
      </c>
      <c r="G325" s="29"/>
      <c r="H325" s="26"/>
    </row>
    <row r="326" ht="15.75" customHeight="1">
      <c r="A326" s="19">
        <v>324.0</v>
      </c>
      <c r="B326" s="32" t="s">
        <v>602</v>
      </c>
      <c r="C326" s="32" t="s">
        <v>703</v>
      </c>
      <c r="D326" s="32" t="s">
        <v>241</v>
      </c>
      <c r="E326" s="32" t="s">
        <v>98</v>
      </c>
      <c r="F326" s="32">
        <v>8.4986670115E10</v>
      </c>
      <c r="G326" s="29"/>
      <c r="H326" s="26"/>
    </row>
    <row r="327" ht="15.75" customHeight="1">
      <c r="A327" s="19">
        <v>325.0</v>
      </c>
      <c r="B327" s="32" t="s">
        <v>40</v>
      </c>
      <c r="C327" s="32" t="s">
        <v>704</v>
      </c>
      <c r="D327" s="32" t="s">
        <v>705</v>
      </c>
      <c r="E327" s="32" t="s">
        <v>98</v>
      </c>
      <c r="F327" s="32">
        <v>9.4474613104E10</v>
      </c>
      <c r="G327" s="29"/>
      <c r="H327" s="26"/>
    </row>
    <row r="328" ht="15.75" customHeight="1">
      <c r="A328" s="19">
        <v>326.0</v>
      </c>
      <c r="B328" s="32" t="s">
        <v>40</v>
      </c>
      <c r="C328" s="32" t="s">
        <v>706</v>
      </c>
      <c r="D328" s="32" t="s">
        <v>705</v>
      </c>
      <c r="E328" s="32" t="s">
        <v>98</v>
      </c>
      <c r="F328" s="32">
        <v>7.0559665156E10</v>
      </c>
      <c r="G328" s="29"/>
      <c r="H328" s="26"/>
    </row>
    <row r="329" ht="15.75" customHeight="1">
      <c r="A329" s="19">
        <v>327.0</v>
      </c>
      <c r="B329" s="32" t="s">
        <v>40</v>
      </c>
      <c r="C329" s="32" t="s">
        <v>707</v>
      </c>
      <c r="D329" s="32" t="s">
        <v>705</v>
      </c>
      <c r="E329" s="32" t="s">
        <v>98</v>
      </c>
      <c r="F329" s="32">
        <v>3.590525177E9</v>
      </c>
      <c r="G329" s="29"/>
      <c r="H329" s="26"/>
    </row>
    <row r="330" ht="15.75" customHeight="1">
      <c r="A330" s="21">
        <v>328.0</v>
      </c>
      <c r="B330" s="34"/>
      <c r="C330" s="32" t="s">
        <v>617</v>
      </c>
      <c r="D330" s="34"/>
      <c r="E330" s="32" t="s">
        <v>98</v>
      </c>
      <c r="F330" s="34"/>
      <c r="G330" s="29"/>
      <c r="H330" s="26"/>
    </row>
    <row r="331" ht="15.75" customHeight="1">
      <c r="A331" s="21">
        <v>329.0</v>
      </c>
      <c r="B331" s="32" t="s">
        <v>602</v>
      </c>
      <c r="C331" s="32" t="s">
        <v>708</v>
      </c>
      <c r="D331" s="32" t="s">
        <v>705</v>
      </c>
      <c r="E331" s="32" t="s">
        <v>98</v>
      </c>
      <c r="F331" s="32">
        <v>3.870091169E9</v>
      </c>
      <c r="G331" s="29"/>
      <c r="H331" s="26"/>
    </row>
    <row r="332" ht="15.75" customHeight="1">
      <c r="A332" s="19">
        <v>330.0</v>
      </c>
      <c r="B332" s="32" t="s">
        <v>602</v>
      </c>
      <c r="C332" s="32" t="s">
        <v>709</v>
      </c>
      <c r="D332" s="32" t="s">
        <v>705</v>
      </c>
      <c r="E332" s="32" t="s">
        <v>98</v>
      </c>
      <c r="F332" s="32">
        <v>1.075148189E9</v>
      </c>
      <c r="G332" s="29"/>
      <c r="H332" s="26"/>
    </row>
    <row r="333" ht="15.75" customHeight="1">
      <c r="A333" s="19">
        <v>331.0</v>
      </c>
      <c r="B333" s="32" t="s">
        <v>602</v>
      </c>
      <c r="C333" s="32" t="s">
        <v>697</v>
      </c>
      <c r="D333" s="32" t="s">
        <v>705</v>
      </c>
      <c r="E333" s="32" t="s">
        <v>98</v>
      </c>
      <c r="F333" s="32">
        <v>1.85031013E9</v>
      </c>
      <c r="G333" s="29"/>
      <c r="H333" s="26"/>
    </row>
    <row r="334" ht="15.75" customHeight="1">
      <c r="A334" s="19">
        <v>332.0</v>
      </c>
      <c r="B334" s="32" t="s">
        <v>35</v>
      </c>
      <c r="C334" s="32" t="s">
        <v>710</v>
      </c>
      <c r="D334" s="32" t="s">
        <v>241</v>
      </c>
      <c r="E334" s="32" t="s">
        <v>98</v>
      </c>
      <c r="F334" s="32">
        <v>5.602159169E9</v>
      </c>
      <c r="G334" s="29"/>
      <c r="H334" s="26"/>
    </row>
    <row r="335" ht="15.75" customHeight="1">
      <c r="A335" s="19">
        <v>333.0</v>
      </c>
      <c r="B335" s="32" t="s">
        <v>29</v>
      </c>
      <c r="C335" s="32" t="s">
        <v>711</v>
      </c>
      <c r="D335" s="32" t="s">
        <v>199</v>
      </c>
      <c r="E335" s="32" t="s">
        <v>98</v>
      </c>
      <c r="F335" s="32">
        <v>4.264015146E9</v>
      </c>
      <c r="G335" s="29"/>
      <c r="H335" s="26"/>
    </row>
    <row r="336" ht="15.75" customHeight="1">
      <c r="A336" s="21">
        <v>334.0</v>
      </c>
      <c r="B336" s="32" t="s">
        <v>53</v>
      </c>
      <c r="C336" s="32" t="s">
        <v>712</v>
      </c>
      <c r="D336" s="32" t="s">
        <v>241</v>
      </c>
      <c r="E336" s="32" t="s">
        <v>98</v>
      </c>
      <c r="F336" s="32">
        <v>7.077292614E10</v>
      </c>
      <c r="G336" s="29"/>
      <c r="H336" s="26"/>
    </row>
    <row r="337" ht="15.75" customHeight="1">
      <c r="A337" s="21">
        <v>335.0</v>
      </c>
      <c r="B337" s="32" t="s">
        <v>53</v>
      </c>
      <c r="C337" s="32" t="s">
        <v>713</v>
      </c>
      <c r="D337" s="32" t="s">
        <v>538</v>
      </c>
      <c r="E337" s="32" t="s">
        <v>98</v>
      </c>
      <c r="F337" s="32">
        <v>7.0298817101E10</v>
      </c>
      <c r="G337" s="29"/>
      <c r="H337" s="26"/>
    </row>
    <row r="338" ht="15.75" customHeight="1">
      <c r="A338" s="19">
        <v>336.0</v>
      </c>
      <c r="B338" s="32" t="s">
        <v>34</v>
      </c>
      <c r="C338" s="32" t="s">
        <v>714</v>
      </c>
      <c r="D338" s="32" t="s">
        <v>715</v>
      </c>
      <c r="E338" s="32" t="s">
        <v>98</v>
      </c>
      <c r="F338" s="32">
        <v>5.6545452134E10</v>
      </c>
      <c r="G338" s="29"/>
      <c r="H338" s="26"/>
    </row>
    <row r="339" ht="15.75" customHeight="1">
      <c r="A339" s="19">
        <v>337.0</v>
      </c>
      <c r="B339" s="32" t="s">
        <v>65</v>
      </c>
      <c r="C339" s="32" t="s">
        <v>716</v>
      </c>
      <c r="D339" s="32" t="s">
        <v>717</v>
      </c>
      <c r="E339" s="32" t="s">
        <v>98</v>
      </c>
      <c r="F339" s="32">
        <v>1.3228910601E10</v>
      </c>
      <c r="G339" s="29"/>
      <c r="H339" s="26"/>
    </row>
    <row r="340" ht="15.75" customHeight="1">
      <c r="A340" s="19">
        <v>338.0</v>
      </c>
      <c r="B340" s="32" t="s">
        <v>66</v>
      </c>
      <c r="C340" s="32" t="s">
        <v>718</v>
      </c>
      <c r="D340" s="32" t="s">
        <v>250</v>
      </c>
      <c r="E340" s="32" t="s">
        <v>98</v>
      </c>
      <c r="F340" s="32">
        <v>9.1642868191E10</v>
      </c>
      <c r="G340" s="29"/>
      <c r="H340" s="26"/>
    </row>
    <row r="341" ht="15.75" customHeight="1">
      <c r="A341" s="19">
        <v>339.0</v>
      </c>
      <c r="B341" s="32" t="s">
        <v>66</v>
      </c>
      <c r="C341" s="32" t="s">
        <v>719</v>
      </c>
      <c r="D341" s="32" t="s">
        <v>250</v>
      </c>
      <c r="E341" s="32" t="s">
        <v>98</v>
      </c>
      <c r="F341" s="32">
        <v>1.82053717E9</v>
      </c>
      <c r="G341" s="29"/>
      <c r="H341" s="26"/>
    </row>
    <row r="342" ht="15.75" customHeight="1">
      <c r="A342" s="21">
        <v>340.0</v>
      </c>
      <c r="B342" s="32" t="s">
        <v>30</v>
      </c>
      <c r="C342" s="32" t="s">
        <v>720</v>
      </c>
      <c r="D342" s="32" t="s">
        <v>721</v>
      </c>
      <c r="E342" s="32" t="s">
        <v>98</v>
      </c>
      <c r="F342" s="32">
        <v>4.1882181E9</v>
      </c>
      <c r="G342" s="29"/>
      <c r="H342" s="26"/>
    </row>
    <row r="343" ht="15.75" customHeight="1">
      <c r="A343" s="21">
        <v>341.0</v>
      </c>
      <c r="B343" s="32" t="s">
        <v>30</v>
      </c>
      <c r="C343" s="32" t="s">
        <v>722</v>
      </c>
      <c r="D343" s="32" t="s">
        <v>723</v>
      </c>
      <c r="E343" s="32" t="s">
        <v>98</v>
      </c>
      <c r="F343" s="32">
        <v>7.0282405178E10</v>
      </c>
      <c r="G343" s="29"/>
      <c r="H343" s="26"/>
    </row>
    <row r="344" ht="15.75" customHeight="1">
      <c r="A344" s="19">
        <v>342.0</v>
      </c>
      <c r="B344" s="32" t="s">
        <v>30</v>
      </c>
      <c r="C344" s="32" t="s">
        <v>724</v>
      </c>
      <c r="D344" s="32" t="s">
        <v>725</v>
      </c>
      <c r="E344" s="32" t="s">
        <v>98</v>
      </c>
      <c r="F344" s="32">
        <v>5.93318013E9</v>
      </c>
      <c r="G344" s="29"/>
      <c r="H344" s="26"/>
    </row>
    <row r="345" ht="15.75" customHeight="1">
      <c r="A345" s="19">
        <v>343.0</v>
      </c>
      <c r="B345" s="32" t="s">
        <v>30</v>
      </c>
      <c r="C345" s="32" t="s">
        <v>726</v>
      </c>
      <c r="D345" s="32" t="s">
        <v>727</v>
      </c>
      <c r="E345" s="32" t="s">
        <v>98</v>
      </c>
      <c r="F345" s="32">
        <v>6.2987138326E10</v>
      </c>
      <c r="G345" s="29"/>
      <c r="H345" s="26"/>
    </row>
    <row r="346" ht="15.75" customHeight="1">
      <c r="A346" s="19">
        <v>344.0</v>
      </c>
      <c r="B346" s="32" t="s">
        <v>30</v>
      </c>
      <c r="C346" s="32" t="s">
        <v>728</v>
      </c>
      <c r="D346" s="32" t="s">
        <v>729</v>
      </c>
      <c r="E346" s="32" t="s">
        <v>98</v>
      </c>
      <c r="F346" s="32">
        <v>7.02488021E10</v>
      </c>
      <c r="G346" s="29"/>
      <c r="H346" s="26"/>
    </row>
    <row r="347" ht="15.75" customHeight="1">
      <c r="A347" s="19">
        <v>345.0</v>
      </c>
      <c r="B347" s="32" t="s">
        <v>29</v>
      </c>
      <c r="C347" s="32" t="s">
        <v>730</v>
      </c>
      <c r="D347" s="32" t="s">
        <v>731</v>
      </c>
      <c r="E347" s="32" t="s">
        <v>98</v>
      </c>
      <c r="F347" s="32">
        <v>7.0242099173E10</v>
      </c>
      <c r="G347" s="29"/>
      <c r="H347" s="26"/>
    </row>
    <row r="348" ht="15.75" customHeight="1">
      <c r="A348" s="21">
        <v>346.0</v>
      </c>
      <c r="B348" s="32" t="s">
        <v>53</v>
      </c>
      <c r="C348" s="32" t="s">
        <v>732</v>
      </c>
      <c r="D348" s="32" t="s">
        <v>538</v>
      </c>
      <c r="E348" s="32" t="s">
        <v>98</v>
      </c>
      <c r="F348" s="32">
        <v>7.0332856127E10</v>
      </c>
      <c r="G348" s="29"/>
      <c r="H348" s="26"/>
    </row>
    <row r="349" ht="15.75" customHeight="1">
      <c r="A349" s="21">
        <v>347.0</v>
      </c>
      <c r="B349" s="32" t="s">
        <v>53</v>
      </c>
      <c r="C349" s="32" t="s">
        <v>733</v>
      </c>
      <c r="D349" s="32" t="s">
        <v>538</v>
      </c>
      <c r="E349" s="32" t="s">
        <v>98</v>
      </c>
      <c r="F349" s="32">
        <v>1.3414266377E10</v>
      </c>
      <c r="G349" s="29"/>
      <c r="H349" s="26"/>
    </row>
    <row r="350" ht="15.75" customHeight="1">
      <c r="A350" s="19">
        <v>348.0</v>
      </c>
      <c r="B350" s="32" t="s">
        <v>40</v>
      </c>
      <c r="C350" s="32" t="s">
        <v>734</v>
      </c>
      <c r="D350" s="32" t="s">
        <v>241</v>
      </c>
      <c r="E350" s="32" t="s">
        <v>98</v>
      </c>
      <c r="F350" s="32">
        <v>6.0780593359E10</v>
      </c>
      <c r="G350" s="29"/>
      <c r="H350" s="26"/>
    </row>
    <row r="351" ht="15.75" customHeight="1">
      <c r="A351" s="19">
        <v>349.0</v>
      </c>
      <c r="B351" s="32" t="s">
        <v>53</v>
      </c>
      <c r="C351" s="32" t="s">
        <v>735</v>
      </c>
      <c r="D351" s="32" t="s">
        <v>538</v>
      </c>
      <c r="E351" s="32" t="s">
        <v>98</v>
      </c>
      <c r="F351" s="32">
        <v>4.4462615104E10</v>
      </c>
      <c r="G351" s="29"/>
      <c r="H351" s="26"/>
    </row>
    <row r="352" ht="15.75" customHeight="1">
      <c r="A352" s="19">
        <v>350.0</v>
      </c>
      <c r="B352" s="32" t="s">
        <v>53</v>
      </c>
      <c r="C352" s="32" t="s">
        <v>736</v>
      </c>
      <c r="D352" s="32" t="s">
        <v>538</v>
      </c>
      <c r="E352" s="32" t="s">
        <v>98</v>
      </c>
      <c r="F352" s="32">
        <v>7.021547919E10</v>
      </c>
      <c r="G352" s="29"/>
      <c r="H352" s="26"/>
    </row>
    <row r="353" ht="15.75" customHeight="1">
      <c r="A353" s="19">
        <v>351.0</v>
      </c>
      <c r="B353" s="34"/>
      <c r="C353" s="32" t="s">
        <v>737</v>
      </c>
      <c r="D353" s="32" t="s">
        <v>193</v>
      </c>
      <c r="E353" s="32" t="s">
        <v>98</v>
      </c>
      <c r="F353" s="32">
        <v>2.04012139E8</v>
      </c>
      <c r="G353" s="29"/>
      <c r="H353" s="26"/>
    </row>
    <row r="354" ht="15.75" customHeight="1">
      <c r="A354" s="21">
        <v>352.0</v>
      </c>
      <c r="B354" s="32" t="s">
        <v>30</v>
      </c>
      <c r="C354" s="32" t="s">
        <v>738</v>
      </c>
      <c r="D354" s="32" t="s">
        <v>721</v>
      </c>
      <c r="E354" s="32" t="s">
        <v>98</v>
      </c>
      <c r="F354" s="32">
        <v>6.977033622E10</v>
      </c>
      <c r="G354" s="29"/>
      <c r="H354" s="26"/>
    </row>
    <row r="355" ht="15.75" customHeight="1">
      <c r="A355" s="21">
        <v>353.0</v>
      </c>
      <c r="B355" s="32" t="s">
        <v>30</v>
      </c>
      <c r="C355" s="32" t="s">
        <v>739</v>
      </c>
      <c r="D355" s="32" t="s">
        <v>721</v>
      </c>
      <c r="E355" s="32" t="s">
        <v>98</v>
      </c>
      <c r="F355" s="32">
        <v>6.0174807317E10</v>
      </c>
      <c r="G355" s="29"/>
      <c r="H355" s="26"/>
    </row>
    <row r="356" ht="15.75" customHeight="1">
      <c r="A356" s="19">
        <v>354.0</v>
      </c>
      <c r="B356" s="32" t="s">
        <v>30</v>
      </c>
      <c r="C356" s="32" t="s">
        <v>740</v>
      </c>
      <c r="D356" s="32" t="s">
        <v>721</v>
      </c>
      <c r="E356" s="32" t="s">
        <v>98</v>
      </c>
      <c r="F356" s="32">
        <v>3.974084126E9</v>
      </c>
      <c r="G356" s="29"/>
      <c r="H356" s="26"/>
    </row>
    <row r="357" ht="15.75" customHeight="1">
      <c r="A357" s="19">
        <v>355.0</v>
      </c>
      <c r="B357" s="32" t="s">
        <v>30</v>
      </c>
      <c r="C357" s="32" t="s">
        <v>741</v>
      </c>
      <c r="D357" s="32" t="s">
        <v>721</v>
      </c>
      <c r="E357" s="32" t="s">
        <v>98</v>
      </c>
      <c r="F357" s="32">
        <v>6.385029344E9</v>
      </c>
      <c r="G357" s="29"/>
      <c r="H357" s="26"/>
    </row>
    <row r="358" ht="15.75" customHeight="1">
      <c r="A358" s="19">
        <v>356.0</v>
      </c>
      <c r="B358" s="34"/>
      <c r="C358" s="32" t="s">
        <v>642</v>
      </c>
      <c r="D358" s="34"/>
      <c r="E358" s="32" t="s">
        <v>98</v>
      </c>
      <c r="F358" s="34"/>
      <c r="G358" s="29"/>
      <c r="H358" s="26"/>
    </row>
    <row r="359" ht="15.75" customHeight="1">
      <c r="A359" s="19">
        <v>357.0</v>
      </c>
      <c r="B359" s="32" t="s">
        <v>67</v>
      </c>
      <c r="C359" s="32" t="s">
        <v>742</v>
      </c>
      <c r="D359" s="32" t="s">
        <v>743</v>
      </c>
      <c r="E359" s="32" t="s">
        <v>98</v>
      </c>
      <c r="F359" s="32">
        <v>4.3188818149E10</v>
      </c>
      <c r="G359" s="29"/>
      <c r="H359" s="26"/>
    </row>
    <row r="360" ht="15.75" customHeight="1">
      <c r="A360" s="21">
        <v>358.0</v>
      </c>
      <c r="B360" s="32" t="s">
        <v>58</v>
      </c>
      <c r="C360" s="32" t="s">
        <v>744</v>
      </c>
      <c r="D360" s="32" t="s">
        <v>745</v>
      </c>
      <c r="E360" s="32" t="s">
        <v>98</v>
      </c>
      <c r="F360" s="32">
        <v>2.288461101E9</v>
      </c>
      <c r="G360" s="29"/>
      <c r="H360" s="26"/>
    </row>
    <row r="361" ht="15.75" customHeight="1">
      <c r="A361" s="21">
        <v>359.0</v>
      </c>
      <c r="B361" s="32" t="s">
        <v>21</v>
      </c>
      <c r="C361" s="32" t="s">
        <v>746</v>
      </c>
      <c r="D361" s="32" t="s">
        <v>747</v>
      </c>
      <c r="E361" s="32" t="s">
        <v>98</v>
      </c>
      <c r="F361" s="32">
        <v>3.790195154E9</v>
      </c>
      <c r="G361" s="29"/>
      <c r="H361" s="26"/>
    </row>
    <row r="362" ht="15.75" customHeight="1">
      <c r="A362" s="19">
        <v>360.0</v>
      </c>
      <c r="B362" s="34"/>
      <c r="C362" s="32" t="s">
        <v>748</v>
      </c>
      <c r="D362" s="32" t="s">
        <v>749</v>
      </c>
      <c r="E362" s="32" t="s">
        <v>98</v>
      </c>
      <c r="F362" s="32">
        <v>6.5632923134E10</v>
      </c>
      <c r="G362" s="29"/>
      <c r="H362" s="26"/>
    </row>
    <row r="363" ht="15.75" customHeight="1">
      <c r="A363" s="19">
        <v>361.0</v>
      </c>
      <c r="B363" s="32" t="s">
        <v>21</v>
      </c>
      <c r="C363" s="32" t="s">
        <v>750</v>
      </c>
      <c r="D363" s="32" t="s">
        <v>717</v>
      </c>
      <c r="E363" s="32" t="s">
        <v>98</v>
      </c>
      <c r="F363" s="32">
        <v>2.074564104E9</v>
      </c>
      <c r="G363" s="29"/>
      <c r="H363" s="26"/>
    </row>
    <row r="364" ht="15.75" customHeight="1">
      <c r="A364" s="19">
        <v>362.0</v>
      </c>
      <c r="B364" s="32" t="s">
        <v>21</v>
      </c>
      <c r="C364" s="32" t="s">
        <v>751</v>
      </c>
      <c r="D364" s="32" t="s">
        <v>752</v>
      </c>
      <c r="E364" s="32" t="s">
        <v>98</v>
      </c>
      <c r="F364" s="32">
        <v>1.2487514878E10</v>
      </c>
      <c r="G364" s="29"/>
      <c r="H364" s="26"/>
    </row>
    <row r="365" ht="15.75" customHeight="1">
      <c r="A365" s="19">
        <v>363.0</v>
      </c>
      <c r="B365" s="32" t="s">
        <v>53</v>
      </c>
      <c r="C365" s="32" t="s">
        <v>753</v>
      </c>
      <c r="D365" s="32" t="s">
        <v>754</v>
      </c>
      <c r="E365" s="32" t="s">
        <v>98</v>
      </c>
      <c r="F365" s="32">
        <v>3.651065189E9</v>
      </c>
      <c r="G365" s="29"/>
      <c r="H365" s="26"/>
    </row>
    <row r="366" ht="15.75" customHeight="1">
      <c r="A366" s="21">
        <v>364.0</v>
      </c>
      <c r="B366" s="32" t="s">
        <v>21</v>
      </c>
      <c r="C366" s="32" t="s">
        <v>755</v>
      </c>
      <c r="D366" s="32" t="s">
        <v>756</v>
      </c>
      <c r="E366" s="32" t="s">
        <v>98</v>
      </c>
      <c r="F366" s="32">
        <v>7.4925776134E10</v>
      </c>
      <c r="G366" s="29"/>
      <c r="H366" s="26"/>
    </row>
    <row r="367" ht="15.75" customHeight="1">
      <c r="A367" s="21">
        <v>365.0</v>
      </c>
      <c r="B367" s="32" t="s">
        <v>22</v>
      </c>
      <c r="C367" s="32" t="s">
        <v>757</v>
      </c>
      <c r="D367" s="34"/>
      <c r="E367" s="32" t="s">
        <v>98</v>
      </c>
      <c r="F367" s="32">
        <v>7.0207796114E10</v>
      </c>
      <c r="G367" s="29"/>
      <c r="H367" s="26"/>
    </row>
    <row r="368" ht="15.75" customHeight="1">
      <c r="A368" s="19">
        <v>366.0</v>
      </c>
      <c r="B368" s="32" t="s">
        <v>53</v>
      </c>
      <c r="C368" s="32" t="s">
        <v>758</v>
      </c>
      <c r="D368" s="32" t="s">
        <v>538</v>
      </c>
      <c r="E368" s="32" t="s">
        <v>98</v>
      </c>
      <c r="F368" s="32">
        <v>7.142945515E10</v>
      </c>
      <c r="G368" s="29"/>
      <c r="H368" s="26"/>
    </row>
    <row r="369" ht="15.75" customHeight="1">
      <c r="A369" s="19">
        <v>367.0</v>
      </c>
      <c r="B369" s="32" t="s">
        <v>53</v>
      </c>
      <c r="C369" s="32" t="s">
        <v>759</v>
      </c>
      <c r="D369" s="32" t="s">
        <v>538</v>
      </c>
      <c r="E369" s="32" t="s">
        <v>98</v>
      </c>
      <c r="F369" s="32">
        <v>1.0589089102E10</v>
      </c>
      <c r="G369" s="29"/>
      <c r="H369" s="26"/>
    </row>
    <row r="370" ht="15.75" customHeight="1">
      <c r="A370" s="19">
        <v>368.0</v>
      </c>
      <c r="B370" s="32" t="s">
        <v>66</v>
      </c>
      <c r="C370" s="32" t="s">
        <v>760</v>
      </c>
      <c r="D370" s="32" t="s">
        <v>250</v>
      </c>
      <c r="E370" s="32" t="s">
        <v>98</v>
      </c>
      <c r="F370" s="32">
        <v>3.99253319E9</v>
      </c>
      <c r="G370" s="29"/>
      <c r="H370" s="26"/>
    </row>
    <row r="371" ht="15.75" customHeight="1">
      <c r="A371" s="19">
        <v>369.0</v>
      </c>
      <c r="B371" s="32" t="s">
        <v>66</v>
      </c>
      <c r="C371" s="32" t="s">
        <v>761</v>
      </c>
      <c r="D371" s="32" t="s">
        <v>250</v>
      </c>
      <c r="E371" s="32" t="s">
        <v>98</v>
      </c>
      <c r="F371" s="32">
        <v>3.743677105E9</v>
      </c>
      <c r="G371" s="29"/>
      <c r="H371" s="26"/>
    </row>
    <row r="372" ht="15.75" customHeight="1">
      <c r="A372" s="21">
        <v>370.0</v>
      </c>
      <c r="B372" s="32" t="s">
        <v>50</v>
      </c>
      <c r="C372" s="32" t="s">
        <v>762</v>
      </c>
      <c r="D372" s="32" t="s">
        <v>190</v>
      </c>
      <c r="E372" s="32" t="s">
        <v>98</v>
      </c>
      <c r="F372" s="32">
        <v>3.275535102E9</v>
      </c>
      <c r="G372" s="29"/>
      <c r="H372" s="26"/>
    </row>
    <row r="373" ht="15.75" customHeight="1">
      <c r="A373" s="21">
        <v>371.0</v>
      </c>
      <c r="B373" s="32" t="s">
        <v>34</v>
      </c>
      <c r="C373" s="32" t="s">
        <v>763</v>
      </c>
      <c r="D373" s="32" t="s">
        <v>241</v>
      </c>
      <c r="E373" s="32" t="s">
        <v>98</v>
      </c>
      <c r="F373" s="32">
        <v>1.19760045E9</v>
      </c>
      <c r="G373" s="29"/>
      <c r="H373" s="26"/>
    </row>
    <row r="374" ht="15.75" customHeight="1">
      <c r="A374" s="19">
        <v>372.0</v>
      </c>
      <c r="B374" s="32" t="s">
        <v>29</v>
      </c>
      <c r="C374" s="32" t="s">
        <v>764</v>
      </c>
      <c r="D374" s="32" t="s">
        <v>765</v>
      </c>
      <c r="E374" s="32" t="s">
        <v>98</v>
      </c>
      <c r="F374" s="32">
        <v>2.408177103E9</v>
      </c>
      <c r="G374" s="29"/>
      <c r="H374" s="26"/>
    </row>
    <row r="375" ht="15.75" customHeight="1">
      <c r="A375" s="19">
        <v>373.0</v>
      </c>
      <c r="B375" s="34"/>
      <c r="C375" s="32" t="s">
        <v>766</v>
      </c>
      <c r="D375" s="32" t="s">
        <v>241</v>
      </c>
      <c r="E375" s="32" t="s">
        <v>98</v>
      </c>
      <c r="F375" s="32">
        <v>6.639055163E9</v>
      </c>
      <c r="G375" s="29"/>
      <c r="H375" s="26"/>
    </row>
    <row r="376" ht="15.75" customHeight="1">
      <c r="A376" s="19">
        <v>374.0</v>
      </c>
      <c r="B376" s="32" t="s">
        <v>29</v>
      </c>
      <c r="C376" s="32" t="s">
        <v>767</v>
      </c>
      <c r="D376" s="32" t="s">
        <v>241</v>
      </c>
      <c r="E376" s="32" t="s">
        <v>98</v>
      </c>
      <c r="F376" s="32">
        <v>3.258119112E9</v>
      </c>
      <c r="G376" s="29"/>
      <c r="H376" s="26"/>
    </row>
    <row r="377" ht="15.75" customHeight="1">
      <c r="A377" s="19">
        <v>375.0</v>
      </c>
      <c r="B377" s="32" t="s">
        <v>29</v>
      </c>
      <c r="C377" s="32" t="s">
        <v>768</v>
      </c>
      <c r="D377" s="32" t="s">
        <v>769</v>
      </c>
      <c r="E377" s="32" t="s">
        <v>98</v>
      </c>
      <c r="F377" s="32">
        <v>4.440974147E9</v>
      </c>
      <c r="G377" s="29"/>
      <c r="H377" s="26"/>
    </row>
    <row r="378" ht="15.75" customHeight="1">
      <c r="A378" s="21">
        <v>376.0</v>
      </c>
      <c r="B378" s="32" t="s">
        <v>29</v>
      </c>
      <c r="C378" s="32" t="s">
        <v>770</v>
      </c>
      <c r="D378" s="32" t="s">
        <v>771</v>
      </c>
      <c r="E378" s="32" t="s">
        <v>98</v>
      </c>
      <c r="F378" s="32">
        <v>3.340875111E9</v>
      </c>
      <c r="G378" s="29"/>
      <c r="H378" s="26"/>
    </row>
    <row r="379" ht="15.75" customHeight="1">
      <c r="A379" s="21">
        <v>377.0</v>
      </c>
      <c r="B379" s="32" t="s">
        <v>32</v>
      </c>
      <c r="C379" s="32" t="s">
        <v>772</v>
      </c>
      <c r="D379" s="32" t="s">
        <v>250</v>
      </c>
      <c r="E379" s="32" t="s">
        <v>98</v>
      </c>
      <c r="F379" s="32">
        <v>4.4075693104E10</v>
      </c>
      <c r="G379" s="29"/>
      <c r="H379" s="26"/>
    </row>
    <row r="380" ht="15.75" customHeight="1">
      <c r="A380" s="19">
        <v>378.0</v>
      </c>
      <c r="B380" s="32" t="s">
        <v>35</v>
      </c>
      <c r="C380" s="32" t="s">
        <v>773</v>
      </c>
      <c r="D380" s="32" t="s">
        <v>241</v>
      </c>
      <c r="E380" s="32" t="s">
        <v>98</v>
      </c>
      <c r="F380" s="32">
        <v>3.97962215E9</v>
      </c>
      <c r="G380" s="29"/>
      <c r="H380" s="26"/>
    </row>
    <row r="381" ht="15.75" customHeight="1">
      <c r="A381" s="19">
        <v>379.0</v>
      </c>
      <c r="B381" s="32" t="s">
        <v>35</v>
      </c>
      <c r="C381" s="32" t="s">
        <v>774</v>
      </c>
      <c r="D381" s="32" t="s">
        <v>241</v>
      </c>
      <c r="E381" s="32" t="s">
        <v>98</v>
      </c>
      <c r="F381" s="32">
        <v>9.028909133E9</v>
      </c>
      <c r="G381" s="29"/>
      <c r="H381" s="26"/>
    </row>
    <row r="382" ht="15.75" customHeight="1">
      <c r="A382" s="19">
        <v>380.0</v>
      </c>
      <c r="B382" s="32" t="s">
        <v>58</v>
      </c>
      <c r="C382" s="32" t="s">
        <v>775</v>
      </c>
      <c r="D382" s="32" t="s">
        <v>776</v>
      </c>
      <c r="E382" s="32" t="s">
        <v>98</v>
      </c>
      <c r="F382" s="32">
        <v>1.1711470821E10</v>
      </c>
      <c r="G382" s="29"/>
      <c r="H382" s="26"/>
    </row>
    <row r="383" ht="15.75" customHeight="1">
      <c r="A383" s="19">
        <v>381.0</v>
      </c>
      <c r="B383" s="32" t="s">
        <v>58</v>
      </c>
      <c r="C383" s="32" t="s">
        <v>777</v>
      </c>
      <c r="D383" s="32" t="s">
        <v>241</v>
      </c>
      <c r="E383" s="32" t="s">
        <v>98</v>
      </c>
      <c r="F383" s="32">
        <v>2.390716113E9</v>
      </c>
      <c r="G383" s="29"/>
      <c r="H383" s="26"/>
    </row>
    <row r="384" ht="15.75" customHeight="1">
      <c r="A384" s="21">
        <v>382.0</v>
      </c>
      <c r="B384" s="32" t="s">
        <v>58</v>
      </c>
      <c r="C384" s="32" t="s">
        <v>778</v>
      </c>
      <c r="D384" s="32" t="s">
        <v>250</v>
      </c>
      <c r="E384" s="32" t="s">
        <v>98</v>
      </c>
      <c r="F384" s="32">
        <v>7.2774111134E10</v>
      </c>
      <c r="G384" s="29"/>
      <c r="H384" s="26"/>
    </row>
    <row r="385" ht="15.75" customHeight="1">
      <c r="A385" s="21">
        <v>383.0</v>
      </c>
      <c r="B385" s="32" t="s">
        <v>58</v>
      </c>
      <c r="C385" s="32" t="s">
        <v>779</v>
      </c>
      <c r="D385" s="32" t="s">
        <v>241</v>
      </c>
      <c r="E385" s="32" t="s">
        <v>98</v>
      </c>
      <c r="F385" s="32">
        <v>7.5240360197E10</v>
      </c>
      <c r="G385" s="29"/>
      <c r="H385" s="26"/>
    </row>
    <row r="386" ht="15.75" customHeight="1">
      <c r="A386" s="19">
        <v>384.0</v>
      </c>
      <c r="B386" s="32" t="s">
        <v>32</v>
      </c>
      <c r="C386" s="32" t="s">
        <v>780</v>
      </c>
      <c r="D386" s="32" t="s">
        <v>223</v>
      </c>
      <c r="E386" s="32" t="s">
        <v>98</v>
      </c>
      <c r="F386" s="32">
        <v>7.0564842125E10</v>
      </c>
      <c r="G386" s="29"/>
      <c r="H386" s="26"/>
    </row>
    <row r="387" ht="15.75" customHeight="1">
      <c r="A387" s="19">
        <v>385.0</v>
      </c>
      <c r="B387" s="32" t="s">
        <v>32</v>
      </c>
      <c r="C387" s="32" t="s">
        <v>781</v>
      </c>
      <c r="D387" s="32" t="s">
        <v>782</v>
      </c>
      <c r="E387" s="32" t="s">
        <v>98</v>
      </c>
      <c r="F387" s="32">
        <v>9.6440317E8</v>
      </c>
      <c r="G387" s="29"/>
      <c r="H387" s="26"/>
    </row>
    <row r="388" ht="15.75" customHeight="1">
      <c r="A388" s="19">
        <v>386.0</v>
      </c>
      <c r="B388" s="32" t="s">
        <v>32</v>
      </c>
      <c r="C388" s="32" t="s">
        <v>783</v>
      </c>
      <c r="D388" s="32" t="s">
        <v>782</v>
      </c>
      <c r="E388" s="32" t="s">
        <v>98</v>
      </c>
      <c r="F388" s="32">
        <v>5.243559164E9</v>
      </c>
      <c r="G388" s="29"/>
      <c r="H388" s="26"/>
    </row>
    <row r="389" ht="15.75" customHeight="1">
      <c r="A389" s="19">
        <v>387.0</v>
      </c>
      <c r="B389" s="32" t="s">
        <v>59</v>
      </c>
      <c r="C389" s="32" t="s">
        <v>784</v>
      </c>
      <c r="D389" s="32" t="s">
        <v>190</v>
      </c>
      <c r="E389" s="32" t="s">
        <v>98</v>
      </c>
      <c r="F389" s="32">
        <v>4.1272889149E10</v>
      </c>
      <c r="G389" s="29"/>
      <c r="H389" s="26"/>
    </row>
    <row r="390" ht="15.75" customHeight="1">
      <c r="A390" s="21">
        <v>388.0</v>
      </c>
      <c r="B390" s="32" t="s">
        <v>58</v>
      </c>
      <c r="C390" s="32" t="s">
        <v>785</v>
      </c>
      <c r="D390" s="32" t="s">
        <v>241</v>
      </c>
      <c r="E390" s="32" t="s">
        <v>98</v>
      </c>
      <c r="F390" s="32">
        <v>7.0737575158E10</v>
      </c>
      <c r="G390" s="29"/>
      <c r="H390" s="26"/>
    </row>
    <row r="391" ht="15.75" customHeight="1">
      <c r="A391" s="21">
        <v>389.0</v>
      </c>
      <c r="B391" s="32" t="s">
        <v>58</v>
      </c>
      <c r="C391" s="32" t="s">
        <v>786</v>
      </c>
      <c r="D391" s="32" t="s">
        <v>241</v>
      </c>
      <c r="E391" s="32" t="s">
        <v>98</v>
      </c>
      <c r="F391" s="32">
        <v>7.060727817E10</v>
      </c>
      <c r="G391" s="29"/>
      <c r="H391" s="26"/>
    </row>
    <row r="392" ht="15.75" customHeight="1">
      <c r="A392" s="19">
        <v>390.0</v>
      </c>
      <c r="B392" s="32" t="s">
        <v>28</v>
      </c>
      <c r="C392" s="58" t="s">
        <v>787</v>
      </c>
      <c r="D392" s="32" t="s">
        <v>788</v>
      </c>
      <c r="E392" s="32" t="s">
        <v>98</v>
      </c>
      <c r="F392" s="58" t="s">
        <v>789</v>
      </c>
      <c r="G392" s="29"/>
      <c r="H392" s="26"/>
    </row>
    <row r="393" ht="15.75" customHeight="1">
      <c r="A393" s="19">
        <v>391.0</v>
      </c>
      <c r="B393" s="32" t="s">
        <v>33</v>
      </c>
      <c r="C393" s="32" t="s">
        <v>790</v>
      </c>
      <c r="D393" s="32" t="s">
        <v>241</v>
      </c>
      <c r="E393" s="32" t="s">
        <v>98</v>
      </c>
      <c r="F393" s="32">
        <v>5.082726102E9</v>
      </c>
      <c r="G393" s="29"/>
      <c r="H393" s="26"/>
    </row>
    <row r="394" ht="15.75" customHeight="1">
      <c r="A394" s="19">
        <v>392.0</v>
      </c>
      <c r="B394" s="32" t="s">
        <v>70</v>
      </c>
      <c r="C394" s="59" t="s">
        <v>578</v>
      </c>
      <c r="D394" s="59" t="s">
        <v>579</v>
      </c>
      <c r="E394" s="32" t="s">
        <v>98</v>
      </c>
      <c r="F394" s="59">
        <v>6.1816191191E10</v>
      </c>
      <c r="G394" s="29"/>
      <c r="H394" s="26"/>
    </row>
    <row r="395" ht="15.75" customHeight="1">
      <c r="A395" s="19">
        <v>393.0</v>
      </c>
      <c r="B395" s="32" t="s">
        <v>70</v>
      </c>
      <c r="C395" s="60" t="s">
        <v>580</v>
      </c>
      <c r="D395" s="60" t="s">
        <v>581</v>
      </c>
      <c r="E395" s="32" t="s">
        <v>98</v>
      </c>
      <c r="F395" s="60" t="s">
        <v>582</v>
      </c>
      <c r="G395" s="29"/>
      <c r="H395" s="26"/>
    </row>
    <row r="396" ht="15.75" customHeight="1">
      <c r="A396" s="21">
        <v>394.0</v>
      </c>
      <c r="B396" s="32" t="s">
        <v>70</v>
      </c>
      <c r="C396" s="59" t="s">
        <v>583</v>
      </c>
      <c r="D396" s="59" t="s">
        <v>584</v>
      </c>
      <c r="E396" s="32" t="s">
        <v>98</v>
      </c>
      <c r="F396" s="59">
        <v>6.6445183115E10</v>
      </c>
      <c r="G396" s="29"/>
      <c r="H396" s="26"/>
    </row>
    <row r="397" ht="15.75" customHeight="1">
      <c r="A397" s="21">
        <v>395.0</v>
      </c>
      <c r="B397" s="32" t="s">
        <v>70</v>
      </c>
      <c r="C397" s="60" t="s">
        <v>585</v>
      </c>
      <c r="D397" s="60" t="s">
        <v>586</v>
      </c>
      <c r="E397" s="32" t="s">
        <v>98</v>
      </c>
      <c r="F397" s="60">
        <v>2.6946114191E10</v>
      </c>
      <c r="G397" s="29"/>
      <c r="H397" s="26"/>
    </row>
    <row r="398" ht="15.75" customHeight="1">
      <c r="A398" s="19">
        <v>396.0</v>
      </c>
      <c r="B398" s="32" t="s">
        <v>70</v>
      </c>
      <c r="C398" s="59" t="s">
        <v>587</v>
      </c>
      <c r="D398" s="59" t="s">
        <v>588</v>
      </c>
      <c r="E398" s="32" t="s">
        <v>98</v>
      </c>
      <c r="F398" s="61" t="s">
        <v>589</v>
      </c>
      <c r="G398" s="29"/>
      <c r="H398" s="26"/>
    </row>
    <row r="399" ht="15.75" customHeight="1">
      <c r="A399" s="19">
        <v>397.0</v>
      </c>
      <c r="B399" s="32" t="s">
        <v>70</v>
      </c>
      <c r="C399" s="60" t="s">
        <v>590</v>
      </c>
      <c r="D399" s="60" t="s">
        <v>591</v>
      </c>
      <c r="E399" s="32" t="s">
        <v>98</v>
      </c>
      <c r="F399" s="60">
        <v>7.11349991E10</v>
      </c>
      <c r="G399" s="29"/>
      <c r="H399" s="26"/>
    </row>
    <row r="400" ht="15.75" customHeight="1">
      <c r="A400" s="19">
        <v>398.0</v>
      </c>
      <c r="B400" s="32" t="s">
        <v>70</v>
      </c>
      <c r="C400" s="59" t="s">
        <v>592</v>
      </c>
      <c r="D400" s="59" t="s">
        <v>593</v>
      </c>
      <c r="E400" s="32" t="s">
        <v>98</v>
      </c>
      <c r="F400" s="59">
        <v>9.8698443168E10</v>
      </c>
      <c r="G400" s="29"/>
      <c r="H400" s="26"/>
    </row>
    <row r="401" ht="15.75" customHeight="1">
      <c r="A401" s="19">
        <v>399.0</v>
      </c>
      <c r="B401" s="32" t="s">
        <v>70</v>
      </c>
      <c r="C401" s="60" t="s">
        <v>594</v>
      </c>
      <c r="D401" s="60" t="s">
        <v>595</v>
      </c>
      <c r="E401" s="32" t="s">
        <v>98</v>
      </c>
      <c r="F401" s="62" t="s">
        <v>596</v>
      </c>
      <c r="G401" s="29"/>
      <c r="H401" s="26"/>
    </row>
    <row r="402" ht="15.75" customHeight="1">
      <c r="A402" s="21">
        <v>400.0</v>
      </c>
      <c r="B402" s="32" t="s">
        <v>70</v>
      </c>
      <c r="C402" s="59" t="s">
        <v>597</v>
      </c>
      <c r="D402" s="59" t="s">
        <v>593</v>
      </c>
      <c r="E402" s="32" t="s">
        <v>98</v>
      </c>
      <c r="F402" s="61" t="s">
        <v>598</v>
      </c>
      <c r="G402" s="29"/>
      <c r="H402" s="26"/>
    </row>
    <row r="403" ht="15.75" customHeight="1">
      <c r="A403" s="21">
        <v>401.0</v>
      </c>
      <c r="B403" s="32" t="s">
        <v>70</v>
      </c>
      <c r="C403" s="60" t="s">
        <v>599</v>
      </c>
      <c r="D403" s="60" t="s">
        <v>600</v>
      </c>
      <c r="E403" s="32" t="s">
        <v>98</v>
      </c>
      <c r="F403" s="62" t="s">
        <v>601</v>
      </c>
      <c r="G403" s="29"/>
      <c r="H403" s="26"/>
    </row>
    <row r="404" ht="15.75" customHeight="1">
      <c r="A404" s="19">
        <v>402.0</v>
      </c>
      <c r="B404" s="32" t="s">
        <v>70</v>
      </c>
      <c r="C404" s="59" t="s">
        <v>791</v>
      </c>
      <c r="D404" s="59" t="s">
        <v>792</v>
      </c>
      <c r="E404" s="32" t="s">
        <v>98</v>
      </c>
      <c r="F404" s="59">
        <v>7.0002990105E10</v>
      </c>
      <c r="G404" s="29"/>
      <c r="H404" s="26"/>
    </row>
    <row r="405" ht="15.75" customHeight="1">
      <c r="A405" s="19">
        <v>403.0</v>
      </c>
      <c r="B405" s="32" t="s">
        <v>70</v>
      </c>
      <c r="C405" s="60" t="s">
        <v>793</v>
      </c>
      <c r="D405" s="60" t="s">
        <v>794</v>
      </c>
      <c r="E405" s="32" t="s">
        <v>98</v>
      </c>
      <c r="F405" s="60" t="s">
        <v>795</v>
      </c>
      <c r="G405" s="29"/>
      <c r="H405" s="26"/>
    </row>
    <row r="406" ht="15.75" customHeight="1">
      <c r="A406" s="19">
        <v>404.0</v>
      </c>
      <c r="B406" s="32" t="s">
        <v>70</v>
      </c>
      <c r="C406" s="59" t="s">
        <v>796</v>
      </c>
      <c r="D406" s="59" t="s">
        <v>797</v>
      </c>
      <c r="E406" s="32" t="s">
        <v>98</v>
      </c>
      <c r="F406" s="59">
        <v>7.009691517E10</v>
      </c>
      <c r="G406" s="29"/>
      <c r="H406" s="26"/>
    </row>
    <row r="407" ht="15.75" customHeight="1">
      <c r="A407" s="19">
        <v>405.0</v>
      </c>
      <c r="B407" s="32" t="s">
        <v>70</v>
      </c>
      <c r="C407" s="60" t="s">
        <v>798</v>
      </c>
      <c r="D407" s="60" t="s">
        <v>799</v>
      </c>
      <c r="E407" s="32" t="s">
        <v>98</v>
      </c>
      <c r="F407" s="62" t="s">
        <v>800</v>
      </c>
      <c r="G407" s="29"/>
      <c r="H407" s="26"/>
    </row>
    <row r="408" ht="15.75" customHeight="1">
      <c r="A408" s="21">
        <v>406.0</v>
      </c>
      <c r="B408" s="32" t="s">
        <v>70</v>
      </c>
      <c r="C408" s="59" t="s">
        <v>801</v>
      </c>
      <c r="D408" s="59" t="s">
        <v>802</v>
      </c>
      <c r="E408" s="32" t="s">
        <v>98</v>
      </c>
      <c r="F408" s="59" t="s">
        <v>803</v>
      </c>
      <c r="G408" s="29"/>
      <c r="H408" s="26"/>
    </row>
    <row r="409" ht="15.75" customHeight="1">
      <c r="A409" s="21">
        <v>407.0</v>
      </c>
      <c r="B409" s="32" t="s">
        <v>70</v>
      </c>
      <c r="C409" s="60" t="s">
        <v>804</v>
      </c>
      <c r="D409" s="60" t="s">
        <v>805</v>
      </c>
      <c r="E409" s="32" t="s">
        <v>98</v>
      </c>
      <c r="F409" s="60">
        <v>7.5779021104E10</v>
      </c>
      <c r="G409" s="29"/>
      <c r="H409" s="26"/>
    </row>
    <row r="410" ht="15.75" customHeight="1">
      <c r="A410" s="19">
        <v>408.0</v>
      </c>
      <c r="B410" s="32" t="s">
        <v>70</v>
      </c>
      <c r="C410" s="59" t="s">
        <v>806</v>
      </c>
      <c r="D410" s="59" t="s">
        <v>807</v>
      </c>
      <c r="E410" s="32" t="s">
        <v>98</v>
      </c>
      <c r="F410" s="59">
        <v>7.0836381106E10</v>
      </c>
      <c r="G410" s="29"/>
      <c r="H410" s="26"/>
    </row>
    <row r="411" ht="15.75" customHeight="1">
      <c r="A411" s="19">
        <v>409.0</v>
      </c>
      <c r="B411" s="32" t="s">
        <v>70</v>
      </c>
      <c r="C411" s="60" t="s">
        <v>808</v>
      </c>
      <c r="D411" s="60" t="s">
        <v>805</v>
      </c>
      <c r="E411" s="32" t="s">
        <v>98</v>
      </c>
      <c r="F411" s="62" t="s">
        <v>809</v>
      </c>
      <c r="G411" s="29"/>
      <c r="H411" s="26"/>
    </row>
    <row r="412" ht="15.75" customHeight="1">
      <c r="A412" s="19">
        <v>410.0</v>
      </c>
      <c r="B412" s="32" t="s">
        <v>70</v>
      </c>
      <c r="C412" s="59" t="s">
        <v>810</v>
      </c>
      <c r="D412" s="59" t="s">
        <v>811</v>
      </c>
      <c r="E412" s="32" t="s">
        <v>98</v>
      </c>
      <c r="F412" s="59">
        <v>7.021739311E10</v>
      </c>
      <c r="G412" s="29"/>
      <c r="H412" s="26"/>
    </row>
    <row r="413" ht="15.75" customHeight="1">
      <c r="A413" s="19">
        <v>411.0</v>
      </c>
      <c r="B413" s="32" t="s">
        <v>70</v>
      </c>
      <c r="C413" s="60" t="s">
        <v>812</v>
      </c>
      <c r="D413" s="60" t="s">
        <v>593</v>
      </c>
      <c r="E413" s="32" t="s">
        <v>98</v>
      </c>
      <c r="F413" s="60">
        <v>7.0373012136E10</v>
      </c>
      <c r="G413" s="29"/>
      <c r="H413" s="26"/>
    </row>
    <row r="414" ht="15.75" customHeight="1">
      <c r="A414" s="21">
        <v>412.0</v>
      </c>
      <c r="B414" s="32" t="s">
        <v>70</v>
      </c>
      <c r="C414" s="59" t="s">
        <v>813</v>
      </c>
      <c r="D414" s="59" t="s">
        <v>814</v>
      </c>
      <c r="E414" s="32" t="s">
        <v>98</v>
      </c>
      <c r="F414" s="59">
        <v>6.253072838E10</v>
      </c>
      <c r="G414" s="29"/>
      <c r="H414" s="26"/>
    </row>
    <row r="415" ht="15.75" customHeight="1">
      <c r="A415" s="21">
        <v>413.0</v>
      </c>
      <c r="B415" s="32" t="s">
        <v>70</v>
      </c>
      <c r="C415" s="60" t="s">
        <v>815</v>
      </c>
      <c r="D415" s="60" t="s">
        <v>816</v>
      </c>
      <c r="E415" s="32" t="s">
        <v>98</v>
      </c>
      <c r="F415" s="60">
        <v>5.34811191E10</v>
      </c>
      <c r="G415" s="29"/>
      <c r="H415" s="26"/>
    </row>
    <row r="416" ht="15.75" customHeight="1">
      <c r="A416" s="19">
        <v>414.0</v>
      </c>
      <c r="B416" s="32" t="s">
        <v>70</v>
      </c>
      <c r="C416" s="59" t="s">
        <v>817</v>
      </c>
      <c r="D416" s="59" t="s">
        <v>818</v>
      </c>
      <c r="E416" s="32" t="s">
        <v>98</v>
      </c>
      <c r="F416" s="59" t="s">
        <v>819</v>
      </c>
      <c r="G416" s="29"/>
      <c r="H416" s="26"/>
    </row>
    <row r="417" ht="15.75" customHeight="1">
      <c r="A417" s="19">
        <v>415.0</v>
      </c>
      <c r="B417" s="32" t="s">
        <v>70</v>
      </c>
      <c r="C417" s="60" t="s">
        <v>820</v>
      </c>
      <c r="D417" s="60" t="s">
        <v>821</v>
      </c>
      <c r="E417" s="32" t="s">
        <v>98</v>
      </c>
      <c r="F417" s="60">
        <v>8.93803391E10</v>
      </c>
      <c r="G417" s="29"/>
      <c r="H417" s="26"/>
    </row>
    <row r="418" ht="15.75" customHeight="1">
      <c r="A418" s="19">
        <v>416.0</v>
      </c>
      <c r="B418" s="32" t="s">
        <v>70</v>
      </c>
      <c r="C418" s="59" t="s">
        <v>822</v>
      </c>
      <c r="D418" s="59" t="s">
        <v>823</v>
      </c>
      <c r="E418" s="32" t="s">
        <v>98</v>
      </c>
      <c r="F418" s="61" t="s">
        <v>824</v>
      </c>
      <c r="G418" s="29"/>
      <c r="H418" s="26"/>
    </row>
    <row r="419" ht="15.75" customHeight="1">
      <c r="A419" s="19">
        <v>417.0</v>
      </c>
      <c r="B419" s="32" t="s">
        <v>70</v>
      </c>
      <c r="C419" s="63"/>
      <c r="D419" s="60" t="s">
        <v>825</v>
      </c>
      <c r="E419" s="32" t="s">
        <v>98</v>
      </c>
      <c r="F419" s="60">
        <v>7.1048032116E10</v>
      </c>
      <c r="G419" s="29"/>
      <c r="H419" s="26"/>
    </row>
    <row r="420" ht="15.75" customHeight="1">
      <c r="A420" s="21">
        <v>418.0</v>
      </c>
      <c r="B420" s="32" t="s">
        <v>70</v>
      </c>
      <c r="C420" s="59" t="s">
        <v>787</v>
      </c>
      <c r="D420" s="59" t="s">
        <v>826</v>
      </c>
      <c r="E420" s="32" t="s">
        <v>98</v>
      </c>
      <c r="F420" s="59" t="s">
        <v>789</v>
      </c>
      <c r="G420" s="29"/>
      <c r="H420" s="26"/>
    </row>
    <row r="421" ht="15.75" customHeight="1">
      <c r="A421" s="21">
        <v>419.0</v>
      </c>
      <c r="B421" s="32" t="s">
        <v>70</v>
      </c>
      <c r="C421" s="60" t="s">
        <v>827</v>
      </c>
      <c r="D421" s="60" t="s">
        <v>828</v>
      </c>
      <c r="E421" s="32" t="s">
        <v>98</v>
      </c>
      <c r="F421" s="60" t="s">
        <v>829</v>
      </c>
      <c r="G421" s="29"/>
      <c r="H421" s="26"/>
    </row>
    <row r="422" ht="15.75" customHeight="1">
      <c r="A422" s="19">
        <v>420.0</v>
      </c>
      <c r="B422" s="32" t="s">
        <v>70</v>
      </c>
      <c r="C422" s="64" t="s">
        <v>830</v>
      </c>
      <c r="D422" s="65" t="s">
        <v>831</v>
      </c>
      <c r="E422" s="32" t="s">
        <v>98</v>
      </c>
      <c r="F422" s="64">
        <v>7.0436381106E10</v>
      </c>
      <c r="G422" s="29"/>
      <c r="H422" s="26"/>
    </row>
    <row r="423" ht="15.75" customHeight="1">
      <c r="A423" s="19">
        <v>421.0</v>
      </c>
      <c r="B423" s="32" t="s">
        <v>70</v>
      </c>
      <c r="C423" s="64" t="s">
        <v>832</v>
      </c>
      <c r="D423" s="66"/>
      <c r="E423" s="32" t="s">
        <v>98</v>
      </c>
      <c r="F423" s="64">
        <v>5.444771159E9</v>
      </c>
      <c r="G423" s="29"/>
      <c r="H423" s="26"/>
    </row>
    <row r="424" ht="15.75" customHeight="1">
      <c r="A424" s="19">
        <v>422.0</v>
      </c>
      <c r="B424" s="32" t="s">
        <v>70</v>
      </c>
      <c r="C424" s="64" t="s">
        <v>833</v>
      </c>
      <c r="D424" s="65" t="s">
        <v>834</v>
      </c>
      <c r="E424" s="32" t="s">
        <v>98</v>
      </c>
      <c r="F424" s="64">
        <v>7.021739311E9</v>
      </c>
      <c r="G424" s="29"/>
      <c r="H424" s="26"/>
    </row>
    <row r="425" ht="15.75" customHeight="1">
      <c r="A425" s="19">
        <v>423.0</v>
      </c>
      <c r="B425" s="32" t="s">
        <v>70</v>
      </c>
      <c r="C425" s="34"/>
      <c r="D425" s="34"/>
      <c r="E425" s="32" t="s">
        <v>98</v>
      </c>
      <c r="F425" s="34"/>
      <c r="G425" s="29"/>
      <c r="H425" s="26"/>
    </row>
    <row r="426" ht="15.75" customHeight="1">
      <c r="A426" s="21">
        <v>424.0</v>
      </c>
      <c r="B426" s="32" t="s">
        <v>70</v>
      </c>
      <c r="C426" s="32" t="s">
        <v>835</v>
      </c>
      <c r="D426" s="65" t="s">
        <v>834</v>
      </c>
      <c r="E426" s="32" t="s">
        <v>98</v>
      </c>
      <c r="F426" s="32">
        <v>6.530910107E9</v>
      </c>
      <c r="G426" s="29"/>
      <c r="H426" s="26"/>
    </row>
    <row r="427" ht="15.75" customHeight="1">
      <c r="A427" s="21">
        <v>425.0</v>
      </c>
      <c r="B427" s="32" t="s">
        <v>70</v>
      </c>
      <c r="C427" s="32" t="s">
        <v>836</v>
      </c>
      <c r="D427" s="32" t="s">
        <v>837</v>
      </c>
      <c r="E427" s="32" t="s">
        <v>98</v>
      </c>
      <c r="F427" s="32">
        <v>6.253072838E10</v>
      </c>
      <c r="G427" s="29"/>
      <c r="H427" s="26"/>
    </row>
    <row r="428" ht="15.75" customHeight="1">
      <c r="A428" s="19">
        <v>426.0</v>
      </c>
      <c r="B428" s="32" t="s">
        <v>71</v>
      </c>
      <c r="C428" s="32" t="s">
        <v>838</v>
      </c>
      <c r="D428" s="32" t="s">
        <v>839</v>
      </c>
      <c r="E428" s="32" t="s">
        <v>98</v>
      </c>
      <c r="F428" s="32">
        <v>1.097269108E9</v>
      </c>
      <c r="G428" s="29"/>
      <c r="H428" s="26"/>
    </row>
    <row r="429" ht="15.75" customHeight="1">
      <c r="A429" s="19">
        <v>427.0</v>
      </c>
      <c r="B429" s="33" t="s">
        <v>72</v>
      </c>
      <c r="C429" s="32" t="s">
        <v>840</v>
      </c>
      <c r="D429" s="32" t="s">
        <v>241</v>
      </c>
      <c r="E429" s="32" t="s">
        <v>98</v>
      </c>
      <c r="F429" s="32">
        <v>7.1569312109E10</v>
      </c>
      <c r="G429" s="29"/>
      <c r="H429" s="26"/>
    </row>
    <row r="430" ht="15.75" customHeight="1">
      <c r="A430" s="19">
        <v>428.0</v>
      </c>
      <c r="B430" s="33" t="s">
        <v>72</v>
      </c>
      <c r="C430" s="32" t="s">
        <v>841</v>
      </c>
      <c r="D430" s="32" t="s">
        <v>842</v>
      </c>
      <c r="E430" s="32" t="s">
        <v>98</v>
      </c>
      <c r="F430" s="32">
        <v>5.459086124E9</v>
      </c>
      <c r="G430" s="29"/>
      <c r="H430" s="26"/>
    </row>
    <row r="431" ht="15.75" customHeight="1">
      <c r="A431" s="19">
        <v>429.0</v>
      </c>
      <c r="B431" s="33" t="s">
        <v>72</v>
      </c>
      <c r="C431" s="32" t="s">
        <v>843</v>
      </c>
      <c r="D431" s="32" t="s">
        <v>842</v>
      </c>
      <c r="E431" s="32" t="s">
        <v>98</v>
      </c>
      <c r="F431" s="32">
        <v>7.0642851182E10</v>
      </c>
      <c r="G431" s="29"/>
      <c r="H431" s="26"/>
    </row>
    <row r="432" ht="15.75" customHeight="1">
      <c r="A432" s="21">
        <v>430.0</v>
      </c>
      <c r="B432" s="33" t="s">
        <v>32</v>
      </c>
      <c r="C432" s="32" t="s">
        <v>844</v>
      </c>
      <c r="D432" s="32" t="s">
        <v>218</v>
      </c>
      <c r="E432" s="32" t="s">
        <v>98</v>
      </c>
      <c r="F432" s="56"/>
      <c r="G432" s="29"/>
      <c r="H432" s="26"/>
    </row>
    <row r="433" ht="15.75" customHeight="1">
      <c r="A433" s="21">
        <v>431.0</v>
      </c>
      <c r="B433" s="56"/>
      <c r="C433" s="32" t="s">
        <v>845</v>
      </c>
      <c r="D433" s="34"/>
      <c r="E433" s="32" t="s">
        <v>98</v>
      </c>
      <c r="F433" s="32">
        <v>5.5473679668E10</v>
      </c>
      <c r="G433" s="29"/>
      <c r="H433" s="26"/>
    </row>
    <row r="434" ht="15.75" customHeight="1">
      <c r="A434" s="19">
        <v>432.0</v>
      </c>
      <c r="B434" s="56"/>
      <c r="C434" s="32" t="s">
        <v>846</v>
      </c>
      <c r="D434" s="34"/>
      <c r="E434" s="32" t="s">
        <v>98</v>
      </c>
      <c r="F434" s="32">
        <v>9.718799664E9</v>
      </c>
      <c r="G434" s="29"/>
      <c r="H434" s="26"/>
    </row>
    <row r="435" ht="15.75" customHeight="1">
      <c r="A435" s="19">
        <v>433.0</v>
      </c>
      <c r="B435" s="56"/>
      <c r="C435" s="32" t="s">
        <v>847</v>
      </c>
      <c r="D435" s="34"/>
      <c r="E435" s="32" t="s">
        <v>98</v>
      </c>
      <c r="F435" s="32">
        <v>4.631905484E9</v>
      </c>
      <c r="G435" s="29"/>
      <c r="H435" s="26"/>
    </row>
    <row r="436" ht="15.75" customHeight="1">
      <c r="A436" s="19">
        <v>434.0</v>
      </c>
      <c r="B436" s="33" t="s">
        <v>59</v>
      </c>
      <c r="C436" s="32" t="s">
        <v>848</v>
      </c>
      <c r="D436" s="32" t="s">
        <v>218</v>
      </c>
      <c r="E436" s="32" t="s">
        <v>98</v>
      </c>
      <c r="F436" s="32">
        <v>4.4949871153E10</v>
      </c>
      <c r="G436" s="29"/>
      <c r="H436" s="26"/>
    </row>
    <row r="437" ht="15.75" customHeight="1">
      <c r="A437" s="19">
        <v>435.0</v>
      </c>
      <c r="B437" s="32" t="s">
        <v>70</v>
      </c>
      <c r="C437" s="32" t="s">
        <v>849</v>
      </c>
      <c r="D437" s="32" t="s">
        <v>70</v>
      </c>
      <c r="E437" s="32" t="s">
        <v>98</v>
      </c>
      <c r="F437" s="32" t="s">
        <v>850</v>
      </c>
      <c r="G437" s="29"/>
      <c r="H437" s="26"/>
    </row>
    <row r="438" ht="15.75" customHeight="1">
      <c r="A438" s="21">
        <v>436.0</v>
      </c>
      <c r="B438" s="32" t="s">
        <v>70</v>
      </c>
      <c r="C438" s="32" t="s">
        <v>851</v>
      </c>
      <c r="D438" s="32" t="s">
        <v>70</v>
      </c>
      <c r="E438" s="32" t="s">
        <v>98</v>
      </c>
      <c r="F438" s="32" t="s">
        <v>852</v>
      </c>
      <c r="G438" s="29"/>
      <c r="H438" s="26"/>
    </row>
    <row r="439" ht="15.75" customHeight="1">
      <c r="A439" s="21">
        <v>437.0</v>
      </c>
      <c r="B439" s="32" t="s">
        <v>70</v>
      </c>
      <c r="C439" s="32" t="s">
        <v>853</v>
      </c>
      <c r="D439" s="32" t="s">
        <v>70</v>
      </c>
      <c r="E439" s="32" t="s">
        <v>98</v>
      </c>
      <c r="F439" s="32" t="s">
        <v>854</v>
      </c>
      <c r="G439" s="29"/>
      <c r="H439" s="26"/>
    </row>
    <row r="440" ht="15.75" customHeight="1">
      <c r="A440" s="19">
        <v>438.0</v>
      </c>
      <c r="B440" s="32" t="s">
        <v>70</v>
      </c>
      <c r="C440" s="32" t="s">
        <v>855</v>
      </c>
      <c r="D440" s="32" t="s">
        <v>70</v>
      </c>
      <c r="E440" s="32" t="s">
        <v>98</v>
      </c>
      <c r="F440" s="32" t="s">
        <v>856</v>
      </c>
      <c r="G440" s="29"/>
      <c r="H440" s="26"/>
    </row>
    <row r="441" ht="15.75" customHeight="1">
      <c r="A441" s="19">
        <v>439.0</v>
      </c>
      <c r="B441" s="32" t="s">
        <v>70</v>
      </c>
      <c r="C441" s="32" t="s">
        <v>857</v>
      </c>
      <c r="D441" s="32" t="s">
        <v>70</v>
      </c>
      <c r="E441" s="32" t="s">
        <v>98</v>
      </c>
      <c r="F441" s="32" t="s">
        <v>858</v>
      </c>
      <c r="G441" s="29"/>
      <c r="H441" s="26"/>
    </row>
    <row r="442" ht="15.75" customHeight="1">
      <c r="A442" s="19">
        <v>440.0</v>
      </c>
      <c r="B442" s="32" t="s">
        <v>70</v>
      </c>
      <c r="C442" s="32" t="s">
        <v>859</v>
      </c>
      <c r="D442" s="32" t="s">
        <v>70</v>
      </c>
      <c r="E442" s="32" t="s">
        <v>98</v>
      </c>
      <c r="F442" s="32" t="s">
        <v>860</v>
      </c>
      <c r="G442" s="29"/>
      <c r="H442" s="26"/>
    </row>
    <row r="443" ht="15.75" customHeight="1">
      <c r="A443" s="19">
        <v>441.0</v>
      </c>
      <c r="B443" s="32" t="s">
        <v>70</v>
      </c>
      <c r="C443" s="32" t="s">
        <v>861</v>
      </c>
      <c r="D443" s="32" t="s">
        <v>70</v>
      </c>
      <c r="E443" s="32" t="s">
        <v>98</v>
      </c>
      <c r="F443" s="32" t="s">
        <v>862</v>
      </c>
      <c r="G443" s="29"/>
      <c r="H443" s="26"/>
    </row>
    <row r="444" ht="15.75" customHeight="1">
      <c r="A444" s="21">
        <v>442.0</v>
      </c>
      <c r="B444" s="32" t="s">
        <v>70</v>
      </c>
      <c r="C444" s="32" t="s">
        <v>863</v>
      </c>
      <c r="D444" s="32" t="s">
        <v>70</v>
      </c>
      <c r="E444" s="32" t="s">
        <v>98</v>
      </c>
      <c r="F444" s="32" t="s">
        <v>864</v>
      </c>
      <c r="G444" s="29"/>
      <c r="H444" s="26"/>
    </row>
    <row r="445" ht="15.75" customHeight="1">
      <c r="A445" s="21">
        <v>443.0</v>
      </c>
      <c r="B445" s="32" t="s">
        <v>70</v>
      </c>
      <c r="C445" s="32" t="s">
        <v>865</v>
      </c>
      <c r="D445" s="32" t="s">
        <v>70</v>
      </c>
      <c r="E445" s="32" t="s">
        <v>98</v>
      </c>
      <c r="F445" s="32" t="s">
        <v>866</v>
      </c>
      <c r="G445" s="29"/>
      <c r="H445" s="26"/>
    </row>
    <row r="446" ht="15.75" customHeight="1">
      <c r="A446" s="19">
        <v>444.0</v>
      </c>
      <c r="B446" s="32" t="s">
        <v>70</v>
      </c>
      <c r="C446" s="32" t="s">
        <v>867</v>
      </c>
      <c r="D446" s="32" t="s">
        <v>70</v>
      </c>
      <c r="E446" s="32" t="s">
        <v>98</v>
      </c>
      <c r="F446" s="32" t="s">
        <v>868</v>
      </c>
      <c r="G446" s="29"/>
      <c r="H446" s="26"/>
    </row>
    <row r="447" ht="15.75" customHeight="1">
      <c r="A447" s="19">
        <v>445.0</v>
      </c>
      <c r="B447" s="32" t="s">
        <v>70</v>
      </c>
      <c r="C447" s="32" t="s">
        <v>869</v>
      </c>
      <c r="D447" s="32" t="s">
        <v>70</v>
      </c>
      <c r="E447" s="32" t="s">
        <v>98</v>
      </c>
      <c r="F447" s="32" t="s">
        <v>870</v>
      </c>
      <c r="G447" s="29"/>
      <c r="H447" s="26"/>
    </row>
    <row r="448" ht="15.75" customHeight="1">
      <c r="A448" s="19">
        <v>446.0</v>
      </c>
      <c r="B448" s="32" t="s">
        <v>70</v>
      </c>
      <c r="C448" s="32" t="s">
        <v>871</v>
      </c>
      <c r="D448" s="32" t="s">
        <v>70</v>
      </c>
      <c r="E448" s="32" t="s">
        <v>98</v>
      </c>
      <c r="F448" s="32" t="s">
        <v>872</v>
      </c>
      <c r="G448" s="29"/>
      <c r="H448" s="26"/>
    </row>
    <row r="449" ht="15.75" customHeight="1">
      <c r="A449" s="19">
        <v>447.0</v>
      </c>
      <c r="B449" s="32" t="s">
        <v>70</v>
      </c>
      <c r="C449" s="32" t="s">
        <v>873</v>
      </c>
      <c r="D449" s="32" t="s">
        <v>70</v>
      </c>
      <c r="E449" s="32" t="s">
        <v>98</v>
      </c>
      <c r="F449" s="32" t="s">
        <v>874</v>
      </c>
      <c r="G449" s="29"/>
      <c r="H449" s="26"/>
    </row>
    <row r="450" ht="15.75" customHeight="1">
      <c r="A450" s="21">
        <v>448.0</v>
      </c>
      <c r="B450" s="32" t="s">
        <v>70</v>
      </c>
      <c r="C450" s="32" t="s">
        <v>875</v>
      </c>
      <c r="D450" s="32" t="s">
        <v>70</v>
      </c>
      <c r="E450" s="32" t="s">
        <v>98</v>
      </c>
      <c r="F450" s="32" t="s">
        <v>876</v>
      </c>
      <c r="G450" s="29"/>
      <c r="H450" s="26"/>
    </row>
    <row r="451" ht="15.75" customHeight="1">
      <c r="A451" s="21">
        <v>449.0</v>
      </c>
      <c r="B451" s="32" t="s">
        <v>70</v>
      </c>
      <c r="C451" s="32" t="s">
        <v>877</v>
      </c>
      <c r="D451" s="32" t="s">
        <v>70</v>
      </c>
      <c r="E451" s="32" t="s">
        <v>98</v>
      </c>
      <c r="F451" s="32" t="s">
        <v>878</v>
      </c>
      <c r="G451" s="29"/>
      <c r="H451" s="26"/>
    </row>
    <row r="452" ht="15.75" customHeight="1">
      <c r="A452" s="19">
        <v>450.0</v>
      </c>
      <c r="B452" s="32" t="s">
        <v>70</v>
      </c>
      <c r="C452" s="32" t="s">
        <v>879</v>
      </c>
      <c r="D452" s="32" t="s">
        <v>70</v>
      </c>
      <c r="E452" s="32" t="s">
        <v>98</v>
      </c>
      <c r="F452" s="32" t="s">
        <v>880</v>
      </c>
      <c r="G452" s="29"/>
      <c r="H452" s="26"/>
    </row>
    <row r="453" ht="15.75" customHeight="1">
      <c r="A453" s="19">
        <v>451.0</v>
      </c>
      <c r="B453" s="32" t="s">
        <v>70</v>
      </c>
      <c r="C453" s="32" t="s">
        <v>881</v>
      </c>
      <c r="D453" s="32" t="s">
        <v>70</v>
      </c>
      <c r="E453" s="32" t="s">
        <v>98</v>
      </c>
      <c r="F453" s="32" t="s">
        <v>882</v>
      </c>
      <c r="G453" s="29"/>
      <c r="H453" s="26"/>
    </row>
    <row r="454" ht="15.75" customHeight="1">
      <c r="A454" s="19">
        <v>452.0</v>
      </c>
      <c r="B454" s="32" t="s">
        <v>70</v>
      </c>
      <c r="C454" s="32" t="s">
        <v>883</v>
      </c>
      <c r="D454" s="32" t="s">
        <v>70</v>
      </c>
      <c r="E454" s="32" t="s">
        <v>98</v>
      </c>
      <c r="F454" s="32" t="s">
        <v>884</v>
      </c>
      <c r="G454" s="29"/>
      <c r="H454" s="26"/>
    </row>
    <row r="455" ht="15.75" customHeight="1">
      <c r="A455" s="19">
        <v>453.0</v>
      </c>
      <c r="B455" s="32" t="s">
        <v>70</v>
      </c>
      <c r="C455" s="32" t="s">
        <v>885</v>
      </c>
      <c r="D455" s="32" t="s">
        <v>70</v>
      </c>
      <c r="E455" s="32" t="s">
        <v>98</v>
      </c>
      <c r="F455" s="32" t="s">
        <v>886</v>
      </c>
      <c r="G455" s="29"/>
      <c r="H455" s="26"/>
    </row>
    <row r="456" ht="15.75" customHeight="1">
      <c r="A456" s="21">
        <v>454.0</v>
      </c>
      <c r="B456" s="32" t="s">
        <v>70</v>
      </c>
      <c r="C456" s="32" t="s">
        <v>887</v>
      </c>
      <c r="D456" s="32" t="s">
        <v>70</v>
      </c>
      <c r="E456" s="32" t="s">
        <v>98</v>
      </c>
      <c r="F456" s="32" t="s">
        <v>888</v>
      </c>
      <c r="G456" s="29"/>
      <c r="H456" s="26"/>
    </row>
    <row r="457" ht="15.75" customHeight="1">
      <c r="A457" s="21">
        <v>455.0</v>
      </c>
      <c r="B457" s="32" t="s">
        <v>70</v>
      </c>
      <c r="C457" s="32" t="s">
        <v>889</v>
      </c>
      <c r="D457" s="32" t="s">
        <v>70</v>
      </c>
      <c r="E457" s="32" t="s">
        <v>98</v>
      </c>
      <c r="F457" s="32" t="s">
        <v>890</v>
      </c>
      <c r="G457" s="29"/>
      <c r="H457" s="26"/>
    </row>
    <row r="458" ht="15.75" customHeight="1">
      <c r="A458" s="19">
        <v>456.0</v>
      </c>
      <c r="B458" s="32" t="s">
        <v>70</v>
      </c>
      <c r="C458" s="32" t="s">
        <v>891</v>
      </c>
      <c r="D458" s="32" t="s">
        <v>70</v>
      </c>
      <c r="E458" s="32" t="s">
        <v>98</v>
      </c>
      <c r="F458" s="32" t="s">
        <v>892</v>
      </c>
      <c r="G458" s="29"/>
      <c r="H458" s="26"/>
    </row>
    <row r="459" ht="15.75" customHeight="1">
      <c r="A459" s="19">
        <v>457.0</v>
      </c>
      <c r="B459" s="32" t="s">
        <v>73</v>
      </c>
      <c r="C459" s="32" t="s">
        <v>893</v>
      </c>
      <c r="D459" s="32" t="s">
        <v>139</v>
      </c>
      <c r="E459" s="34"/>
      <c r="F459" s="32">
        <v>6.8841035153E10</v>
      </c>
      <c r="G459" s="29"/>
      <c r="H459" s="26"/>
    </row>
    <row r="460" ht="15.75" customHeight="1">
      <c r="A460" s="19">
        <v>458.0</v>
      </c>
      <c r="B460" s="32" t="s">
        <v>73</v>
      </c>
      <c r="C460" s="32" t="s">
        <v>894</v>
      </c>
      <c r="D460" s="32" t="s">
        <v>139</v>
      </c>
      <c r="E460" s="34"/>
      <c r="F460" s="32">
        <v>4.059221163E9</v>
      </c>
      <c r="G460" s="29"/>
      <c r="H460" s="26"/>
    </row>
    <row r="461" ht="15.75" customHeight="1">
      <c r="A461" s="19">
        <v>459.0</v>
      </c>
      <c r="B461" s="34"/>
      <c r="C461" s="32" t="s">
        <v>895</v>
      </c>
      <c r="D461" s="32" t="s">
        <v>186</v>
      </c>
      <c r="E461" s="34"/>
      <c r="F461" s="32">
        <v>4.005509118E9</v>
      </c>
      <c r="G461" s="29"/>
      <c r="H461" s="26"/>
    </row>
    <row r="462" ht="15.75" customHeight="1">
      <c r="A462" s="21">
        <v>460.0</v>
      </c>
      <c r="B462" s="32" t="s">
        <v>74</v>
      </c>
      <c r="C462" s="32" t="s">
        <v>896</v>
      </c>
      <c r="D462" s="32" t="s">
        <v>538</v>
      </c>
      <c r="E462" s="34"/>
      <c r="F462" s="32">
        <v>7.0001762109E10</v>
      </c>
      <c r="G462" s="29"/>
      <c r="H462" s="26"/>
    </row>
    <row r="463" ht="15.75" customHeight="1">
      <c r="A463" s="21">
        <v>461.0</v>
      </c>
      <c r="B463" s="32" t="s">
        <v>21</v>
      </c>
      <c r="C463" s="32" t="s">
        <v>897</v>
      </c>
      <c r="D463" s="32" t="s">
        <v>898</v>
      </c>
      <c r="E463" s="34"/>
      <c r="F463" s="32">
        <v>4.074702138E9</v>
      </c>
      <c r="G463" s="29"/>
      <c r="H463" s="26"/>
    </row>
    <row r="464" ht="15.75" customHeight="1">
      <c r="A464" s="19">
        <v>462.0</v>
      </c>
      <c r="B464" s="32" t="s">
        <v>41</v>
      </c>
      <c r="C464" s="32" t="s">
        <v>899</v>
      </c>
      <c r="D464" s="32" t="s">
        <v>538</v>
      </c>
      <c r="E464" s="34"/>
      <c r="F464" s="32">
        <v>7.1190598159E10</v>
      </c>
      <c r="G464" s="29"/>
      <c r="H464" s="26"/>
    </row>
    <row r="465" ht="15.75" customHeight="1">
      <c r="A465" s="19">
        <v>463.0</v>
      </c>
      <c r="B465" s="32" t="s">
        <v>41</v>
      </c>
      <c r="C465" s="32" t="s">
        <v>900</v>
      </c>
      <c r="D465" s="32" t="s">
        <v>538</v>
      </c>
      <c r="E465" s="34"/>
      <c r="F465" s="32">
        <v>4.113823146E9</v>
      </c>
      <c r="G465" s="29"/>
      <c r="H465" s="26"/>
    </row>
    <row r="466" ht="15.75" customHeight="1">
      <c r="A466" s="19">
        <v>464.0</v>
      </c>
      <c r="B466" s="32" t="s">
        <v>40</v>
      </c>
      <c r="C466" s="32" t="s">
        <v>901</v>
      </c>
      <c r="D466" s="32" t="s">
        <v>902</v>
      </c>
      <c r="E466" s="34"/>
      <c r="F466" s="32">
        <v>8.9879627172E10</v>
      </c>
      <c r="G466" s="29"/>
      <c r="H466" s="26"/>
    </row>
    <row r="467" ht="15.75" customHeight="1">
      <c r="A467" s="19">
        <v>465.0</v>
      </c>
      <c r="B467" s="32" t="s">
        <v>40</v>
      </c>
      <c r="C467" s="32" t="s">
        <v>903</v>
      </c>
      <c r="D467" s="32" t="s">
        <v>705</v>
      </c>
      <c r="E467" s="34"/>
      <c r="F467" s="32">
        <v>7.03701121E10</v>
      </c>
      <c r="G467" s="29"/>
      <c r="H467" s="26"/>
    </row>
    <row r="468" ht="15.75" customHeight="1">
      <c r="A468" s="21">
        <v>466.0</v>
      </c>
      <c r="B468" s="32" t="s">
        <v>75</v>
      </c>
      <c r="C468" s="32" t="s">
        <v>904</v>
      </c>
      <c r="D468" s="32" t="s">
        <v>315</v>
      </c>
      <c r="E468" s="34"/>
      <c r="F468" s="32">
        <v>7.1041616198E10</v>
      </c>
      <c r="G468" s="29"/>
      <c r="H468" s="26"/>
    </row>
    <row r="469" ht="15.75" customHeight="1">
      <c r="A469" s="21">
        <v>467.0</v>
      </c>
      <c r="B469" s="32" t="s">
        <v>22</v>
      </c>
      <c r="C469" s="32" t="s">
        <v>905</v>
      </c>
      <c r="D469" s="32" t="s">
        <v>214</v>
      </c>
      <c r="E469" s="34"/>
      <c r="F469" s="32">
        <v>9.109156011E10</v>
      </c>
      <c r="G469" s="29"/>
      <c r="H469" s="26"/>
    </row>
    <row r="470" ht="15.75" customHeight="1">
      <c r="A470" s="19">
        <v>468.0</v>
      </c>
      <c r="B470" s="32" t="s">
        <v>29</v>
      </c>
      <c r="C470" s="67" t="s">
        <v>906</v>
      </c>
      <c r="D470" s="67" t="s">
        <v>907</v>
      </c>
      <c r="E470" s="34"/>
      <c r="F470" s="68" t="s">
        <v>908</v>
      </c>
      <c r="G470" s="29"/>
      <c r="H470" s="26"/>
    </row>
    <row r="471" ht="15.75" customHeight="1">
      <c r="A471" s="19">
        <v>469.0</v>
      </c>
      <c r="B471" s="32" t="s">
        <v>29</v>
      </c>
      <c r="C471" s="67" t="s">
        <v>909</v>
      </c>
      <c r="D471" s="67" t="s">
        <v>907</v>
      </c>
      <c r="E471" s="34"/>
      <c r="F471" s="68" t="s">
        <v>910</v>
      </c>
      <c r="G471" s="29"/>
      <c r="H471" s="26"/>
    </row>
    <row r="472" ht="15.75" customHeight="1">
      <c r="A472" s="19">
        <v>470.0</v>
      </c>
      <c r="B472" s="32" t="s">
        <v>29</v>
      </c>
      <c r="C472" s="67" t="s">
        <v>911</v>
      </c>
      <c r="D472" s="67" t="s">
        <v>907</v>
      </c>
      <c r="E472" s="34"/>
      <c r="F472" s="68" t="s">
        <v>912</v>
      </c>
      <c r="G472" s="29"/>
      <c r="H472" s="26"/>
    </row>
    <row r="473" ht="15.75" customHeight="1">
      <c r="A473" s="19">
        <v>471.0</v>
      </c>
      <c r="B473" s="32" t="s">
        <v>29</v>
      </c>
      <c r="C473" s="67" t="s">
        <v>913</v>
      </c>
      <c r="D473" s="67" t="s">
        <v>907</v>
      </c>
      <c r="E473" s="34"/>
      <c r="F473" s="68" t="s">
        <v>914</v>
      </c>
      <c r="G473" s="29"/>
      <c r="H473" s="26"/>
    </row>
    <row r="474" ht="15.75" customHeight="1">
      <c r="A474" s="21">
        <v>472.0</v>
      </c>
      <c r="B474" s="32" t="s">
        <v>29</v>
      </c>
      <c r="C474" s="67" t="s">
        <v>915</v>
      </c>
      <c r="D474" s="67" t="s">
        <v>907</v>
      </c>
      <c r="E474" s="34"/>
      <c r="F474" s="68" t="s">
        <v>916</v>
      </c>
      <c r="G474" s="29"/>
      <c r="H474" s="26"/>
    </row>
    <row r="475" ht="15.75" customHeight="1">
      <c r="A475" s="21">
        <v>473.0</v>
      </c>
      <c r="B475" s="32" t="s">
        <v>29</v>
      </c>
      <c r="C475" s="67" t="s">
        <v>917</v>
      </c>
      <c r="D475" s="67" t="s">
        <v>907</v>
      </c>
      <c r="E475" s="34"/>
      <c r="F475" s="68" t="s">
        <v>918</v>
      </c>
      <c r="G475" s="29"/>
      <c r="H475" s="26"/>
    </row>
    <row r="476" ht="15.75" customHeight="1">
      <c r="A476" s="19">
        <v>474.0</v>
      </c>
      <c r="B476" s="32" t="s">
        <v>29</v>
      </c>
      <c r="C476" s="67" t="s">
        <v>917</v>
      </c>
      <c r="D476" s="67" t="s">
        <v>919</v>
      </c>
      <c r="E476" s="34"/>
      <c r="F476" s="68" t="s">
        <v>918</v>
      </c>
      <c r="G476" s="29"/>
      <c r="H476" s="26"/>
    </row>
    <row r="477" ht="15.75" customHeight="1">
      <c r="A477" s="19">
        <v>475.0</v>
      </c>
      <c r="B477" s="32" t="s">
        <v>29</v>
      </c>
      <c r="C477" s="67" t="s">
        <v>920</v>
      </c>
      <c r="D477" s="67" t="s">
        <v>907</v>
      </c>
      <c r="E477" s="34"/>
      <c r="F477" s="68" t="s">
        <v>921</v>
      </c>
      <c r="G477" s="29"/>
      <c r="H477" s="26"/>
    </row>
    <row r="478" ht="15.75" customHeight="1">
      <c r="A478" s="19">
        <v>476.0</v>
      </c>
      <c r="B478" s="32" t="s">
        <v>29</v>
      </c>
      <c r="C478" s="67" t="s">
        <v>922</v>
      </c>
      <c r="D478" s="67" t="s">
        <v>923</v>
      </c>
      <c r="E478" s="34"/>
      <c r="F478" s="68" t="s">
        <v>924</v>
      </c>
      <c r="G478" s="29"/>
      <c r="H478" s="26"/>
    </row>
    <row r="479" ht="15.75" customHeight="1">
      <c r="A479" s="19">
        <v>477.0</v>
      </c>
      <c r="B479" s="32" t="s">
        <v>29</v>
      </c>
      <c r="C479" s="67" t="s">
        <v>925</v>
      </c>
      <c r="D479" s="67" t="s">
        <v>97</v>
      </c>
      <c r="E479" s="34"/>
      <c r="F479" s="68" t="s">
        <v>926</v>
      </c>
      <c r="G479" s="29"/>
      <c r="H479" s="26"/>
    </row>
    <row r="480" ht="15.75" customHeight="1">
      <c r="A480" s="21">
        <v>478.0</v>
      </c>
      <c r="B480" s="32" t="s">
        <v>29</v>
      </c>
      <c r="C480" s="67" t="s">
        <v>927</v>
      </c>
      <c r="D480" s="67" t="s">
        <v>907</v>
      </c>
      <c r="E480" s="34"/>
      <c r="F480" s="68" t="s">
        <v>928</v>
      </c>
      <c r="G480" s="29"/>
      <c r="H480" s="26"/>
    </row>
    <row r="481" ht="15.75" customHeight="1">
      <c r="A481" s="21">
        <v>479.0</v>
      </c>
      <c r="B481" s="32" t="s">
        <v>29</v>
      </c>
      <c r="C481" s="67" t="s">
        <v>929</v>
      </c>
      <c r="D481" s="67" t="s">
        <v>930</v>
      </c>
      <c r="E481" s="34"/>
      <c r="F481" s="68" t="s">
        <v>931</v>
      </c>
      <c r="G481" s="29"/>
      <c r="H481" s="26"/>
    </row>
    <row r="482" ht="15.75" customHeight="1">
      <c r="A482" s="19">
        <v>480.0</v>
      </c>
      <c r="B482" s="32" t="s">
        <v>29</v>
      </c>
      <c r="C482" s="67" t="s">
        <v>932</v>
      </c>
      <c r="D482" s="67" t="s">
        <v>907</v>
      </c>
      <c r="E482" s="34"/>
      <c r="F482" s="68" t="s">
        <v>933</v>
      </c>
      <c r="G482" s="29"/>
      <c r="H482" s="26"/>
    </row>
    <row r="483" ht="15.75" customHeight="1">
      <c r="A483" s="19">
        <v>481.0</v>
      </c>
      <c r="B483" s="32" t="s">
        <v>29</v>
      </c>
      <c r="C483" s="67" t="s">
        <v>934</v>
      </c>
      <c r="D483" s="67" t="s">
        <v>907</v>
      </c>
      <c r="E483" s="34"/>
      <c r="F483" s="68" t="s">
        <v>935</v>
      </c>
      <c r="G483" s="29"/>
      <c r="H483" s="26"/>
    </row>
    <row r="484" ht="15.75" customHeight="1">
      <c r="A484" s="19">
        <v>482.0</v>
      </c>
      <c r="B484" s="32" t="s">
        <v>29</v>
      </c>
      <c r="C484" s="67" t="s">
        <v>936</v>
      </c>
      <c r="D484" s="67" t="s">
        <v>930</v>
      </c>
      <c r="E484" s="34"/>
      <c r="F484" s="68" t="s">
        <v>937</v>
      </c>
      <c r="G484" s="29"/>
      <c r="H484" s="26"/>
    </row>
    <row r="485" ht="15.75" customHeight="1">
      <c r="A485" s="19">
        <v>483.0</v>
      </c>
      <c r="B485" s="32" t="s">
        <v>29</v>
      </c>
      <c r="C485" s="67" t="s">
        <v>938</v>
      </c>
      <c r="D485" s="67" t="s">
        <v>930</v>
      </c>
      <c r="E485" s="34"/>
      <c r="F485" s="68" t="s">
        <v>939</v>
      </c>
      <c r="G485" s="29"/>
      <c r="H485" s="26"/>
    </row>
    <row r="486" ht="15.75" customHeight="1">
      <c r="A486" s="21">
        <v>484.0</v>
      </c>
      <c r="B486" s="32" t="s">
        <v>29</v>
      </c>
      <c r="C486" s="67" t="s">
        <v>940</v>
      </c>
      <c r="D486" s="67" t="s">
        <v>907</v>
      </c>
      <c r="E486" s="34"/>
      <c r="F486" s="68" t="s">
        <v>941</v>
      </c>
      <c r="G486" s="29"/>
      <c r="H486" s="26"/>
    </row>
    <row r="487" ht="15.75" customHeight="1">
      <c r="A487" s="21">
        <v>485.0</v>
      </c>
      <c r="B487" s="32" t="s">
        <v>29</v>
      </c>
      <c r="C487" s="67" t="s">
        <v>942</v>
      </c>
      <c r="D487" s="67" t="s">
        <v>930</v>
      </c>
      <c r="E487" s="34"/>
      <c r="F487" s="68" t="s">
        <v>943</v>
      </c>
      <c r="G487" s="29"/>
      <c r="H487" s="26"/>
    </row>
    <row r="488" ht="15.75" customHeight="1">
      <c r="A488" s="19">
        <v>486.0</v>
      </c>
      <c r="B488" s="32" t="s">
        <v>29</v>
      </c>
      <c r="C488" s="67" t="s">
        <v>944</v>
      </c>
      <c r="D488" s="67" t="s">
        <v>930</v>
      </c>
      <c r="E488" s="34"/>
      <c r="F488" s="68" t="s">
        <v>945</v>
      </c>
      <c r="G488" s="29"/>
      <c r="H488" s="26"/>
    </row>
    <row r="489" ht="15.75" customHeight="1">
      <c r="A489" s="19">
        <v>487.0</v>
      </c>
      <c r="B489" s="32" t="s">
        <v>29</v>
      </c>
      <c r="C489" s="67" t="s">
        <v>946</v>
      </c>
      <c r="D489" s="67" t="s">
        <v>907</v>
      </c>
      <c r="E489" s="34"/>
      <c r="F489" s="68" t="s">
        <v>947</v>
      </c>
      <c r="G489" s="29"/>
      <c r="H489" s="26"/>
    </row>
    <row r="490" ht="15.75" customHeight="1">
      <c r="A490" s="19">
        <v>488.0</v>
      </c>
      <c r="B490" s="32" t="s">
        <v>29</v>
      </c>
      <c r="C490" s="67" t="s">
        <v>948</v>
      </c>
      <c r="D490" s="67" t="s">
        <v>907</v>
      </c>
      <c r="E490" s="34"/>
      <c r="F490" s="68" t="s">
        <v>949</v>
      </c>
      <c r="G490" s="29"/>
      <c r="H490" s="26"/>
    </row>
    <row r="491" ht="15.75" customHeight="1">
      <c r="A491" s="19">
        <v>489.0</v>
      </c>
      <c r="B491" s="32" t="s">
        <v>29</v>
      </c>
      <c r="C491" s="67" t="s">
        <v>950</v>
      </c>
      <c r="D491" s="67" t="s">
        <v>907</v>
      </c>
      <c r="E491" s="34"/>
      <c r="F491" s="68" t="s">
        <v>951</v>
      </c>
      <c r="G491" s="29"/>
      <c r="H491" s="26"/>
    </row>
    <row r="492" ht="15.75" customHeight="1">
      <c r="A492" s="21">
        <v>490.0</v>
      </c>
      <c r="B492" s="32" t="s">
        <v>29</v>
      </c>
      <c r="C492" s="67" t="s">
        <v>952</v>
      </c>
      <c r="D492" s="67" t="s">
        <v>930</v>
      </c>
      <c r="E492" s="32" t="s">
        <v>953</v>
      </c>
      <c r="F492" s="68" t="s">
        <v>954</v>
      </c>
      <c r="G492" s="29"/>
      <c r="H492" s="26"/>
    </row>
    <row r="493" ht="15.75" customHeight="1">
      <c r="A493" s="21">
        <v>491.0</v>
      </c>
      <c r="B493" s="32" t="s">
        <v>29</v>
      </c>
      <c r="C493" s="67" t="s">
        <v>955</v>
      </c>
      <c r="D493" s="67" t="s">
        <v>930</v>
      </c>
      <c r="E493" s="34"/>
      <c r="F493" s="68" t="s">
        <v>956</v>
      </c>
      <c r="G493" s="29"/>
      <c r="H493" s="26"/>
    </row>
    <row r="494" ht="15.75" customHeight="1">
      <c r="A494" s="19">
        <v>492.0</v>
      </c>
      <c r="B494" s="32" t="s">
        <v>29</v>
      </c>
      <c r="C494" s="67" t="s">
        <v>957</v>
      </c>
      <c r="D494" s="67" t="s">
        <v>919</v>
      </c>
      <c r="E494" s="34"/>
      <c r="F494" s="68" t="s">
        <v>958</v>
      </c>
      <c r="G494" s="29"/>
      <c r="H494" s="26"/>
    </row>
    <row r="495" ht="15.75" customHeight="1">
      <c r="A495" s="19">
        <v>493.0</v>
      </c>
      <c r="B495" s="32" t="s">
        <v>29</v>
      </c>
      <c r="C495" s="67" t="s">
        <v>959</v>
      </c>
      <c r="D495" s="67" t="s">
        <v>907</v>
      </c>
      <c r="E495" s="34"/>
      <c r="F495" s="68" t="s">
        <v>960</v>
      </c>
      <c r="G495" s="29"/>
      <c r="H495" s="26"/>
    </row>
    <row r="496" ht="15.75" customHeight="1">
      <c r="A496" s="19">
        <v>494.0</v>
      </c>
      <c r="B496" s="32" t="s">
        <v>29</v>
      </c>
      <c r="C496" s="67" t="s">
        <v>961</v>
      </c>
      <c r="D496" s="67" t="s">
        <v>173</v>
      </c>
      <c r="E496" s="34"/>
      <c r="F496" s="68" t="s">
        <v>514</v>
      </c>
      <c r="G496" s="29"/>
      <c r="H496" s="26"/>
    </row>
    <row r="497" ht="15.75" customHeight="1">
      <c r="A497" s="19">
        <v>495.0</v>
      </c>
      <c r="B497" s="32" t="s">
        <v>29</v>
      </c>
      <c r="C497" s="67" t="s">
        <v>962</v>
      </c>
      <c r="D497" s="67" t="s">
        <v>907</v>
      </c>
      <c r="E497" s="34"/>
      <c r="F497" s="68" t="s">
        <v>963</v>
      </c>
      <c r="G497" s="29"/>
      <c r="H497" s="26"/>
    </row>
    <row r="498" ht="15.75" customHeight="1">
      <c r="A498" s="21">
        <v>496.0</v>
      </c>
      <c r="B498" s="32" t="s">
        <v>29</v>
      </c>
      <c r="C498" s="67" t="s">
        <v>964</v>
      </c>
      <c r="D498" s="67" t="s">
        <v>930</v>
      </c>
      <c r="E498" s="34"/>
      <c r="F498" s="68" t="s">
        <v>965</v>
      </c>
      <c r="G498" s="29"/>
      <c r="H498" s="26"/>
    </row>
    <row r="499" ht="15.75" customHeight="1">
      <c r="A499" s="21">
        <v>497.0</v>
      </c>
      <c r="B499" s="32" t="s">
        <v>29</v>
      </c>
      <c r="C499" s="67" t="s">
        <v>966</v>
      </c>
      <c r="D499" s="67" t="s">
        <v>907</v>
      </c>
      <c r="E499" s="34"/>
      <c r="F499" s="68" t="s">
        <v>967</v>
      </c>
      <c r="G499" s="29"/>
      <c r="H499" s="26"/>
    </row>
    <row r="500" ht="15.75" customHeight="1">
      <c r="A500" s="19">
        <v>498.0</v>
      </c>
      <c r="B500" s="32" t="s">
        <v>29</v>
      </c>
      <c r="C500" s="67" t="s">
        <v>968</v>
      </c>
      <c r="D500" s="67" t="s">
        <v>907</v>
      </c>
      <c r="E500" s="34"/>
      <c r="F500" s="68" t="s">
        <v>969</v>
      </c>
      <c r="G500" s="29"/>
      <c r="H500" s="26"/>
    </row>
    <row r="501" ht="15.75" customHeight="1">
      <c r="A501" s="19">
        <v>499.0</v>
      </c>
      <c r="B501" s="32" t="s">
        <v>29</v>
      </c>
      <c r="C501" s="67" t="s">
        <v>970</v>
      </c>
      <c r="D501" s="67" t="s">
        <v>907</v>
      </c>
      <c r="E501" s="34"/>
      <c r="F501" s="68" t="s">
        <v>971</v>
      </c>
      <c r="G501" s="29"/>
      <c r="H501" s="26"/>
    </row>
    <row r="502" ht="15.75" customHeight="1">
      <c r="A502" s="19">
        <v>500.0</v>
      </c>
      <c r="B502" s="32" t="s">
        <v>29</v>
      </c>
      <c r="C502" s="67" t="s">
        <v>972</v>
      </c>
      <c r="D502" s="67" t="s">
        <v>907</v>
      </c>
      <c r="E502" s="34"/>
      <c r="F502" s="68" t="s">
        <v>973</v>
      </c>
      <c r="G502" s="29"/>
      <c r="H502" s="26"/>
    </row>
    <row r="503" ht="15.75" customHeight="1">
      <c r="A503" s="19">
        <v>501.0</v>
      </c>
      <c r="B503" s="32" t="s">
        <v>29</v>
      </c>
      <c r="C503" s="67" t="s">
        <v>974</v>
      </c>
      <c r="D503" s="67" t="s">
        <v>975</v>
      </c>
      <c r="E503" s="34"/>
      <c r="F503" s="68" t="s">
        <v>976</v>
      </c>
      <c r="G503" s="29"/>
      <c r="H503" s="26"/>
    </row>
    <row r="504" ht="15.75" customHeight="1">
      <c r="A504" s="21">
        <v>502.0</v>
      </c>
      <c r="B504" s="32" t="s">
        <v>29</v>
      </c>
      <c r="C504" s="43" t="s">
        <v>977</v>
      </c>
      <c r="D504" s="67" t="s">
        <v>907</v>
      </c>
      <c r="E504" s="34"/>
      <c r="F504" s="43" t="s">
        <v>978</v>
      </c>
      <c r="G504" s="29"/>
      <c r="H504" s="26"/>
    </row>
    <row r="505" ht="15.75" customHeight="1">
      <c r="A505" s="21">
        <v>503.0</v>
      </c>
      <c r="B505" s="32" t="s">
        <v>29</v>
      </c>
      <c r="C505" s="43" t="s">
        <v>979</v>
      </c>
      <c r="D505" s="67" t="s">
        <v>907</v>
      </c>
      <c r="E505" s="34"/>
      <c r="F505" s="69" t="s">
        <v>980</v>
      </c>
      <c r="G505" s="29"/>
      <c r="H505" s="26"/>
    </row>
    <row r="506" ht="15.75" customHeight="1">
      <c r="A506" s="19">
        <v>504.0</v>
      </c>
      <c r="B506" s="32" t="s">
        <v>29</v>
      </c>
      <c r="C506" s="43" t="s">
        <v>981</v>
      </c>
      <c r="D506" s="67" t="s">
        <v>907</v>
      </c>
      <c r="E506" s="34"/>
      <c r="F506" s="69" t="s">
        <v>982</v>
      </c>
      <c r="G506" s="29"/>
      <c r="H506" s="26"/>
    </row>
    <row r="507" ht="15.75" customHeight="1">
      <c r="A507" s="19">
        <v>505.0</v>
      </c>
      <c r="B507" s="32" t="s">
        <v>29</v>
      </c>
      <c r="C507" s="43" t="s">
        <v>983</v>
      </c>
      <c r="D507" s="67" t="s">
        <v>907</v>
      </c>
      <c r="E507" s="34"/>
      <c r="F507" s="69" t="s">
        <v>984</v>
      </c>
      <c r="G507" s="29"/>
      <c r="H507" s="26"/>
    </row>
    <row r="508" ht="15.75" customHeight="1">
      <c r="A508" s="19">
        <v>506.0</v>
      </c>
      <c r="B508" s="32" t="s">
        <v>29</v>
      </c>
      <c r="C508" s="43" t="s">
        <v>985</v>
      </c>
      <c r="D508" s="67" t="s">
        <v>907</v>
      </c>
      <c r="E508" s="34"/>
      <c r="F508" s="69" t="s">
        <v>986</v>
      </c>
      <c r="G508" s="29"/>
      <c r="H508" s="26"/>
    </row>
    <row r="509" ht="15.75" customHeight="1">
      <c r="A509" s="19">
        <v>507.0</v>
      </c>
      <c r="B509" s="32" t="s">
        <v>29</v>
      </c>
      <c r="C509" s="43" t="s">
        <v>987</v>
      </c>
      <c r="D509" s="67" t="s">
        <v>930</v>
      </c>
      <c r="E509" s="34"/>
      <c r="F509" s="69" t="s">
        <v>988</v>
      </c>
      <c r="G509" s="29"/>
      <c r="H509" s="26"/>
    </row>
    <row r="510" ht="15.75" customHeight="1">
      <c r="A510" s="21">
        <v>508.0</v>
      </c>
      <c r="B510" s="32" t="s">
        <v>29</v>
      </c>
      <c r="C510" s="43" t="s">
        <v>989</v>
      </c>
      <c r="D510" s="67" t="s">
        <v>907</v>
      </c>
      <c r="E510" s="34"/>
      <c r="F510" s="69" t="s">
        <v>990</v>
      </c>
      <c r="G510" s="29"/>
      <c r="H510" s="26"/>
    </row>
    <row r="511" ht="15.75" customHeight="1">
      <c r="A511" s="21">
        <v>509.0</v>
      </c>
      <c r="B511" s="32" t="s">
        <v>29</v>
      </c>
      <c r="C511" s="43" t="s">
        <v>991</v>
      </c>
      <c r="D511" s="67" t="s">
        <v>907</v>
      </c>
      <c r="E511" s="34"/>
      <c r="F511" s="69" t="s">
        <v>992</v>
      </c>
      <c r="G511" s="29"/>
      <c r="H511" s="26"/>
    </row>
    <row r="512" ht="15.75" customHeight="1">
      <c r="A512" s="19">
        <v>510.0</v>
      </c>
      <c r="B512" s="32" t="s">
        <v>29</v>
      </c>
      <c r="C512" s="43" t="s">
        <v>993</v>
      </c>
      <c r="D512" s="67" t="s">
        <v>398</v>
      </c>
      <c r="E512" s="34"/>
      <c r="F512" s="69" t="s">
        <v>994</v>
      </c>
      <c r="G512" s="29"/>
      <c r="H512" s="26"/>
    </row>
    <row r="513" ht="15.75" customHeight="1">
      <c r="A513" s="19">
        <v>511.0</v>
      </c>
      <c r="B513" s="32" t="s">
        <v>29</v>
      </c>
      <c r="C513" s="43" t="s">
        <v>995</v>
      </c>
      <c r="D513" s="67" t="s">
        <v>907</v>
      </c>
      <c r="E513" s="34"/>
      <c r="F513" s="69" t="s">
        <v>996</v>
      </c>
      <c r="G513" s="29"/>
      <c r="H513" s="26"/>
    </row>
    <row r="514" ht="15.75" customHeight="1">
      <c r="A514" s="19">
        <v>512.0</v>
      </c>
      <c r="B514" s="32" t="s">
        <v>29</v>
      </c>
      <c r="C514" s="43" t="s">
        <v>997</v>
      </c>
      <c r="D514" s="67" t="s">
        <v>907</v>
      </c>
      <c r="E514" s="34"/>
      <c r="F514" s="69" t="s">
        <v>998</v>
      </c>
      <c r="G514" s="29"/>
      <c r="H514" s="26"/>
    </row>
    <row r="515" ht="15.75" customHeight="1">
      <c r="A515" s="19">
        <v>513.0</v>
      </c>
      <c r="B515" s="32" t="s">
        <v>29</v>
      </c>
      <c r="C515" s="43" t="s">
        <v>999</v>
      </c>
      <c r="D515" s="67" t="s">
        <v>907</v>
      </c>
      <c r="E515" s="34"/>
      <c r="F515" s="69" t="s">
        <v>1000</v>
      </c>
      <c r="G515" s="29"/>
      <c r="H515" s="26"/>
    </row>
    <row r="516" ht="15.75" customHeight="1">
      <c r="A516" s="21">
        <v>514.0</v>
      </c>
      <c r="B516" s="32" t="s">
        <v>29</v>
      </c>
      <c r="C516" s="43" t="s">
        <v>1001</v>
      </c>
      <c r="D516" s="67" t="s">
        <v>907</v>
      </c>
      <c r="E516" s="34"/>
      <c r="F516" s="69" t="s">
        <v>1002</v>
      </c>
      <c r="G516" s="29"/>
      <c r="H516" s="26"/>
    </row>
    <row r="517" ht="15.75" customHeight="1">
      <c r="A517" s="21">
        <v>515.0</v>
      </c>
      <c r="B517" s="32" t="s">
        <v>29</v>
      </c>
      <c r="C517" s="43" t="s">
        <v>1003</v>
      </c>
      <c r="D517" s="67" t="s">
        <v>907</v>
      </c>
      <c r="E517" s="34"/>
      <c r="F517" s="69" t="s">
        <v>1004</v>
      </c>
      <c r="G517" s="29"/>
      <c r="H517" s="26"/>
    </row>
    <row r="518" ht="15.75" customHeight="1">
      <c r="A518" s="19">
        <v>516.0</v>
      </c>
      <c r="B518" s="32" t="s">
        <v>29</v>
      </c>
      <c r="C518" s="43" t="s">
        <v>1005</v>
      </c>
      <c r="D518" s="67" t="s">
        <v>930</v>
      </c>
      <c r="E518" s="34"/>
      <c r="F518" s="69" t="s">
        <v>1006</v>
      </c>
      <c r="G518" s="29"/>
      <c r="H518" s="26"/>
    </row>
    <row r="519" ht="15.75" customHeight="1">
      <c r="A519" s="19">
        <v>517.0</v>
      </c>
      <c r="B519" s="32" t="s">
        <v>29</v>
      </c>
      <c r="C519" s="43" t="s">
        <v>1007</v>
      </c>
      <c r="D519" s="67" t="s">
        <v>907</v>
      </c>
      <c r="E519" s="34"/>
      <c r="F519" s="69" t="s">
        <v>1008</v>
      </c>
      <c r="G519" s="29"/>
      <c r="H519" s="26"/>
    </row>
    <row r="520" ht="15.75" customHeight="1">
      <c r="A520" s="19">
        <v>518.0</v>
      </c>
      <c r="B520" s="32" t="s">
        <v>29</v>
      </c>
      <c r="C520" s="43" t="s">
        <v>1009</v>
      </c>
      <c r="D520" s="67" t="s">
        <v>907</v>
      </c>
      <c r="E520" s="34"/>
      <c r="F520" s="69" t="s">
        <v>1010</v>
      </c>
      <c r="G520" s="29"/>
      <c r="H520" s="26"/>
    </row>
    <row r="521" ht="15.75" customHeight="1">
      <c r="A521" s="19">
        <v>519.0</v>
      </c>
      <c r="B521" s="32" t="s">
        <v>29</v>
      </c>
      <c r="C521" s="43" t="s">
        <v>1011</v>
      </c>
      <c r="D521" s="67" t="s">
        <v>907</v>
      </c>
      <c r="E521" s="34"/>
      <c r="F521" s="69" t="s">
        <v>1012</v>
      </c>
      <c r="G521" s="29"/>
      <c r="H521" s="26"/>
    </row>
    <row r="522" ht="15.75" customHeight="1">
      <c r="A522" s="21">
        <v>520.0</v>
      </c>
      <c r="B522" s="32" t="s">
        <v>29</v>
      </c>
      <c r="C522" s="43" t="s">
        <v>1013</v>
      </c>
      <c r="D522" s="67" t="s">
        <v>907</v>
      </c>
      <c r="E522" s="34"/>
      <c r="F522" s="69" t="s">
        <v>1014</v>
      </c>
      <c r="G522" s="29"/>
      <c r="H522" s="26"/>
    </row>
    <row r="523" ht="15.75" customHeight="1">
      <c r="A523" s="21">
        <v>521.0</v>
      </c>
      <c r="B523" s="32" t="s">
        <v>29</v>
      </c>
      <c r="C523" s="43" t="s">
        <v>1015</v>
      </c>
      <c r="D523" s="67" t="s">
        <v>907</v>
      </c>
      <c r="E523" s="34"/>
      <c r="F523" s="69" t="s">
        <v>1016</v>
      </c>
      <c r="G523" s="29"/>
      <c r="H523" s="26"/>
    </row>
    <row r="524" ht="15.75" customHeight="1">
      <c r="A524" s="19">
        <v>522.0</v>
      </c>
      <c r="B524" s="32" t="s">
        <v>29</v>
      </c>
      <c r="C524" s="43" t="s">
        <v>1017</v>
      </c>
      <c r="D524" s="67" t="s">
        <v>907</v>
      </c>
      <c r="E524" s="34"/>
      <c r="F524" s="69" t="s">
        <v>1018</v>
      </c>
      <c r="G524" s="29"/>
      <c r="H524" s="26"/>
    </row>
    <row r="525" ht="15.75" customHeight="1">
      <c r="A525" s="19">
        <v>523.0</v>
      </c>
      <c r="B525" s="32" t="s">
        <v>29</v>
      </c>
      <c r="C525" s="43" t="s">
        <v>1019</v>
      </c>
      <c r="D525" s="67" t="s">
        <v>923</v>
      </c>
      <c r="E525" s="34"/>
      <c r="F525" s="69" t="s">
        <v>1020</v>
      </c>
      <c r="G525" s="29"/>
      <c r="H525" s="26"/>
    </row>
    <row r="526" ht="15.75" customHeight="1">
      <c r="A526" s="19">
        <v>524.0</v>
      </c>
      <c r="B526" s="32" t="s">
        <v>29</v>
      </c>
      <c r="C526" s="43" t="s">
        <v>1021</v>
      </c>
      <c r="D526" s="67" t="s">
        <v>907</v>
      </c>
      <c r="E526" s="34"/>
      <c r="F526" s="69" t="s">
        <v>1022</v>
      </c>
      <c r="G526" s="29"/>
      <c r="H526" s="26"/>
    </row>
    <row r="527" ht="15.75" customHeight="1">
      <c r="A527" s="19">
        <v>525.0</v>
      </c>
      <c r="B527" s="32" t="s">
        <v>29</v>
      </c>
      <c r="C527" s="43" t="s">
        <v>1023</v>
      </c>
      <c r="D527" s="67" t="s">
        <v>907</v>
      </c>
      <c r="E527" s="34"/>
      <c r="F527" s="69" t="s">
        <v>1024</v>
      </c>
      <c r="G527" s="29"/>
      <c r="H527" s="26"/>
    </row>
    <row r="528" ht="15.75" customHeight="1">
      <c r="A528" s="21">
        <v>526.0</v>
      </c>
      <c r="B528" s="32" t="s">
        <v>29</v>
      </c>
      <c r="C528" s="43" t="s">
        <v>1025</v>
      </c>
      <c r="D528" s="67" t="s">
        <v>907</v>
      </c>
      <c r="E528" s="34"/>
      <c r="F528" s="69" t="s">
        <v>1026</v>
      </c>
      <c r="G528" s="29"/>
      <c r="H528" s="26"/>
    </row>
    <row r="529" ht="15.75" customHeight="1">
      <c r="A529" s="21">
        <v>527.0</v>
      </c>
      <c r="B529" s="32" t="s">
        <v>29</v>
      </c>
      <c r="C529" s="43" t="s">
        <v>1025</v>
      </c>
      <c r="D529" s="67" t="s">
        <v>919</v>
      </c>
      <c r="E529" s="34"/>
      <c r="F529" s="69" t="s">
        <v>1026</v>
      </c>
      <c r="G529" s="29"/>
      <c r="H529" s="26"/>
    </row>
    <row r="530" ht="15.75" customHeight="1">
      <c r="A530" s="19">
        <v>528.0</v>
      </c>
      <c r="B530" s="32" t="s">
        <v>29</v>
      </c>
      <c r="C530" s="43" t="s">
        <v>1027</v>
      </c>
      <c r="D530" s="67" t="s">
        <v>907</v>
      </c>
      <c r="E530" s="34"/>
      <c r="F530" s="69" t="s">
        <v>1028</v>
      </c>
      <c r="G530" s="29"/>
      <c r="H530" s="26"/>
    </row>
    <row r="531" ht="15.75" customHeight="1">
      <c r="A531" s="19">
        <v>529.0</v>
      </c>
      <c r="B531" s="32" t="s">
        <v>29</v>
      </c>
      <c r="C531" s="43" t="s">
        <v>1029</v>
      </c>
      <c r="D531" s="67" t="s">
        <v>907</v>
      </c>
      <c r="E531" s="34"/>
      <c r="F531" s="69" t="s">
        <v>1030</v>
      </c>
      <c r="G531" s="29"/>
      <c r="H531" s="26"/>
    </row>
    <row r="532" ht="15.75" customHeight="1">
      <c r="A532" s="19">
        <v>530.0</v>
      </c>
      <c r="B532" s="32" t="s">
        <v>29</v>
      </c>
      <c r="C532" s="43" t="s">
        <v>1031</v>
      </c>
      <c r="D532" s="67" t="s">
        <v>907</v>
      </c>
      <c r="E532" s="34"/>
      <c r="F532" s="69" t="s">
        <v>1032</v>
      </c>
      <c r="G532" s="29"/>
      <c r="H532" s="26"/>
    </row>
    <row r="533" ht="15.75" customHeight="1">
      <c r="A533" s="19">
        <v>531.0</v>
      </c>
      <c r="B533" s="32" t="s">
        <v>29</v>
      </c>
      <c r="C533" s="43" t="s">
        <v>1033</v>
      </c>
      <c r="D533" s="67" t="s">
        <v>907</v>
      </c>
      <c r="E533" s="34"/>
      <c r="F533" s="69" t="s">
        <v>1034</v>
      </c>
      <c r="G533" s="29"/>
      <c r="H533" s="26"/>
    </row>
    <row r="534" ht="15.75" customHeight="1">
      <c r="A534" s="21">
        <v>532.0</v>
      </c>
      <c r="B534" s="32" t="s">
        <v>29</v>
      </c>
      <c r="C534" s="43" t="s">
        <v>1035</v>
      </c>
      <c r="D534" s="67" t="s">
        <v>907</v>
      </c>
      <c r="E534" s="34"/>
      <c r="F534" s="69" t="s">
        <v>1036</v>
      </c>
      <c r="G534" s="29"/>
      <c r="H534" s="26"/>
    </row>
    <row r="535" ht="15.75" customHeight="1">
      <c r="A535" s="21">
        <v>533.0</v>
      </c>
      <c r="B535" s="32" t="s">
        <v>29</v>
      </c>
      <c r="C535" s="43" t="s">
        <v>1037</v>
      </c>
      <c r="D535" s="67" t="s">
        <v>930</v>
      </c>
      <c r="E535" s="34"/>
      <c r="F535" s="69" t="s">
        <v>1038</v>
      </c>
      <c r="G535" s="29"/>
      <c r="H535" s="26"/>
    </row>
    <row r="536" ht="15.75" customHeight="1">
      <c r="A536" s="19">
        <v>534.0</v>
      </c>
      <c r="B536" s="32" t="s">
        <v>29</v>
      </c>
      <c r="C536" s="43" t="s">
        <v>1039</v>
      </c>
      <c r="D536" s="67" t="s">
        <v>907</v>
      </c>
      <c r="E536" s="34"/>
      <c r="F536" s="69" t="s">
        <v>1040</v>
      </c>
      <c r="G536" s="29"/>
      <c r="H536" s="26"/>
    </row>
    <row r="537" ht="15.75" customHeight="1">
      <c r="A537" s="19">
        <v>535.0</v>
      </c>
      <c r="B537" s="32" t="s">
        <v>29</v>
      </c>
      <c r="C537" s="43" t="s">
        <v>1041</v>
      </c>
      <c r="D537" s="67" t="s">
        <v>907</v>
      </c>
      <c r="E537" s="34"/>
      <c r="F537" s="69" t="s">
        <v>1042</v>
      </c>
      <c r="G537" s="29"/>
      <c r="H537" s="26"/>
    </row>
    <row r="538" ht="15.75" customHeight="1">
      <c r="A538" s="19">
        <v>536.0</v>
      </c>
      <c r="B538" s="32" t="s">
        <v>29</v>
      </c>
      <c r="C538" s="43" t="s">
        <v>1043</v>
      </c>
      <c r="D538" s="67" t="s">
        <v>907</v>
      </c>
      <c r="E538" s="34"/>
      <c r="F538" s="69" t="s">
        <v>1044</v>
      </c>
      <c r="G538" s="29"/>
      <c r="H538" s="26"/>
    </row>
    <row r="539" ht="15.75" customHeight="1">
      <c r="A539" s="19">
        <v>537.0</v>
      </c>
      <c r="B539" s="32" t="s">
        <v>29</v>
      </c>
      <c r="C539" s="43" t="s">
        <v>1045</v>
      </c>
      <c r="D539" s="67" t="s">
        <v>907</v>
      </c>
      <c r="E539" s="34"/>
      <c r="F539" s="69" t="s">
        <v>1046</v>
      </c>
      <c r="G539" s="29"/>
      <c r="H539" s="26"/>
    </row>
    <row r="540" ht="15.75" customHeight="1">
      <c r="A540" s="21">
        <v>538.0</v>
      </c>
      <c r="B540" s="32" t="s">
        <v>29</v>
      </c>
      <c r="C540" s="43" t="s">
        <v>1047</v>
      </c>
      <c r="D540" s="67" t="s">
        <v>907</v>
      </c>
      <c r="E540" s="34"/>
      <c r="F540" s="69" t="s">
        <v>1048</v>
      </c>
      <c r="G540" s="29"/>
      <c r="H540" s="26"/>
    </row>
    <row r="541" ht="15.75" customHeight="1">
      <c r="A541" s="21">
        <v>539.0</v>
      </c>
      <c r="B541" s="32" t="s">
        <v>29</v>
      </c>
      <c r="C541" s="43" t="s">
        <v>1049</v>
      </c>
      <c r="D541" s="67" t="s">
        <v>907</v>
      </c>
      <c r="E541" s="34"/>
      <c r="F541" s="69" t="s">
        <v>1050</v>
      </c>
      <c r="G541" s="29"/>
      <c r="H541" s="26"/>
    </row>
    <row r="542" ht="15.75" customHeight="1">
      <c r="A542" s="19">
        <v>540.0</v>
      </c>
      <c r="B542" s="32" t="s">
        <v>29</v>
      </c>
      <c r="C542" s="43" t="s">
        <v>1051</v>
      </c>
      <c r="D542" s="67" t="s">
        <v>930</v>
      </c>
      <c r="E542" s="32" t="s">
        <v>953</v>
      </c>
      <c r="F542" s="69" t="s">
        <v>1052</v>
      </c>
      <c r="G542" s="29"/>
      <c r="H542" s="26"/>
    </row>
    <row r="543" ht="15.75" customHeight="1">
      <c r="A543" s="19">
        <v>541.0</v>
      </c>
      <c r="B543" s="32" t="s">
        <v>29</v>
      </c>
      <c r="C543" s="43" t="s">
        <v>1053</v>
      </c>
      <c r="D543" s="67" t="s">
        <v>907</v>
      </c>
      <c r="E543" s="34"/>
      <c r="F543" s="69" t="s">
        <v>1054</v>
      </c>
      <c r="G543" s="29"/>
      <c r="H543" s="26"/>
    </row>
    <row r="544" ht="15.75" customHeight="1">
      <c r="A544" s="19">
        <v>542.0</v>
      </c>
      <c r="B544" s="32" t="s">
        <v>29</v>
      </c>
      <c r="C544" s="43" t="s">
        <v>1055</v>
      </c>
      <c r="D544" s="67" t="s">
        <v>907</v>
      </c>
      <c r="E544" s="34"/>
      <c r="F544" s="69" t="s">
        <v>1056</v>
      </c>
      <c r="G544" s="29"/>
      <c r="H544" s="26"/>
    </row>
    <row r="545" ht="15.75" customHeight="1">
      <c r="A545" s="19">
        <v>543.0</v>
      </c>
      <c r="B545" s="32" t="s">
        <v>29</v>
      </c>
      <c r="C545" s="43" t="s">
        <v>1057</v>
      </c>
      <c r="D545" s="67" t="s">
        <v>930</v>
      </c>
      <c r="E545" s="34"/>
      <c r="F545" s="69" t="s">
        <v>1058</v>
      </c>
      <c r="G545" s="29"/>
      <c r="H545" s="26"/>
    </row>
    <row r="546" ht="15.75" customHeight="1">
      <c r="A546" s="21">
        <v>544.0</v>
      </c>
      <c r="B546" s="32" t="s">
        <v>29</v>
      </c>
      <c r="C546" s="43" t="s">
        <v>1059</v>
      </c>
      <c r="D546" s="67" t="s">
        <v>907</v>
      </c>
      <c r="E546" s="34"/>
      <c r="F546" s="69" t="s">
        <v>1060</v>
      </c>
      <c r="G546" s="29"/>
      <c r="H546" s="26"/>
    </row>
    <row r="547" ht="15.75" customHeight="1">
      <c r="A547" s="21">
        <v>545.0</v>
      </c>
      <c r="B547" s="32" t="s">
        <v>29</v>
      </c>
      <c r="C547" s="43" t="s">
        <v>1061</v>
      </c>
      <c r="D547" s="67" t="s">
        <v>919</v>
      </c>
      <c r="E547" s="34"/>
      <c r="F547" s="69" t="s">
        <v>1062</v>
      </c>
      <c r="G547" s="29"/>
      <c r="H547" s="26"/>
    </row>
    <row r="548" ht="15.75" customHeight="1">
      <c r="A548" s="19">
        <v>546.0</v>
      </c>
      <c r="B548" s="32" t="s">
        <v>29</v>
      </c>
      <c r="C548" s="43" t="s">
        <v>1063</v>
      </c>
      <c r="D548" s="67" t="s">
        <v>907</v>
      </c>
      <c r="E548" s="34"/>
      <c r="F548" s="69" t="s">
        <v>1064</v>
      </c>
      <c r="G548" s="29"/>
      <c r="H548" s="26"/>
    </row>
    <row r="549" ht="15.75" customHeight="1">
      <c r="A549" s="19">
        <v>547.0</v>
      </c>
      <c r="B549" s="32" t="s">
        <v>29</v>
      </c>
      <c r="C549" s="43" t="s">
        <v>1065</v>
      </c>
      <c r="D549" s="67" t="s">
        <v>930</v>
      </c>
      <c r="E549" s="34"/>
      <c r="F549" s="69" t="s">
        <v>1066</v>
      </c>
      <c r="G549" s="29"/>
      <c r="H549" s="26"/>
    </row>
    <row r="550" ht="15.75" customHeight="1">
      <c r="A550" s="19">
        <v>548.0</v>
      </c>
      <c r="B550" s="32" t="s">
        <v>29</v>
      </c>
      <c r="C550" s="43" t="s">
        <v>1067</v>
      </c>
      <c r="D550" s="67" t="s">
        <v>907</v>
      </c>
      <c r="E550" s="34"/>
      <c r="F550" s="69" t="s">
        <v>1068</v>
      </c>
      <c r="G550" s="29"/>
      <c r="H550" s="26"/>
    </row>
    <row r="551" ht="15.75" customHeight="1">
      <c r="A551" s="19">
        <v>549.0</v>
      </c>
      <c r="B551" s="32" t="s">
        <v>29</v>
      </c>
      <c r="C551" s="32" t="s">
        <v>1069</v>
      </c>
      <c r="D551" s="32" t="s">
        <v>170</v>
      </c>
      <c r="E551" s="34"/>
      <c r="F551" s="32">
        <v>8.6400975187E10</v>
      </c>
      <c r="G551" s="29"/>
      <c r="H551" s="26"/>
    </row>
    <row r="552" ht="15.75" customHeight="1">
      <c r="A552" s="21">
        <v>550.0</v>
      </c>
      <c r="B552" s="32" t="s">
        <v>32</v>
      </c>
      <c r="C552" s="70" t="s">
        <v>780</v>
      </c>
      <c r="D552" s="71" t="s">
        <v>1070</v>
      </c>
      <c r="E552" s="34"/>
      <c r="F552" s="72" t="s">
        <v>1071</v>
      </c>
      <c r="G552" s="29"/>
      <c r="H552" s="26"/>
    </row>
    <row r="553" ht="15.75" customHeight="1">
      <c r="A553" s="21">
        <v>551.0</v>
      </c>
      <c r="B553" s="32" t="s">
        <v>32</v>
      </c>
      <c r="C553" s="70" t="s">
        <v>1072</v>
      </c>
      <c r="D553" s="71" t="s">
        <v>1073</v>
      </c>
      <c r="E553" s="34"/>
      <c r="F553" s="72" t="s">
        <v>1074</v>
      </c>
      <c r="G553" s="29"/>
      <c r="H553" s="26"/>
    </row>
    <row r="554" ht="15.75" customHeight="1">
      <c r="A554" s="19">
        <v>552.0</v>
      </c>
      <c r="B554" s="32" t="s">
        <v>32</v>
      </c>
      <c r="C554" s="70" t="s">
        <v>1075</v>
      </c>
      <c r="D554" s="71" t="s">
        <v>1076</v>
      </c>
      <c r="E554" s="34"/>
      <c r="F554" s="72" t="s">
        <v>1077</v>
      </c>
      <c r="G554" s="29"/>
      <c r="H554" s="26"/>
    </row>
    <row r="555" ht="15.75" customHeight="1">
      <c r="A555" s="19">
        <v>553.0</v>
      </c>
      <c r="B555" s="32" t="s">
        <v>32</v>
      </c>
      <c r="C555" s="70" t="s">
        <v>783</v>
      </c>
      <c r="D555" s="71" t="s">
        <v>1076</v>
      </c>
      <c r="E555" s="34"/>
      <c r="F555" s="72" t="s">
        <v>1078</v>
      </c>
      <c r="G555" s="29"/>
      <c r="H555" s="26"/>
    </row>
    <row r="556" ht="15.75" customHeight="1">
      <c r="A556" s="19">
        <v>554.0</v>
      </c>
      <c r="B556" s="32" t="s">
        <v>32</v>
      </c>
      <c r="C556" s="70" t="s">
        <v>1079</v>
      </c>
      <c r="D556" s="71" t="s">
        <v>1080</v>
      </c>
      <c r="E556" s="34"/>
      <c r="F556" s="72" t="s">
        <v>1081</v>
      </c>
      <c r="G556" s="29"/>
      <c r="H556" s="26"/>
    </row>
    <row r="557" ht="15.75" customHeight="1">
      <c r="A557" s="19">
        <v>555.0</v>
      </c>
      <c r="B557" s="32" t="s">
        <v>32</v>
      </c>
      <c r="C557" s="70" t="s">
        <v>1082</v>
      </c>
      <c r="D557" s="71" t="s">
        <v>1076</v>
      </c>
      <c r="E557" s="34"/>
      <c r="F557" s="72" t="s">
        <v>1083</v>
      </c>
      <c r="G557" s="29"/>
      <c r="H557" s="26"/>
    </row>
    <row r="558" ht="15.75" customHeight="1">
      <c r="A558" s="21">
        <v>556.0</v>
      </c>
      <c r="B558" s="32" t="s">
        <v>32</v>
      </c>
      <c r="C558" s="70" t="s">
        <v>1084</v>
      </c>
      <c r="D558" s="71" t="s">
        <v>1085</v>
      </c>
      <c r="E558" s="34"/>
      <c r="F558" s="72" t="s">
        <v>1086</v>
      </c>
      <c r="G558" s="29"/>
      <c r="H558" s="26"/>
    </row>
    <row r="559" ht="15.75" customHeight="1">
      <c r="A559" s="21">
        <v>557.0</v>
      </c>
      <c r="B559" s="32" t="s">
        <v>32</v>
      </c>
      <c r="C559" s="70" t="s">
        <v>1087</v>
      </c>
      <c r="D559" s="71" t="s">
        <v>1076</v>
      </c>
      <c r="E559" s="34"/>
      <c r="F559" s="72" t="s">
        <v>1088</v>
      </c>
      <c r="G559" s="29"/>
      <c r="H559" s="26"/>
    </row>
    <row r="560" ht="15.75" customHeight="1">
      <c r="A560" s="19">
        <v>558.0</v>
      </c>
      <c r="B560" s="32" t="s">
        <v>32</v>
      </c>
      <c r="C560" s="70" t="s">
        <v>1089</v>
      </c>
      <c r="D560" s="71" t="s">
        <v>1085</v>
      </c>
      <c r="E560" s="34"/>
      <c r="F560" s="72" t="s">
        <v>1090</v>
      </c>
      <c r="G560" s="29"/>
      <c r="H560" s="26"/>
    </row>
    <row r="561" ht="15.75" customHeight="1">
      <c r="A561" s="19">
        <v>559.0</v>
      </c>
      <c r="B561" s="32" t="s">
        <v>32</v>
      </c>
      <c r="C561" s="70" t="s">
        <v>1091</v>
      </c>
      <c r="D561" s="71" t="s">
        <v>1092</v>
      </c>
      <c r="E561" s="34"/>
      <c r="F561" s="72" t="s">
        <v>1093</v>
      </c>
      <c r="G561" s="29"/>
      <c r="H561" s="26"/>
    </row>
    <row r="562" ht="15.75" customHeight="1">
      <c r="A562" s="19">
        <v>560.0</v>
      </c>
      <c r="B562" s="32" t="s">
        <v>32</v>
      </c>
      <c r="C562" s="70" t="s">
        <v>1094</v>
      </c>
      <c r="D562" s="71" t="s">
        <v>1073</v>
      </c>
      <c r="E562" s="32" t="s">
        <v>1095</v>
      </c>
      <c r="F562" s="72" t="s">
        <v>1096</v>
      </c>
      <c r="G562" s="29"/>
      <c r="H562" s="26"/>
    </row>
    <row r="563" ht="15.75" customHeight="1">
      <c r="A563" s="19">
        <v>561.0</v>
      </c>
      <c r="B563" s="32" t="s">
        <v>32</v>
      </c>
      <c r="C563" s="70" t="s">
        <v>1097</v>
      </c>
      <c r="D563" s="71" t="s">
        <v>1076</v>
      </c>
      <c r="E563" s="34"/>
      <c r="F563" s="72" t="s">
        <v>1098</v>
      </c>
      <c r="G563" s="29"/>
      <c r="H563" s="26"/>
    </row>
    <row r="564" ht="15.75" customHeight="1">
      <c r="A564" s="21">
        <v>562.0</v>
      </c>
      <c r="B564" s="32" t="s">
        <v>32</v>
      </c>
      <c r="C564" s="70" t="s">
        <v>1099</v>
      </c>
      <c r="D564" s="71" t="s">
        <v>1076</v>
      </c>
      <c r="E564" s="34"/>
      <c r="F564" s="72" t="s">
        <v>1100</v>
      </c>
      <c r="G564" s="29"/>
      <c r="H564" s="26"/>
    </row>
    <row r="565" ht="15.75" customHeight="1">
      <c r="A565" s="21">
        <v>563.0</v>
      </c>
      <c r="B565" s="32" t="s">
        <v>32</v>
      </c>
      <c r="C565" s="70" t="s">
        <v>1101</v>
      </c>
      <c r="D565" s="73"/>
      <c r="E565" s="34"/>
      <c r="F565" s="72" t="s">
        <v>1102</v>
      </c>
      <c r="G565" s="29"/>
      <c r="H565" s="26"/>
    </row>
    <row r="566" ht="15.75" customHeight="1">
      <c r="A566" s="19">
        <v>564.0</v>
      </c>
      <c r="B566" s="32" t="s">
        <v>32</v>
      </c>
      <c r="C566" s="70" t="s">
        <v>1103</v>
      </c>
      <c r="D566" s="71" t="s">
        <v>1104</v>
      </c>
      <c r="E566" s="34"/>
      <c r="F566" s="72" t="s">
        <v>1105</v>
      </c>
      <c r="G566" s="29"/>
      <c r="H566" s="26"/>
    </row>
    <row r="567" ht="15.75" customHeight="1">
      <c r="A567" s="19">
        <v>565.0</v>
      </c>
      <c r="B567" s="32" t="s">
        <v>32</v>
      </c>
      <c r="C567" s="70" t="s">
        <v>1106</v>
      </c>
      <c r="D567" s="71" t="s">
        <v>1107</v>
      </c>
      <c r="E567" s="34"/>
      <c r="F567" s="72" t="s">
        <v>1108</v>
      </c>
      <c r="G567" s="29"/>
      <c r="H567" s="26"/>
    </row>
    <row r="568" ht="15.75" customHeight="1">
      <c r="A568" s="19">
        <v>566.0</v>
      </c>
      <c r="B568" s="32" t="s">
        <v>32</v>
      </c>
      <c r="C568" s="70" t="s">
        <v>1109</v>
      </c>
      <c r="D568" s="71" t="s">
        <v>839</v>
      </c>
      <c r="E568" s="34"/>
      <c r="F568" s="72" t="s">
        <v>1110</v>
      </c>
      <c r="G568" s="29"/>
      <c r="H568" s="26"/>
    </row>
    <row r="569" ht="15.75" customHeight="1">
      <c r="A569" s="19">
        <v>567.0</v>
      </c>
      <c r="B569" s="32" t="s">
        <v>32</v>
      </c>
      <c r="C569" s="70" t="s">
        <v>1111</v>
      </c>
      <c r="D569" s="71" t="s">
        <v>839</v>
      </c>
      <c r="E569" s="34"/>
      <c r="F569" s="72" t="s">
        <v>1112</v>
      </c>
      <c r="G569" s="29"/>
      <c r="H569" s="26"/>
    </row>
    <row r="570" ht="15.75" customHeight="1">
      <c r="A570" s="21">
        <v>568.0</v>
      </c>
      <c r="B570" s="32" t="s">
        <v>32</v>
      </c>
      <c r="C570" s="70" t="s">
        <v>1113</v>
      </c>
      <c r="D570" s="71" t="s">
        <v>839</v>
      </c>
      <c r="E570" s="34"/>
      <c r="F570" s="72" t="s">
        <v>1114</v>
      </c>
      <c r="G570" s="29"/>
      <c r="H570" s="26"/>
    </row>
    <row r="571" ht="15.75" customHeight="1">
      <c r="A571" s="21">
        <v>569.0</v>
      </c>
      <c r="B571" s="32" t="s">
        <v>32</v>
      </c>
      <c r="C571" s="70" t="s">
        <v>1115</v>
      </c>
      <c r="D571" s="71" t="s">
        <v>839</v>
      </c>
      <c r="E571" s="34"/>
      <c r="F571" s="72" t="s">
        <v>1116</v>
      </c>
      <c r="G571" s="29"/>
      <c r="H571" s="26"/>
    </row>
    <row r="572" ht="15.75" customHeight="1">
      <c r="A572" s="19">
        <v>570.0</v>
      </c>
      <c r="B572" s="32" t="s">
        <v>74</v>
      </c>
      <c r="C572" s="32" t="s">
        <v>1117</v>
      </c>
      <c r="D572" s="32" t="s">
        <v>538</v>
      </c>
      <c r="E572" s="32" t="s">
        <v>1095</v>
      </c>
      <c r="F572" s="32">
        <v>7.0556551109E10</v>
      </c>
      <c r="G572" s="29"/>
      <c r="H572" s="26"/>
    </row>
    <row r="573" ht="15.75" customHeight="1">
      <c r="A573" s="19">
        <v>571.0</v>
      </c>
      <c r="B573" s="32" t="s">
        <v>74</v>
      </c>
      <c r="C573" s="32" t="s">
        <v>1118</v>
      </c>
      <c r="D573" s="32" t="s">
        <v>538</v>
      </c>
      <c r="E573" s="32" t="s">
        <v>1095</v>
      </c>
      <c r="F573" s="32">
        <v>4.480820205E9</v>
      </c>
      <c r="G573" s="29"/>
      <c r="H573" s="26"/>
    </row>
    <row r="574" ht="15.75" customHeight="1">
      <c r="A574" s="19">
        <v>572.0</v>
      </c>
      <c r="B574" s="32" t="s">
        <v>58</v>
      </c>
      <c r="C574" s="32" t="s">
        <v>1119</v>
      </c>
      <c r="D574" s="32" t="s">
        <v>538</v>
      </c>
      <c r="E574" s="32" t="s">
        <v>1120</v>
      </c>
      <c r="F574" s="32">
        <v>3.840593255E9</v>
      </c>
      <c r="G574" s="29"/>
      <c r="H574" s="26"/>
    </row>
    <row r="575" ht="15.75" customHeight="1">
      <c r="A575" s="19">
        <v>573.0</v>
      </c>
      <c r="B575" s="32" t="s">
        <v>29</v>
      </c>
      <c r="C575" s="32" t="s">
        <v>974</v>
      </c>
      <c r="D575" s="32" t="s">
        <v>1121</v>
      </c>
      <c r="E575" s="32" t="s">
        <v>1120</v>
      </c>
      <c r="F575" s="32">
        <v>7.0483525154E10</v>
      </c>
      <c r="G575" s="29"/>
      <c r="H575" s="26"/>
    </row>
    <row r="576" ht="15.75" customHeight="1">
      <c r="A576" s="21">
        <v>574.0</v>
      </c>
      <c r="B576" s="32" t="s">
        <v>74</v>
      </c>
      <c r="C576" s="32" t="s">
        <v>1122</v>
      </c>
      <c r="D576" s="32" t="s">
        <v>538</v>
      </c>
      <c r="E576" s="32" t="s">
        <v>1095</v>
      </c>
      <c r="F576" s="32">
        <v>3.800153157E9</v>
      </c>
      <c r="G576" s="29"/>
      <c r="H576" s="26"/>
    </row>
    <row r="577" ht="15.75" customHeight="1">
      <c r="A577" s="21">
        <v>575.0</v>
      </c>
      <c r="B577" s="32" t="s">
        <v>74</v>
      </c>
      <c r="C577" s="32" t="s">
        <v>1123</v>
      </c>
      <c r="D577" s="32" t="s">
        <v>538</v>
      </c>
      <c r="E577" s="32" t="s">
        <v>1095</v>
      </c>
      <c r="F577" s="32">
        <v>4.398253181E9</v>
      </c>
      <c r="G577" s="29"/>
      <c r="H577" s="26"/>
    </row>
    <row r="578" ht="15.75" customHeight="1">
      <c r="A578" s="19">
        <v>576.0</v>
      </c>
      <c r="B578" s="32" t="s">
        <v>57</v>
      </c>
      <c r="C578" s="32" t="s">
        <v>1124</v>
      </c>
      <c r="D578" s="32" t="s">
        <v>241</v>
      </c>
      <c r="E578" s="32" t="s">
        <v>1125</v>
      </c>
      <c r="F578" s="32">
        <v>7.071334315E10</v>
      </c>
      <c r="G578" s="29"/>
      <c r="H578" s="26"/>
    </row>
    <row r="579" ht="15.75" customHeight="1">
      <c r="A579" s="19">
        <v>577.0</v>
      </c>
      <c r="B579" s="32" t="s">
        <v>74</v>
      </c>
      <c r="C579" s="32" t="s">
        <v>1126</v>
      </c>
      <c r="D579" s="32" t="s">
        <v>538</v>
      </c>
      <c r="E579" s="32" t="s">
        <v>1127</v>
      </c>
      <c r="F579" s="32">
        <v>8.6561715187E10</v>
      </c>
      <c r="G579" s="29"/>
      <c r="H579" s="26"/>
    </row>
    <row r="580" ht="15.75" customHeight="1">
      <c r="A580" s="19">
        <v>578.0</v>
      </c>
      <c r="B580" s="32" t="s">
        <v>35</v>
      </c>
      <c r="C580" s="32" t="s">
        <v>1128</v>
      </c>
      <c r="D580" s="32" t="s">
        <v>216</v>
      </c>
      <c r="E580" s="32" t="s">
        <v>1129</v>
      </c>
      <c r="F580" s="32">
        <v>1.277099162E9</v>
      </c>
      <c r="G580" s="29"/>
      <c r="H580" s="26"/>
    </row>
    <row r="581" ht="15.75" customHeight="1">
      <c r="A581" s="19">
        <v>579.0</v>
      </c>
      <c r="B581" s="32" t="s">
        <v>30</v>
      </c>
      <c r="C581" s="32" t="s">
        <v>1130</v>
      </c>
      <c r="D581" s="32" t="s">
        <v>223</v>
      </c>
      <c r="E581" s="32" t="s">
        <v>1120</v>
      </c>
      <c r="F581" s="32">
        <v>6.385029344E9</v>
      </c>
      <c r="G581" s="29"/>
      <c r="H581" s="26"/>
    </row>
    <row r="582" ht="15.75" customHeight="1">
      <c r="A582" s="21">
        <v>580.0</v>
      </c>
      <c r="B582" s="34"/>
      <c r="C582" s="34"/>
      <c r="D582" s="34"/>
      <c r="E582" s="34"/>
      <c r="F582" s="34"/>
      <c r="G582" s="29"/>
      <c r="H582" s="26"/>
    </row>
    <row r="583" ht="15.75" customHeight="1">
      <c r="A583" s="21">
        <v>581.0</v>
      </c>
      <c r="B583" s="32" t="s">
        <v>70</v>
      </c>
      <c r="C583" s="74" t="s">
        <v>1131</v>
      </c>
      <c r="D583" s="32" t="s">
        <v>70</v>
      </c>
      <c r="E583" s="32" t="s">
        <v>953</v>
      </c>
      <c r="F583" s="74" t="s">
        <v>1132</v>
      </c>
      <c r="G583" s="29"/>
      <c r="H583" s="26"/>
    </row>
    <row r="584" ht="15.75" customHeight="1">
      <c r="A584" s="19">
        <v>582.0</v>
      </c>
      <c r="B584" s="32" t="s">
        <v>70</v>
      </c>
      <c r="C584" s="74" t="s">
        <v>1133</v>
      </c>
      <c r="D584" s="32" t="s">
        <v>70</v>
      </c>
      <c r="E584" s="32" t="s">
        <v>1120</v>
      </c>
      <c r="F584" s="74" t="s">
        <v>1134</v>
      </c>
      <c r="G584" s="29"/>
      <c r="H584" s="26"/>
    </row>
    <row r="585" ht="15.75" customHeight="1">
      <c r="A585" s="19">
        <v>583.0</v>
      </c>
      <c r="B585" s="32" t="s">
        <v>70</v>
      </c>
      <c r="C585" s="74" t="s">
        <v>1135</v>
      </c>
      <c r="D585" s="32" t="s">
        <v>70</v>
      </c>
      <c r="E585" s="32" t="s">
        <v>1120</v>
      </c>
      <c r="F585" s="74" t="s">
        <v>1136</v>
      </c>
      <c r="G585" s="29"/>
      <c r="H585" s="26"/>
    </row>
    <row r="586" ht="15.75" customHeight="1">
      <c r="A586" s="19">
        <v>584.0</v>
      </c>
      <c r="B586" s="32" t="s">
        <v>70</v>
      </c>
      <c r="C586" s="74" t="s">
        <v>1137</v>
      </c>
      <c r="D586" s="32" t="s">
        <v>70</v>
      </c>
      <c r="E586" s="32" t="s">
        <v>1120</v>
      </c>
      <c r="F586" s="74" t="s">
        <v>1138</v>
      </c>
      <c r="G586" s="29"/>
      <c r="H586" s="26"/>
    </row>
    <row r="587" ht="15.75" customHeight="1">
      <c r="A587" s="19">
        <v>585.0</v>
      </c>
      <c r="B587" s="32" t="s">
        <v>70</v>
      </c>
      <c r="C587" s="74" t="s">
        <v>1139</v>
      </c>
      <c r="D587" s="32" t="s">
        <v>70</v>
      </c>
      <c r="E587" s="34"/>
      <c r="F587" s="74" t="s">
        <v>1140</v>
      </c>
      <c r="G587" s="29"/>
      <c r="H587" s="26"/>
    </row>
    <row r="588" ht="15.75" customHeight="1">
      <c r="A588" s="21">
        <v>586.0</v>
      </c>
      <c r="B588" s="32" t="s">
        <v>70</v>
      </c>
      <c r="C588" s="74" t="s">
        <v>1141</v>
      </c>
      <c r="D588" s="32" t="s">
        <v>70</v>
      </c>
      <c r="E588" s="34"/>
      <c r="F588" s="74" t="s">
        <v>1142</v>
      </c>
      <c r="G588" s="29"/>
      <c r="H588" s="26"/>
    </row>
    <row r="589" ht="15.75" customHeight="1">
      <c r="A589" s="21">
        <v>587.0</v>
      </c>
      <c r="B589" s="32" t="s">
        <v>70</v>
      </c>
      <c r="C589" s="74" t="s">
        <v>1143</v>
      </c>
      <c r="D589" s="32" t="s">
        <v>70</v>
      </c>
      <c r="E589" s="32" t="s">
        <v>953</v>
      </c>
      <c r="F589" s="74" t="s">
        <v>1144</v>
      </c>
      <c r="G589" s="29"/>
      <c r="H589" s="26"/>
    </row>
    <row r="590" ht="15.75" customHeight="1">
      <c r="A590" s="19">
        <v>588.0</v>
      </c>
      <c r="B590" s="32" t="s">
        <v>70</v>
      </c>
      <c r="C590" s="74" t="s">
        <v>1145</v>
      </c>
      <c r="D590" s="32" t="s">
        <v>70</v>
      </c>
      <c r="E590" s="34"/>
      <c r="F590" s="74" t="s">
        <v>1146</v>
      </c>
      <c r="G590" s="29"/>
      <c r="H590" s="26"/>
    </row>
    <row r="591" ht="15.75" customHeight="1">
      <c r="A591" s="19">
        <v>589.0</v>
      </c>
      <c r="B591" s="32" t="s">
        <v>70</v>
      </c>
      <c r="C591" s="74" t="s">
        <v>1147</v>
      </c>
      <c r="D591" s="32" t="s">
        <v>70</v>
      </c>
      <c r="E591" s="32" t="s">
        <v>1095</v>
      </c>
      <c r="F591" s="74" t="s">
        <v>1148</v>
      </c>
      <c r="G591" s="29"/>
      <c r="H591" s="26"/>
    </row>
    <row r="592" ht="15.75" customHeight="1">
      <c r="A592" s="19">
        <v>590.0</v>
      </c>
      <c r="B592" s="32" t="s">
        <v>70</v>
      </c>
      <c r="C592" s="74" t="s">
        <v>1149</v>
      </c>
      <c r="D592" s="32" t="s">
        <v>70</v>
      </c>
      <c r="E592" s="32" t="s">
        <v>1120</v>
      </c>
      <c r="F592" s="74" t="s">
        <v>1150</v>
      </c>
      <c r="G592" s="29"/>
      <c r="H592" s="26"/>
    </row>
    <row r="593" ht="15.75" customHeight="1">
      <c r="A593" s="19">
        <v>591.0</v>
      </c>
      <c r="B593" s="32" t="s">
        <v>70</v>
      </c>
      <c r="C593" s="74" t="s">
        <v>1151</v>
      </c>
      <c r="D593" s="32" t="s">
        <v>70</v>
      </c>
      <c r="E593" s="32" t="s">
        <v>1095</v>
      </c>
      <c r="F593" s="74" t="s">
        <v>1152</v>
      </c>
      <c r="G593" s="29"/>
      <c r="H593" s="26"/>
    </row>
    <row r="594" ht="15.75" customHeight="1">
      <c r="A594" s="21">
        <v>592.0</v>
      </c>
      <c r="B594" s="32" t="s">
        <v>70</v>
      </c>
      <c r="C594" s="74" t="s">
        <v>1153</v>
      </c>
      <c r="D594" s="32" t="s">
        <v>70</v>
      </c>
      <c r="E594" s="32" t="s">
        <v>1120</v>
      </c>
      <c r="F594" s="74" t="s">
        <v>1154</v>
      </c>
      <c r="G594" s="29"/>
      <c r="H594" s="26"/>
    </row>
    <row r="595" ht="15.75" customHeight="1">
      <c r="A595" s="21">
        <v>593.0</v>
      </c>
      <c r="B595" s="32" t="s">
        <v>70</v>
      </c>
      <c r="C595" s="74" t="s">
        <v>1155</v>
      </c>
      <c r="D595" s="32" t="s">
        <v>70</v>
      </c>
      <c r="E595" s="32" t="s">
        <v>1120</v>
      </c>
      <c r="F595" s="74" t="s">
        <v>1156</v>
      </c>
      <c r="G595" s="29"/>
      <c r="H595" s="26"/>
    </row>
    <row r="596" ht="15.75" customHeight="1">
      <c r="A596" s="19">
        <v>594.0</v>
      </c>
      <c r="B596" s="32" t="s">
        <v>70</v>
      </c>
      <c r="C596" s="74" t="s">
        <v>1157</v>
      </c>
      <c r="D596" s="32" t="s">
        <v>70</v>
      </c>
      <c r="E596" s="34"/>
      <c r="F596" s="74" t="s">
        <v>1158</v>
      </c>
      <c r="G596" s="29"/>
      <c r="H596" s="26"/>
    </row>
    <row r="597" ht="15.75" customHeight="1">
      <c r="A597" s="19">
        <v>595.0</v>
      </c>
      <c r="B597" s="32" t="s">
        <v>70</v>
      </c>
      <c r="C597" s="74" t="s">
        <v>1159</v>
      </c>
      <c r="D597" s="32" t="s">
        <v>70</v>
      </c>
      <c r="E597" s="32" t="s">
        <v>953</v>
      </c>
      <c r="F597" s="74" t="s">
        <v>1160</v>
      </c>
      <c r="G597" s="29"/>
      <c r="H597" s="26"/>
    </row>
    <row r="598" ht="15.75" customHeight="1">
      <c r="A598" s="19">
        <v>596.0</v>
      </c>
      <c r="B598" s="32" t="s">
        <v>70</v>
      </c>
      <c r="C598" s="74" t="s">
        <v>1161</v>
      </c>
      <c r="D598" s="32" t="s">
        <v>70</v>
      </c>
      <c r="E598" s="34"/>
      <c r="F598" s="74" t="s">
        <v>1162</v>
      </c>
      <c r="G598" s="29"/>
      <c r="H598" s="26"/>
    </row>
    <row r="599" ht="15.75" customHeight="1">
      <c r="A599" s="19">
        <v>597.0</v>
      </c>
      <c r="B599" s="32" t="s">
        <v>70</v>
      </c>
      <c r="C599" s="74" t="s">
        <v>1163</v>
      </c>
      <c r="D599" s="32" t="s">
        <v>70</v>
      </c>
      <c r="E599" s="32" t="s">
        <v>953</v>
      </c>
      <c r="F599" s="74" t="s">
        <v>1164</v>
      </c>
      <c r="G599" s="29"/>
      <c r="H599" s="26"/>
    </row>
    <row r="600" ht="15.75" customHeight="1">
      <c r="A600" s="21">
        <v>598.0</v>
      </c>
      <c r="B600" s="32" t="s">
        <v>70</v>
      </c>
      <c r="C600" s="74" t="s">
        <v>1165</v>
      </c>
      <c r="D600" s="32" t="s">
        <v>70</v>
      </c>
      <c r="E600" s="32" t="s">
        <v>953</v>
      </c>
      <c r="F600" s="74" t="s">
        <v>1166</v>
      </c>
      <c r="G600" s="29"/>
      <c r="H600" s="26"/>
    </row>
    <row r="601" ht="15.75" customHeight="1">
      <c r="A601" s="21">
        <v>599.0</v>
      </c>
      <c r="B601" s="32" t="s">
        <v>70</v>
      </c>
      <c r="C601" s="74" t="s">
        <v>1167</v>
      </c>
      <c r="D601" s="32" t="s">
        <v>70</v>
      </c>
      <c r="E601" s="34"/>
      <c r="F601" s="74" t="s">
        <v>1164</v>
      </c>
      <c r="G601" s="29"/>
      <c r="H601" s="26"/>
    </row>
    <row r="602" ht="15.75" customHeight="1">
      <c r="A602" s="19">
        <v>600.0</v>
      </c>
      <c r="B602" s="32" t="s">
        <v>70</v>
      </c>
      <c r="C602" s="74" t="s">
        <v>1168</v>
      </c>
      <c r="D602" s="32" t="s">
        <v>70</v>
      </c>
      <c r="E602" s="34"/>
      <c r="F602" s="74" t="s">
        <v>1169</v>
      </c>
      <c r="G602" s="29"/>
      <c r="H602" s="26"/>
    </row>
    <row r="603" ht="15.75" customHeight="1">
      <c r="A603" s="19">
        <v>601.0</v>
      </c>
      <c r="B603" s="32" t="s">
        <v>70</v>
      </c>
      <c r="C603" s="74" t="s">
        <v>1170</v>
      </c>
      <c r="D603" s="32" t="s">
        <v>70</v>
      </c>
      <c r="E603" s="32" t="s">
        <v>1095</v>
      </c>
      <c r="F603" s="74" t="s">
        <v>1171</v>
      </c>
      <c r="G603" s="29"/>
      <c r="H603" s="26"/>
    </row>
    <row r="604" ht="15.75" customHeight="1">
      <c r="A604" s="19">
        <v>602.0</v>
      </c>
      <c r="B604" s="32" t="s">
        <v>70</v>
      </c>
      <c r="C604" s="74" t="s">
        <v>1172</v>
      </c>
      <c r="D604" s="32" t="s">
        <v>70</v>
      </c>
      <c r="E604" s="34"/>
      <c r="F604" s="74" t="s">
        <v>1173</v>
      </c>
      <c r="G604" s="29"/>
      <c r="H604" s="26"/>
    </row>
    <row r="605" ht="15.75" customHeight="1">
      <c r="A605" s="19">
        <v>603.0</v>
      </c>
      <c r="B605" s="32" t="s">
        <v>70</v>
      </c>
      <c r="C605" s="74" t="s">
        <v>1174</v>
      </c>
      <c r="D605" s="32" t="s">
        <v>70</v>
      </c>
      <c r="E605" s="34"/>
      <c r="F605" s="74" t="s">
        <v>1175</v>
      </c>
      <c r="G605" s="29"/>
      <c r="H605" s="26"/>
    </row>
    <row r="606" ht="15.75" customHeight="1">
      <c r="A606" s="21">
        <v>604.0</v>
      </c>
      <c r="B606" s="32" t="s">
        <v>70</v>
      </c>
      <c r="C606" s="74" t="s">
        <v>1176</v>
      </c>
      <c r="D606" s="32" t="s">
        <v>70</v>
      </c>
      <c r="E606" s="34"/>
      <c r="F606" s="74" t="s">
        <v>1177</v>
      </c>
      <c r="G606" s="29"/>
      <c r="H606" s="26"/>
    </row>
    <row r="607" ht="15.75" customHeight="1">
      <c r="A607" s="21">
        <v>605.0</v>
      </c>
      <c r="B607" s="32" t="s">
        <v>70</v>
      </c>
      <c r="C607" s="74" t="s">
        <v>1178</v>
      </c>
      <c r="D607" s="32" t="s">
        <v>70</v>
      </c>
      <c r="E607" s="32" t="s">
        <v>1095</v>
      </c>
      <c r="F607" s="74" t="s">
        <v>1179</v>
      </c>
      <c r="G607" s="29"/>
      <c r="H607" s="26"/>
    </row>
    <row r="608" ht="15.75" customHeight="1">
      <c r="A608" s="19">
        <v>606.0</v>
      </c>
      <c r="B608" s="32" t="s">
        <v>70</v>
      </c>
      <c r="C608" s="74" t="s">
        <v>1180</v>
      </c>
      <c r="D608" s="32" t="s">
        <v>70</v>
      </c>
      <c r="E608" s="32" t="s">
        <v>1095</v>
      </c>
      <c r="F608" s="74" t="s">
        <v>1181</v>
      </c>
      <c r="G608" s="29"/>
      <c r="H608" s="26"/>
    </row>
    <row r="609" ht="15.75" customHeight="1">
      <c r="A609" s="19">
        <v>607.0</v>
      </c>
      <c r="B609" s="32" t="s">
        <v>70</v>
      </c>
      <c r="C609" s="74" t="s">
        <v>1182</v>
      </c>
      <c r="D609" s="32" t="s">
        <v>70</v>
      </c>
      <c r="E609" s="32" t="s">
        <v>1120</v>
      </c>
      <c r="F609" s="74" t="s">
        <v>1183</v>
      </c>
      <c r="G609" s="29"/>
      <c r="H609" s="26"/>
    </row>
    <row r="610" ht="15.75" customHeight="1">
      <c r="A610" s="19">
        <v>608.0</v>
      </c>
      <c r="B610" s="32" t="s">
        <v>70</v>
      </c>
      <c r="C610" s="74" t="s">
        <v>1184</v>
      </c>
      <c r="D610" s="32" t="s">
        <v>70</v>
      </c>
      <c r="E610" s="32" t="s">
        <v>1120</v>
      </c>
      <c r="F610" s="74" t="s">
        <v>1185</v>
      </c>
      <c r="G610" s="29"/>
      <c r="H610" s="26"/>
    </row>
    <row r="611" ht="15.75" customHeight="1">
      <c r="A611" s="19">
        <v>609.0</v>
      </c>
      <c r="B611" s="32" t="s">
        <v>76</v>
      </c>
      <c r="C611" s="32" t="s">
        <v>1186</v>
      </c>
      <c r="D611" s="32" t="s">
        <v>771</v>
      </c>
      <c r="E611" s="32" t="s">
        <v>1120</v>
      </c>
      <c r="F611" s="32">
        <v>7.069000812E10</v>
      </c>
      <c r="G611" s="29"/>
      <c r="H611" s="26"/>
    </row>
    <row r="612" ht="15.75" customHeight="1">
      <c r="A612" s="21">
        <v>610.0</v>
      </c>
      <c r="B612" s="32" t="s">
        <v>76</v>
      </c>
      <c r="C612" s="32" t="s">
        <v>1187</v>
      </c>
      <c r="D612" s="32" t="s">
        <v>771</v>
      </c>
      <c r="E612" s="32" t="s">
        <v>1120</v>
      </c>
      <c r="F612" s="32">
        <v>7.1333822016E11</v>
      </c>
      <c r="G612" s="29"/>
      <c r="H612" s="26"/>
    </row>
    <row r="613" ht="15.75" customHeight="1">
      <c r="A613" s="21">
        <v>611.0</v>
      </c>
      <c r="B613" s="32" t="s">
        <v>29</v>
      </c>
      <c r="C613" s="32" t="s">
        <v>1188</v>
      </c>
      <c r="D613" s="32" t="s">
        <v>731</v>
      </c>
      <c r="E613" s="32" t="s">
        <v>1095</v>
      </c>
      <c r="F613" s="32">
        <v>7.1428450157E10</v>
      </c>
      <c r="G613" s="29"/>
      <c r="H613" s="26"/>
    </row>
    <row r="614" ht="15.75" customHeight="1">
      <c r="A614" s="19">
        <v>612.0</v>
      </c>
      <c r="B614" s="32" t="s">
        <v>72</v>
      </c>
      <c r="C614" s="32" t="s">
        <v>1189</v>
      </c>
      <c r="D614" s="32" t="s">
        <v>771</v>
      </c>
      <c r="E614" s="32" t="s">
        <v>953</v>
      </c>
      <c r="F614" s="32">
        <v>7.0752309137E10</v>
      </c>
      <c r="G614" s="29"/>
      <c r="H614" s="26"/>
    </row>
    <row r="615" ht="15.75" customHeight="1">
      <c r="A615" s="19">
        <v>613.0</v>
      </c>
      <c r="B615" s="32" t="s">
        <v>72</v>
      </c>
      <c r="C615" s="32" t="s">
        <v>1190</v>
      </c>
      <c r="D615" s="32" t="s">
        <v>1191</v>
      </c>
      <c r="E615" s="32" t="s">
        <v>1095</v>
      </c>
      <c r="F615" s="32">
        <v>7.0642851182E10</v>
      </c>
      <c r="G615" s="29"/>
      <c r="H615" s="26"/>
    </row>
    <row r="616" ht="15.75" customHeight="1">
      <c r="A616" s="19">
        <v>614.0</v>
      </c>
      <c r="B616" s="32" t="s">
        <v>72</v>
      </c>
      <c r="C616" s="32" t="s">
        <v>1192</v>
      </c>
      <c r="D616" s="32" t="s">
        <v>170</v>
      </c>
      <c r="E616" s="32" t="s">
        <v>953</v>
      </c>
      <c r="F616" s="32">
        <v>2.836967102E9</v>
      </c>
      <c r="G616" s="29"/>
      <c r="H616" s="26"/>
    </row>
    <row r="617" ht="15.75" customHeight="1">
      <c r="A617" s="19">
        <v>615.0</v>
      </c>
      <c r="B617" s="32" t="s">
        <v>46</v>
      </c>
      <c r="C617" s="67" t="s">
        <v>1193</v>
      </c>
      <c r="D617" s="43" t="s">
        <v>170</v>
      </c>
      <c r="E617" s="32" t="s">
        <v>1095</v>
      </c>
      <c r="F617" s="75" t="s">
        <v>1194</v>
      </c>
      <c r="G617" s="29"/>
      <c r="H617" s="26"/>
    </row>
    <row r="618" ht="15.75" customHeight="1">
      <c r="A618" s="21">
        <v>616.0</v>
      </c>
      <c r="B618" s="32" t="s">
        <v>46</v>
      </c>
      <c r="C618" s="67" t="s">
        <v>1195</v>
      </c>
      <c r="D618" s="43" t="s">
        <v>101</v>
      </c>
      <c r="E618" s="34"/>
      <c r="F618" s="68" t="s">
        <v>1196</v>
      </c>
      <c r="G618" s="29"/>
      <c r="H618" s="26"/>
    </row>
    <row r="619" ht="15.75" customHeight="1">
      <c r="A619" s="21">
        <v>617.0</v>
      </c>
      <c r="B619" s="32" t="s">
        <v>46</v>
      </c>
      <c r="C619" s="67" t="s">
        <v>1197</v>
      </c>
      <c r="D619" s="43" t="s">
        <v>101</v>
      </c>
      <c r="E619" s="34"/>
      <c r="F619" s="68" t="s">
        <v>1198</v>
      </c>
      <c r="G619" s="29"/>
      <c r="H619" s="26"/>
    </row>
    <row r="620" ht="15.75" customHeight="1">
      <c r="A620" s="19">
        <v>618.0</v>
      </c>
      <c r="B620" s="32" t="s">
        <v>46</v>
      </c>
      <c r="C620" s="67" t="s">
        <v>1199</v>
      </c>
      <c r="D620" s="43" t="s">
        <v>101</v>
      </c>
      <c r="E620" s="34"/>
      <c r="F620" s="68" t="s">
        <v>1200</v>
      </c>
      <c r="G620" s="29"/>
      <c r="H620" s="26"/>
    </row>
    <row r="621" ht="15.75" customHeight="1">
      <c r="A621" s="19">
        <v>619.0</v>
      </c>
      <c r="B621" s="32" t="s">
        <v>46</v>
      </c>
      <c r="C621" s="67" t="s">
        <v>1201</v>
      </c>
      <c r="D621" s="43" t="s">
        <v>101</v>
      </c>
      <c r="E621" s="34"/>
      <c r="F621" s="75" t="s">
        <v>1202</v>
      </c>
      <c r="G621" s="29"/>
      <c r="H621" s="26"/>
    </row>
    <row r="622" ht="15.75" customHeight="1">
      <c r="A622" s="19">
        <v>620.0</v>
      </c>
      <c r="B622" s="32" t="s">
        <v>46</v>
      </c>
      <c r="C622" s="67" t="s">
        <v>1203</v>
      </c>
      <c r="D622" s="43" t="s">
        <v>101</v>
      </c>
      <c r="E622" s="34"/>
      <c r="F622" s="68" t="s">
        <v>470</v>
      </c>
      <c r="G622" s="29"/>
      <c r="H622" s="26"/>
    </row>
    <row r="623" ht="15.75" customHeight="1">
      <c r="A623" s="19">
        <v>621.0</v>
      </c>
      <c r="B623" s="32" t="s">
        <v>46</v>
      </c>
      <c r="C623" s="67" t="s">
        <v>1204</v>
      </c>
      <c r="D623" s="43" t="s">
        <v>101</v>
      </c>
      <c r="E623" s="34"/>
      <c r="F623" s="75" t="s">
        <v>1205</v>
      </c>
      <c r="G623" s="29"/>
      <c r="H623" s="26"/>
    </row>
    <row r="624" ht="15.75" customHeight="1">
      <c r="A624" s="21">
        <v>622.0</v>
      </c>
      <c r="B624" s="32" t="s">
        <v>46</v>
      </c>
      <c r="C624" s="67" t="s">
        <v>1206</v>
      </c>
      <c r="D624" s="43" t="s">
        <v>101</v>
      </c>
      <c r="E624" s="34"/>
      <c r="F624" s="75" t="s">
        <v>1207</v>
      </c>
      <c r="G624" s="29"/>
      <c r="H624" s="26"/>
    </row>
    <row r="625" ht="15.75" customHeight="1">
      <c r="A625" s="21">
        <v>623.0</v>
      </c>
      <c r="B625" s="32" t="s">
        <v>46</v>
      </c>
      <c r="C625" s="67" t="s">
        <v>1208</v>
      </c>
      <c r="D625" s="43" t="s">
        <v>101</v>
      </c>
      <c r="E625" s="34"/>
      <c r="F625" s="75" t="s">
        <v>1209</v>
      </c>
      <c r="G625" s="29"/>
      <c r="H625" s="26"/>
    </row>
    <row r="626" ht="15.75" customHeight="1">
      <c r="A626" s="19">
        <v>624.0</v>
      </c>
      <c r="B626" s="32" t="s">
        <v>37</v>
      </c>
      <c r="C626" s="32" t="s">
        <v>1210</v>
      </c>
      <c r="D626" s="32" t="s">
        <v>1211</v>
      </c>
      <c r="E626" s="32" t="s">
        <v>1095</v>
      </c>
      <c r="F626" s="32">
        <v>6.404275538E9</v>
      </c>
      <c r="G626" s="29"/>
      <c r="H626" s="26"/>
    </row>
    <row r="627" ht="15.75" customHeight="1">
      <c r="A627" s="19">
        <v>625.0</v>
      </c>
      <c r="B627" s="32" t="s">
        <v>29</v>
      </c>
      <c r="C627" s="32" t="s">
        <v>964</v>
      </c>
      <c r="D627" s="32" t="s">
        <v>771</v>
      </c>
      <c r="E627" s="34"/>
      <c r="F627" s="32">
        <v>7.5703556104E10</v>
      </c>
      <c r="G627" s="29"/>
      <c r="H627" s="26"/>
    </row>
    <row r="628" ht="15.75" customHeight="1">
      <c r="A628" s="19">
        <v>627.0</v>
      </c>
      <c r="B628" s="32" t="s">
        <v>46</v>
      </c>
      <c r="C628" s="32" t="s">
        <v>1212</v>
      </c>
      <c r="D628" s="32" t="s">
        <v>842</v>
      </c>
      <c r="E628" s="34"/>
      <c r="F628" s="32">
        <v>5.440752188E9</v>
      </c>
      <c r="G628" s="29"/>
      <c r="H628" s="26"/>
    </row>
    <row r="629" ht="15.75" customHeight="1">
      <c r="A629" s="21">
        <v>628.0</v>
      </c>
      <c r="B629" s="32" t="s">
        <v>41</v>
      </c>
      <c r="C629" s="32" t="s">
        <v>1213</v>
      </c>
      <c r="D629" s="32" t="s">
        <v>538</v>
      </c>
      <c r="E629" s="32" t="s">
        <v>953</v>
      </c>
      <c r="F629" s="32">
        <v>8.0989497291E10</v>
      </c>
      <c r="G629" s="29"/>
      <c r="H629" s="26"/>
    </row>
    <row r="630" ht="15.75" customHeight="1">
      <c r="A630" s="21">
        <v>629.0</v>
      </c>
      <c r="B630" s="32" t="s">
        <v>46</v>
      </c>
      <c r="C630" s="32" t="s">
        <v>1214</v>
      </c>
      <c r="D630" s="32" t="s">
        <v>101</v>
      </c>
      <c r="E630" s="32" t="s">
        <v>1120</v>
      </c>
      <c r="F630" s="32">
        <v>1.12050926E9</v>
      </c>
      <c r="G630" s="29"/>
      <c r="H630" s="26"/>
    </row>
    <row r="631" ht="15.75" customHeight="1">
      <c r="A631" s="19">
        <v>630.0</v>
      </c>
      <c r="B631" s="32" t="s">
        <v>46</v>
      </c>
      <c r="C631" s="32" t="s">
        <v>1215</v>
      </c>
      <c r="D631" s="32" t="s">
        <v>842</v>
      </c>
      <c r="E631" s="34"/>
      <c r="F631" s="32">
        <v>7.077206718E10</v>
      </c>
      <c r="G631" s="29"/>
      <c r="H631" s="26"/>
    </row>
    <row r="632" ht="15.75" customHeight="1">
      <c r="A632" s="19">
        <v>631.0</v>
      </c>
      <c r="B632" s="32" t="s">
        <v>46</v>
      </c>
      <c r="C632" s="32" t="s">
        <v>1216</v>
      </c>
      <c r="D632" s="32" t="s">
        <v>842</v>
      </c>
      <c r="E632" s="32" t="s">
        <v>1120</v>
      </c>
      <c r="F632" s="32">
        <v>5.164984105E9</v>
      </c>
      <c r="G632" s="29"/>
      <c r="H632" s="26"/>
    </row>
    <row r="633" ht="15.75" customHeight="1">
      <c r="A633" s="19">
        <v>632.0</v>
      </c>
      <c r="B633" s="32" t="s">
        <v>29</v>
      </c>
      <c r="C633" s="32" t="s">
        <v>1217</v>
      </c>
      <c r="D633" s="32" t="s">
        <v>842</v>
      </c>
      <c r="E633" s="32" t="s">
        <v>953</v>
      </c>
      <c r="F633" s="32">
        <v>6.973441262E9</v>
      </c>
      <c r="G633" s="29"/>
      <c r="H633" s="26"/>
    </row>
    <row r="634" ht="15.75" customHeight="1">
      <c r="A634" s="19">
        <v>633.0</v>
      </c>
      <c r="B634" s="32" t="s">
        <v>35</v>
      </c>
      <c r="C634" s="32" t="s">
        <v>358</v>
      </c>
      <c r="D634" s="32" t="s">
        <v>1218</v>
      </c>
      <c r="E634" s="34"/>
      <c r="F634" s="32">
        <v>8.8508560168E10</v>
      </c>
      <c r="G634" s="29"/>
      <c r="H634" s="26"/>
    </row>
    <row r="635" ht="15.75" customHeight="1">
      <c r="A635" s="21">
        <v>634.0</v>
      </c>
      <c r="B635" s="32" t="s">
        <v>18</v>
      </c>
      <c r="C635" s="32" t="s">
        <v>1219</v>
      </c>
      <c r="D635" s="32" t="s">
        <v>769</v>
      </c>
      <c r="E635" s="32" t="s">
        <v>1120</v>
      </c>
      <c r="F635" s="32">
        <v>3.0283213E8</v>
      </c>
      <c r="G635" s="29"/>
      <c r="H635" s="26"/>
    </row>
    <row r="636" ht="15.75" customHeight="1">
      <c r="A636" s="21">
        <v>635.0</v>
      </c>
      <c r="B636" s="32" t="s">
        <v>70</v>
      </c>
      <c r="C636" s="32" t="s">
        <v>1220</v>
      </c>
      <c r="D636" s="32" t="s">
        <v>1221</v>
      </c>
      <c r="E636" s="32" t="s">
        <v>1120</v>
      </c>
      <c r="F636" s="32">
        <v>8.93803391E10</v>
      </c>
      <c r="G636" s="29"/>
      <c r="H636" s="26"/>
    </row>
    <row r="637" ht="15.75" customHeight="1">
      <c r="A637" s="19">
        <v>636.0</v>
      </c>
      <c r="B637" s="32" t="s">
        <v>72</v>
      </c>
      <c r="C637" s="32" t="s">
        <v>1222</v>
      </c>
      <c r="D637" s="32" t="s">
        <v>1223</v>
      </c>
      <c r="E637" s="32" t="s">
        <v>1120</v>
      </c>
      <c r="F637" s="32">
        <v>1.638193193E9</v>
      </c>
      <c r="G637" s="29"/>
      <c r="H637" s="26"/>
    </row>
    <row r="638" ht="15.75" customHeight="1">
      <c r="A638" s="19">
        <v>637.0</v>
      </c>
      <c r="B638" s="32" t="s">
        <v>72</v>
      </c>
      <c r="C638" s="32" t="s">
        <v>1224</v>
      </c>
      <c r="D638" s="32" t="s">
        <v>538</v>
      </c>
      <c r="E638" s="32" t="s">
        <v>1120</v>
      </c>
      <c r="F638" s="32">
        <v>3.38094016E9</v>
      </c>
      <c r="G638" s="29"/>
      <c r="H638" s="26"/>
    </row>
    <row r="639" ht="15.75" customHeight="1">
      <c r="A639" s="19">
        <v>638.0</v>
      </c>
      <c r="B639" s="32" t="s">
        <v>35</v>
      </c>
      <c r="C639" s="32" t="s">
        <v>1225</v>
      </c>
      <c r="D639" s="32" t="s">
        <v>1226</v>
      </c>
      <c r="E639" s="32" t="s">
        <v>1120</v>
      </c>
      <c r="F639" s="34"/>
      <c r="G639" s="29"/>
      <c r="H639" s="26"/>
    </row>
    <row r="640" ht="15.75" customHeight="1">
      <c r="A640" s="19">
        <v>639.0</v>
      </c>
      <c r="B640" s="32" t="s">
        <v>46</v>
      </c>
      <c r="C640" s="32" t="s">
        <v>1227</v>
      </c>
      <c r="D640" s="34"/>
      <c r="E640" s="32" t="s">
        <v>1095</v>
      </c>
      <c r="F640" s="32">
        <v>1.1012290123E10</v>
      </c>
      <c r="G640" s="29"/>
      <c r="H640" s="26"/>
    </row>
    <row r="641" ht="15.75" customHeight="1">
      <c r="A641" s="21">
        <v>640.0</v>
      </c>
      <c r="B641" s="32" t="s">
        <v>1228</v>
      </c>
      <c r="C641" s="32" t="s">
        <v>1229</v>
      </c>
      <c r="D641" s="32" t="s">
        <v>538</v>
      </c>
      <c r="E641" s="32" t="s">
        <v>1095</v>
      </c>
      <c r="F641" s="32">
        <v>3.6737501E9</v>
      </c>
      <c r="G641" s="29"/>
      <c r="H641" s="26"/>
    </row>
    <row r="642" ht="15.75" customHeight="1">
      <c r="A642" s="19">
        <v>641.0</v>
      </c>
      <c r="B642" s="32" t="s">
        <v>29</v>
      </c>
      <c r="C642" s="32" t="s">
        <v>730</v>
      </c>
      <c r="D642" s="32" t="s">
        <v>1230</v>
      </c>
      <c r="E642" s="34"/>
      <c r="F642" s="32">
        <v>7.0242099173E10</v>
      </c>
      <c r="G642" s="29"/>
      <c r="H642" s="26"/>
    </row>
    <row r="643" ht="15.75" customHeight="1">
      <c r="A643" s="19">
        <v>642.0</v>
      </c>
      <c r="B643" s="32" t="s">
        <v>1231</v>
      </c>
      <c r="C643" s="32" t="s">
        <v>1232</v>
      </c>
      <c r="D643" s="32" t="s">
        <v>1233</v>
      </c>
      <c r="E643" s="32" t="s">
        <v>115</v>
      </c>
      <c r="F643" s="32">
        <v>3.977052128E9</v>
      </c>
      <c r="G643" s="29"/>
      <c r="H643" s="26"/>
    </row>
    <row r="644" ht="15.75" customHeight="1">
      <c r="A644" s="19">
        <v>643.0</v>
      </c>
      <c r="B644" s="32" t="s">
        <v>1234</v>
      </c>
      <c r="C644" s="32" t="s">
        <v>153</v>
      </c>
      <c r="D644" s="32" t="s">
        <v>1235</v>
      </c>
      <c r="E644" s="34"/>
      <c r="F644" s="32">
        <v>5.974627121E9</v>
      </c>
      <c r="G644" s="29"/>
      <c r="H644" s="26"/>
    </row>
    <row r="645" ht="15.75" customHeight="1">
      <c r="A645" s="21">
        <v>644.0</v>
      </c>
      <c r="B645" s="32" t="s">
        <v>1228</v>
      </c>
      <c r="C645" s="32" t="s">
        <v>1236</v>
      </c>
      <c r="D645" s="32" t="s">
        <v>538</v>
      </c>
      <c r="E645" s="32" t="s">
        <v>953</v>
      </c>
      <c r="F645" s="32">
        <v>7.0987431196E10</v>
      </c>
      <c r="G645" s="29"/>
      <c r="H645" s="26"/>
    </row>
    <row r="646" ht="15.75" customHeight="1">
      <c r="A646" s="19">
        <v>645.0</v>
      </c>
      <c r="B646" s="32" t="s">
        <v>58</v>
      </c>
      <c r="C646" s="32" t="s">
        <v>1237</v>
      </c>
      <c r="D646" s="32" t="s">
        <v>101</v>
      </c>
      <c r="E646" s="32" t="s">
        <v>1120</v>
      </c>
      <c r="F646" s="32">
        <v>3.798051119E9</v>
      </c>
      <c r="G646" s="29"/>
      <c r="H646" s="26"/>
    </row>
    <row r="647" ht="15.75" customHeight="1">
      <c r="A647" s="19">
        <v>646.0</v>
      </c>
      <c r="B647" s="32" t="s">
        <v>1228</v>
      </c>
      <c r="C647" s="32" t="s">
        <v>1238</v>
      </c>
      <c r="D647" s="32" t="s">
        <v>538</v>
      </c>
      <c r="E647" s="32" t="s">
        <v>953</v>
      </c>
      <c r="F647" s="32">
        <v>7.53054531E10</v>
      </c>
      <c r="G647" s="29"/>
      <c r="H647" s="26"/>
    </row>
    <row r="648" ht="15.75" customHeight="1">
      <c r="A648" s="19">
        <v>647.0</v>
      </c>
      <c r="B648" s="32" t="s">
        <v>1228</v>
      </c>
      <c r="C648" s="32" t="s">
        <v>1239</v>
      </c>
      <c r="D648" s="32" t="s">
        <v>223</v>
      </c>
      <c r="E648" s="34"/>
      <c r="F648" s="32">
        <v>8.71556561E10</v>
      </c>
      <c r="G648" s="29"/>
      <c r="H648" s="26"/>
    </row>
    <row r="649" ht="15.75" customHeight="1">
      <c r="A649" s="19">
        <v>648.0</v>
      </c>
      <c r="B649" s="32" t="s">
        <v>15</v>
      </c>
      <c r="C649" s="32" t="s">
        <v>1240</v>
      </c>
      <c r="D649" s="32" t="s">
        <v>139</v>
      </c>
      <c r="E649" s="34"/>
      <c r="F649" s="32">
        <v>1.2206784149E10</v>
      </c>
      <c r="G649" s="29"/>
      <c r="H649" s="26"/>
    </row>
    <row r="650" ht="15.75" customHeight="1">
      <c r="A650" s="19">
        <v>649.0</v>
      </c>
      <c r="B650" s="32" t="s">
        <v>1228</v>
      </c>
      <c r="C650" s="33" t="s">
        <v>1241</v>
      </c>
      <c r="D650" s="32" t="s">
        <v>1242</v>
      </c>
      <c r="E650" s="32" t="s">
        <v>953</v>
      </c>
      <c r="F650" s="32" t="s">
        <v>1243</v>
      </c>
      <c r="G650" s="29"/>
      <c r="H650" s="26"/>
    </row>
    <row r="651" ht="15.75" customHeight="1">
      <c r="A651" s="19">
        <v>650.0</v>
      </c>
      <c r="B651" s="32" t="s">
        <v>77</v>
      </c>
      <c r="C651" s="76" t="s">
        <v>1244</v>
      </c>
      <c r="D651" s="43" t="s">
        <v>1104</v>
      </c>
      <c r="E651" s="56"/>
      <c r="F651" s="68">
        <v>1.9304609E7</v>
      </c>
      <c r="G651" s="29"/>
      <c r="H651" s="26"/>
    </row>
    <row r="652" ht="15.75" customHeight="1">
      <c r="A652" s="21">
        <v>651.0</v>
      </c>
      <c r="B652" s="32" t="s">
        <v>77</v>
      </c>
      <c r="C652" s="76" t="s">
        <v>1245</v>
      </c>
      <c r="D652" s="43" t="s">
        <v>1246</v>
      </c>
      <c r="E652" s="56"/>
      <c r="F652" s="68">
        <v>7.0330351109E10</v>
      </c>
      <c r="G652" s="29"/>
      <c r="H652" s="26"/>
    </row>
    <row r="653" ht="15.75" customHeight="1">
      <c r="A653" s="19">
        <v>652.0</v>
      </c>
      <c r="B653" s="32" t="s">
        <v>77</v>
      </c>
      <c r="C653" s="76" t="s">
        <v>1247</v>
      </c>
      <c r="D653" s="43" t="s">
        <v>1248</v>
      </c>
      <c r="E653" s="56"/>
      <c r="F653" s="68">
        <v>1.9087012187E10</v>
      </c>
      <c r="G653" s="29"/>
      <c r="H653" s="26"/>
    </row>
    <row r="654" ht="15.75" customHeight="1">
      <c r="A654" s="19">
        <v>653.0</v>
      </c>
      <c r="B654" s="32" t="s">
        <v>58</v>
      </c>
      <c r="C654" s="33" t="s">
        <v>1249</v>
      </c>
      <c r="D654" s="32" t="s">
        <v>101</v>
      </c>
      <c r="E654" s="32" t="s">
        <v>953</v>
      </c>
      <c r="F654" s="32" t="s">
        <v>1250</v>
      </c>
      <c r="G654" s="29"/>
      <c r="H654" s="26"/>
    </row>
    <row r="655" ht="15.75" customHeight="1">
      <c r="A655" s="19">
        <v>654.0</v>
      </c>
      <c r="B655" s="32" t="s">
        <v>35</v>
      </c>
      <c r="C655" s="33" t="s">
        <v>1251</v>
      </c>
      <c r="D655" s="33" t="s">
        <v>1252</v>
      </c>
      <c r="E655" s="56"/>
      <c r="F655" s="33">
        <v>1.417628103E9</v>
      </c>
      <c r="G655" s="29"/>
      <c r="H655" s="26"/>
    </row>
    <row r="656" ht="15.75" customHeight="1">
      <c r="A656" s="21">
        <v>655.0</v>
      </c>
      <c r="B656" s="32" t="s">
        <v>33</v>
      </c>
      <c r="C656" s="33" t="s">
        <v>1253</v>
      </c>
      <c r="D656" s="33" t="s">
        <v>170</v>
      </c>
      <c r="E656" s="33" t="s">
        <v>1120</v>
      </c>
      <c r="F656" s="33">
        <v>2.6795825191E10</v>
      </c>
      <c r="G656" s="29"/>
      <c r="H656" s="26"/>
    </row>
    <row r="657" ht="15.75" customHeight="1">
      <c r="A657" s="19">
        <v>656.0</v>
      </c>
      <c r="B657" s="32" t="s">
        <v>41</v>
      </c>
      <c r="C657" s="33" t="s">
        <v>1254</v>
      </c>
      <c r="D657" s="33" t="s">
        <v>538</v>
      </c>
      <c r="E657" s="77">
        <v>0.9701388888888889</v>
      </c>
      <c r="F657" s="33">
        <v>7.555265117E9</v>
      </c>
      <c r="G657" s="29"/>
      <c r="H657" s="26"/>
    </row>
    <row r="658" ht="15.75" customHeight="1">
      <c r="A658" s="19">
        <v>657.0</v>
      </c>
      <c r="B658" s="32" t="s">
        <v>72</v>
      </c>
      <c r="C658" s="33" t="s">
        <v>1255</v>
      </c>
      <c r="D658" s="33" t="s">
        <v>241</v>
      </c>
      <c r="E658" s="33" t="s">
        <v>953</v>
      </c>
      <c r="F658" s="33">
        <v>8.26721052E10</v>
      </c>
      <c r="G658" s="29"/>
      <c r="H658" s="26"/>
    </row>
    <row r="659" ht="15.75" customHeight="1">
      <c r="A659" s="19">
        <v>658.0</v>
      </c>
      <c r="B659" s="32" t="s">
        <v>72</v>
      </c>
      <c r="C659" s="33" t="s">
        <v>1256</v>
      </c>
      <c r="D659" s="33" t="s">
        <v>241</v>
      </c>
      <c r="E659" s="56"/>
      <c r="F659" s="33">
        <v>7.04084429127E11</v>
      </c>
      <c r="G659" s="29"/>
      <c r="H659" s="26"/>
    </row>
    <row r="660" ht="15.75" customHeight="1">
      <c r="A660" s="19">
        <v>659.0</v>
      </c>
      <c r="B660" s="32" t="s">
        <v>72</v>
      </c>
      <c r="C660" s="33" t="s">
        <v>1257</v>
      </c>
      <c r="D660" s="33" t="s">
        <v>241</v>
      </c>
      <c r="E660" s="33" t="s">
        <v>1095</v>
      </c>
      <c r="F660" s="33">
        <v>5.459086124E9</v>
      </c>
      <c r="G660" s="29"/>
      <c r="H660" s="26"/>
    </row>
    <row r="661" ht="15.75" customHeight="1">
      <c r="A661" s="19">
        <v>660.0</v>
      </c>
      <c r="B661" s="32" t="s">
        <v>78</v>
      </c>
      <c r="C661" s="33" t="s">
        <v>1258</v>
      </c>
      <c r="D661" s="33" t="s">
        <v>170</v>
      </c>
      <c r="E661" s="56"/>
      <c r="F661" s="33">
        <v>6.259849869E9</v>
      </c>
      <c r="G661" s="29"/>
      <c r="H661" s="26"/>
    </row>
    <row r="662" ht="15.75" customHeight="1">
      <c r="A662" s="19">
        <v>661.0</v>
      </c>
      <c r="B662" s="32" t="s">
        <v>37</v>
      </c>
      <c r="C662" s="33" t="s">
        <v>1259</v>
      </c>
      <c r="D662" s="33" t="s">
        <v>1260</v>
      </c>
      <c r="E662" s="33" t="s">
        <v>1120</v>
      </c>
      <c r="F662" s="33">
        <v>7.0139021108E10</v>
      </c>
      <c r="G662" s="29"/>
      <c r="H662" s="26"/>
    </row>
    <row r="663" ht="15.75" customHeight="1">
      <c r="A663" s="21">
        <v>662.0</v>
      </c>
      <c r="B663" s="32" t="s">
        <v>37</v>
      </c>
      <c r="C663" s="78" t="s">
        <v>260</v>
      </c>
      <c r="D663" s="78" t="s">
        <v>1261</v>
      </c>
      <c r="E663" s="56"/>
      <c r="F663" s="79" t="s">
        <v>262</v>
      </c>
      <c r="G663" s="29"/>
      <c r="H663" s="26"/>
    </row>
    <row r="664" ht="15.75" customHeight="1">
      <c r="A664" s="19">
        <v>663.0</v>
      </c>
      <c r="B664" s="32" t="s">
        <v>37</v>
      </c>
      <c r="C664" s="78" t="s">
        <v>1262</v>
      </c>
      <c r="D664" s="78" t="s">
        <v>264</v>
      </c>
      <c r="E664" s="56"/>
      <c r="F664" s="80">
        <v>1.0560455313E10</v>
      </c>
      <c r="G664" s="29"/>
      <c r="H664" s="26"/>
    </row>
    <row r="665" ht="15.75" customHeight="1">
      <c r="A665" s="19">
        <v>664.0</v>
      </c>
      <c r="B665" s="32" t="s">
        <v>37</v>
      </c>
      <c r="C665" s="78" t="s">
        <v>1263</v>
      </c>
      <c r="D665" s="78" t="s">
        <v>264</v>
      </c>
      <c r="E665" s="56"/>
      <c r="F665" s="80">
        <v>4.605556184E9</v>
      </c>
      <c r="G665" s="29"/>
      <c r="H665" s="26"/>
    </row>
    <row r="666" ht="15.75" customHeight="1">
      <c r="A666" s="19">
        <v>665.0</v>
      </c>
      <c r="B666" s="32" t="s">
        <v>37</v>
      </c>
      <c r="C666" s="78" t="s">
        <v>1264</v>
      </c>
      <c r="D666" s="78" t="s">
        <v>269</v>
      </c>
      <c r="E666" s="56"/>
      <c r="F666" s="79" t="s">
        <v>270</v>
      </c>
      <c r="G666" s="29"/>
      <c r="H666" s="26"/>
    </row>
    <row r="667" ht="15.75" customHeight="1">
      <c r="A667" s="21">
        <v>666.0</v>
      </c>
      <c r="B667" s="32" t="s">
        <v>37</v>
      </c>
      <c r="C667" s="78" t="s">
        <v>271</v>
      </c>
      <c r="D667" s="78" t="s">
        <v>272</v>
      </c>
      <c r="E667" s="56"/>
      <c r="F667" s="79" t="s">
        <v>273</v>
      </c>
      <c r="G667" s="29"/>
      <c r="H667" s="26"/>
    </row>
    <row r="668" ht="15.75" customHeight="1">
      <c r="A668" s="19">
        <v>667.0</v>
      </c>
      <c r="B668" s="32" t="s">
        <v>37</v>
      </c>
      <c r="C668" s="78" t="s">
        <v>274</v>
      </c>
      <c r="D668" s="78" t="s">
        <v>264</v>
      </c>
      <c r="E668" s="56"/>
      <c r="F668" s="80" t="s">
        <v>275</v>
      </c>
      <c r="G668" s="29"/>
      <c r="H668" s="26"/>
    </row>
    <row r="669" ht="15.75" customHeight="1">
      <c r="A669" s="19">
        <v>668.0</v>
      </c>
      <c r="B669" s="32" t="s">
        <v>37</v>
      </c>
      <c r="C669" s="78" t="s">
        <v>1265</v>
      </c>
      <c r="D669" s="78" t="s">
        <v>272</v>
      </c>
      <c r="E669" s="56"/>
      <c r="F669" s="80" t="s">
        <v>277</v>
      </c>
      <c r="G669" s="29"/>
      <c r="H669" s="26"/>
    </row>
    <row r="670" ht="15.75" customHeight="1">
      <c r="A670" s="19">
        <v>669.0</v>
      </c>
      <c r="B670" s="32" t="s">
        <v>37</v>
      </c>
      <c r="C670" s="78" t="s">
        <v>1266</v>
      </c>
      <c r="D670" s="78" t="s">
        <v>264</v>
      </c>
      <c r="E670" s="56"/>
      <c r="F670" s="80" t="s">
        <v>279</v>
      </c>
      <c r="G670" s="29"/>
      <c r="H670" s="26"/>
    </row>
    <row r="671" ht="15.75" customHeight="1">
      <c r="A671" s="19">
        <v>670.0</v>
      </c>
      <c r="B671" s="32" t="s">
        <v>37</v>
      </c>
      <c r="C671" s="78" t="s">
        <v>1267</v>
      </c>
      <c r="D671" s="78" t="s">
        <v>264</v>
      </c>
      <c r="E671" s="56"/>
      <c r="F671" s="80" t="s">
        <v>281</v>
      </c>
      <c r="G671" s="29"/>
      <c r="H671" s="26"/>
    </row>
    <row r="672" ht="15.75" customHeight="1">
      <c r="A672" s="19">
        <v>671.0</v>
      </c>
      <c r="B672" s="32" t="s">
        <v>37</v>
      </c>
      <c r="C672" s="78" t="s">
        <v>282</v>
      </c>
      <c r="D672" s="78" t="s">
        <v>264</v>
      </c>
      <c r="E672" s="56"/>
      <c r="F672" s="80" t="s">
        <v>283</v>
      </c>
      <c r="G672" s="29"/>
      <c r="H672" s="26"/>
    </row>
    <row r="673" ht="15.75" customHeight="1">
      <c r="A673" s="19">
        <v>672.0</v>
      </c>
      <c r="B673" s="32" t="s">
        <v>37</v>
      </c>
      <c r="C673" s="78" t="s">
        <v>1268</v>
      </c>
      <c r="D673" s="78" t="s">
        <v>272</v>
      </c>
      <c r="E673" s="56"/>
      <c r="F673" s="80" t="s">
        <v>285</v>
      </c>
      <c r="G673" s="29"/>
      <c r="H673" s="26"/>
    </row>
    <row r="674" ht="15.75" customHeight="1">
      <c r="A674" s="21">
        <v>673.0</v>
      </c>
      <c r="B674" s="32" t="s">
        <v>37</v>
      </c>
      <c r="C674" s="78" t="s">
        <v>1269</v>
      </c>
      <c r="D674" s="78" t="s">
        <v>264</v>
      </c>
      <c r="E674" s="56"/>
      <c r="F674" s="80" t="s">
        <v>287</v>
      </c>
      <c r="G674" s="29"/>
      <c r="H674" s="26"/>
    </row>
    <row r="675" ht="15.75" customHeight="1">
      <c r="A675" s="19">
        <v>674.0</v>
      </c>
      <c r="B675" s="32" t="s">
        <v>37</v>
      </c>
      <c r="C675" s="78" t="s">
        <v>1270</v>
      </c>
      <c r="D675" s="78" t="s">
        <v>264</v>
      </c>
      <c r="E675" s="56"/>
      <c r="F675" s="80" t="s">
        <v>289</v>
      </c>
      <c r="G675" s="29"/>
      <c r="H675" s="26"/>
    </row>
    <row r="676" ht="15.75" customHeight="1">
      <c r="A676" s="19">
        <v>675.0</v>
      </c>
      <c r="B676" s="32" t="s">
        <v>37</v>
      </c>
      <c r="C676" s="78" t="s">
        <v>290</v>
      </c>
      <c r="D676" s="78" t="s">
        <v>264</v>
      </c>
      <c r="E676" s="56"/>
      <c r="F676" s="80" t="s">
        <v>291</v>
      </c>
      <c r="G676" s="29"/>
      <c r="H676" s="26"/>
    </row>
    <row r="677" ht="15.75" customHeight="1">
      <c r="A677" s="19">
        <v>676.0</v>
      </c>
      <c r="B677" s="32" t="s">
        <v>37</v>
      </c>
      <c r="C677" s="78" t="s">
        <v>1271</v>
      </c>
      <c r="D677" s="78" t="s">
        <v>264</v>
      </c>
      <c r="E677" s="56"/>
      <c r="F677" s="80" t="s">
        <v>293</v>
      </c>
      <c r="G677" s="29"/>
      <c r="H677" s="26"/>
    </row>
    <row r="678" ht="15.75" customHeight="1">
      <c r="A678" s="21">
        <v>677.0</v>
      </c>
      <c r="B678" s="32" t="s">
        <v>37</v>
      </c>
      <c r="C678" s="78" t="s">
        <v>1272</v>
      </c>
      <c r="D678" s="78" t="s">
        <v>264</v>
      </c>
      <c r="E678" s="56"/>
      <c r="F678" s="79" t="s">
        <v>295</v>
      </c>
      <c r="G678" s="29"/>
      <c r="H678" s="26"/>
    </row>
    <row r="679" ht="15.75" customHeight="1">
      <c r="A679" s="19">
        <v>678.0</v>
      </c>
      <c r="B679" s="32" t="s">
        <v>37</v>
      </c>
      <c r="C679" s="78" t="s">
        <v>1273</v>
      </c>
      <c r="D679" s="78" t="s">
        <v>264</v>
      </c>
      <c r="E679" s="56"/>
      <c r="F679" s="79" t="s">
        <v>297</v>
      </c>
      <c r="G679" s="29"/>
      <c r="H679" s="26"/>
    </row>
    <row r="680" ht="15.75" customHeight="1">
      <c r="A680" s="19">
        <v>679.0</v>
      </c>
      <c r="B680" s="32" t="s">
        <v>37</v>
      </c>
      <c r="C680" s="78" t="s">
        <v>298</v>
      </c>
      <c r="D680" s="78" t="s">
        <v>264</v>
      </c>
      <c r="E680" s="56"/>
      <c r="F680" s="81" t="s">
        <v>299</v>
      </c>
      <c r="G680" s="29"/>
      <c r="H680" s="26"/>
    </row>
    <row r="681" ht="15.75" customHeight="1">
      <c r="A681" s="19">
        <v>680.0</v>
      </c>
      <c r="B681" s="32" t="s">
        <v>37</v>
      </c>
      <c r="C681" s="78" t="s">
        <v>300</v>
      </c>
      <c r="D681" s="78" t="s">
        <v>269</v>
      </c>
      <c r="E681" s="56"/>
      <c r="F681" s="79" t="s">
        <v>301</v>
      </c>
      <c r="G681" s="29"/>
      <c r="H681" s="26"/>
    </row>
    <row r="682" ht="15.75" customHeight="1">
      <c r="A682" s="19">
        <v>681.0</v>
      </c>
      <c r="B682" s="32" t="s">
        <v>37</v>
      </c>
      <c r="C682" s="78" t="s">
        <v>302</v>
      </c>
      <c r="D682" s="78" t="s">
        <v>303</v>
      </c>
      <c r="E682" s="56"/>
      <c r="F682" s="79" t="s">
        <v>304</v>
      </c>
      <c r="G682" s="29"/>
      <c r="H682" s="26"/>
    </row>
    <row r="683" ht="15.75" customHeight="1">
      <c r="A683" s="19">
        <v>682.0</v>
      </c>
      <c r="B683" s="32" t="s">
        <v>37</v>
      </c>
      <c r="C683" s="78" t="s">
        <v>305</v>
      </c>
      <c r="D683" s="78" t="s">
        <v>303</v>
      </c>
      <c r="E683" s="56"/>
      <c r="F683" s="79" t="s">
        <v>306</v>
      </c>
      <c r="G683" s="29"/>
      <c r="H683" s="26"/>
    </row>
    <row r="684" ht="15.75" customHeight="1">
      <c r="A684" s="19">
        <v>683.0</v>
      </c>
      <c r="B684" s="32" t="s">
        <v>37</v>
      </c>
      <c r="C684" s="78" t="s">
        <v>307</v>
      </c>
      <c r="D684" s="78" t="s">
        <v>303</v>
      </c>
      <c r="E684" s="56"/>
      <c r="F684" s="79" t="s">
        <v>308</v>
      </c>
      <c r="G684" s="29"/>
      <c r="H684" s="26"/>
    </row>
    <row r="685" ht="15.75" customHeight="1">
      <c r="A685" s="21">
        <v>684.0</v>
      </c>
      <c r="B685" s="32" t="s">
        <v>37</v>
      </c>
      <c r="C685" s="82" t="s">
        <v>1274</v>
      </c>
      <c r="D685" s="78" t="s">
        <v>264</v>
      </c>
      <c r="E685" s="56"/>
      <c r="F685" s="83" t="s">
        <v>1275</v>
      </c>
      <c r="G685" s="29"/>
      <c r="H685" s="26"/>
    </row>
    <row r="686" ht="15.75" customHeight="1">
      <c r="A686" s="19">
        <v>685.0</v>
      </c>
      <c r="B686" s="32" t="s">
        <v>37</v>
      </c>
      <c r="C686" s="84" t="s">
        <v>1276</v>
      </c>
      <c r="D686" s="78" t="s">
        <v>264</v>
      </c>
      <c r="E686" s="56"/>
      <c r="F686" s="85" t="s">
        <v>1277</v>
      </c>
      <c r="G686" s="29"/>
      <c r="H686" s="26"/>
    </row>
    <row r="687" ht="15.75" customHeight="1">
      <c r="A687" s="19">
        <v>686.0</v>
      </c>
      <c r="B687" s="32" t="s">
        <v>37</v>
      </c>
      <c r="C687" s="84" t="s">
        <v>1278</v>
      </c>
      <c r="D687" s="43" t="s">
        <v>1279</v>
      </c>
      <c r="E687" s="33" t="s">
        <v>1120</v>
      </c>
      <c r="F687" s="85" t="s">
        <v>1280</v>
      </c>
      <c r="G687" s="29"/>
      <c r="H687" s="26"/>
    </row>
    <row r="688" ht="15.75" customHeight="1">
      <c r="A688" s="19">
        <v>687.0</v>
      </c>
      <c r="B688" s="32" t="s">
        <v>37</v>
      </c>
      <c r="C688" s="84" t="s">
        <v>1281</v>
      </c>
      <c r="D688" s="43" t="s">
        <v>1282</v>
      </c>
      <c r="E688" s="56"/>
      <c r="F688" s="85" t="s">
        <v>1283</v>
      </c>
      <c r="G688" s="29"/>
      <c r="H688" s="26"/>
    </row>
    <row r="689" ht="15.75" customHeight="1">
      <c r="A689" s="21">
        <v>688.0</v>
      </c>
      <c r="B689" s="32" t="s">
        <v>37</v>
      </c>
      <c r="C689" s="84" t="s">
        <v>1284</v>
      </c>
      <c r="D689" s="78" t="s">
        <v>264</v>
      </c>
      <c r="E689" s="56"/>
      <c r="F689" s="85" t="s">
        <v>1280</v>
      </c>
      <c r="G689" s="29"/>
      <c r="H689" s="26"/>
    </row>
    <row r="690" ht="15.75" customHeight="1">
      <c r="A690" s="19">
        <v>689.0</v>
      </c>
      <c r="B690" s="32" t="s">
        <v>78</v>
      </c>
      <c r="C690" s="33" t="s">
        <v>1285</v>
      </c>
      <c r="D690" s="33" t="s">
        <v>538</v>
      </c>
      <c r="E690" s="33" t="s">
        <v>1120</v>
      </c>
      <c r="F690" s="33">
        <v>1.058480413E10</v>
      </c>
      <c r="G690" s="29"/>
      <c r="H690" s="26"/>
    </row>
    <row r="691" ht="15.75" customHeight="1">
      <c r="A691" s="19">
        <v>690.0</v>
      </c>
      <c r="B691" s="32" t="s">
        <v>55</v>
      </c>
      <c r="C691" s="33" t="s">
        <v>1286</v>
      </c>
      <c r="D691" s="33" t="s">
        <v>250</v>
      </c>
      <c r="E691" s="33" t="s">
        <v>953</v>
      </c>
      <c r="F691" s="33">
        <v>4.7201940104E10</v>
      </c>
      <c r="G691" s="29"/>
      <c r="H691" s="26"/>
    </row>
    <row r="692" ht="15.75" customHeight="1">
      <c r="A692" s="19">
        <v>691.0</v>
      </c>
      <c r="B692" s="32" t="s">
        <v>41</v>
      </c>
      <c r="C692" s="33" t="s">
        <v>1287</v>
      </c>
      <c r="D692" s="33" t="s">
        <v>538</v>
      </c>
      <c r="E692" s="33" t="s">
        <v>1288</v>
      </c>
      <c r="F692" s="33">
        <v>4.368777166E9</v>
      </c>
      <c r="G692" s="29"/>
      <c r="H692" s="26"/>
    </row>
    <row r="693" ht="15.75" customHeight="1">
      <c r="A693" s="19">
        <v>692.0</v>
      </c>
      <c r="B693" s="32" t="s">
        <v>21</v>
      </c>
      <c r="C693" s="86" t="s">
        <v>1289</v>
      </c>
      <c r="D693" s="43" t="s">
        <v>1092</v>
      </c>
      <c r="E693" s="56"/>
      <c r="F693" s="68" t="s">
        <v>1290</v>
      </c>
      <c r="G693" s="29"/>
      <c r="H693" s="26"/>
    </row>
    <row r="694" ht="15.75" customHeight="1">
      <c r="A694" s="19">
        <v>693.0</v>
      </c>
      <c r="B694" s="32" t="s">
        <v>21</v>
      </c>
      <c r="C694" s="87" t="s">
        <v>219</v>
      </c>
      <c r="D694" s="80" t="s">
        <v>1092</v>
      </c>
      <c r="E694" s="56"/>
      <c r="F694" s="88" t="s">
        <v>1291</v>
      </c>
      <c r="G694" s="29"/>
      <c r="H694" s="26"/>
    </row>
    <row r="695" ht="15.75" customHeight="1">
      <c r="A695" s="19">
        <v>694.0</v>
      </c>
      <c r="B695" s="32" t="s">
        <v>21</v>
      </c>
      <c r="C695" s="87" t="s">
        <v>1292</v>
      </c>
      <c r="D695" s="80" t="s">
        <v>769</v>
      </c>
      <c r="E695" s="56"/>
      <c r="F695" s="88" t="s">
        <v>1293</v>
      </c>
      <c r="G695" s="29"/>
      <c r="H695" s="26"/>
    </row>
    <row r="696" ht="15.75" customHeight="1">
      <c r="A696" s="21">
        <v>695.0</v>
      </c>
      <c r="B696" s="32" t="s">
        <v>21</v>
      </c>
      <c r="C696" s="86" t="s">
        <v>1294</v>
      </c>
      <c r="D696" s="43" t="s">
        <v>1295</v>
      </c>
      <c r="E696" s="56"/>
      <c r="F696" s="68" t="s">
        <v>1296</v>
      </c>
      <c r="G696" s="29"/>
      <c r="H696" s="26"/>
    </row>
    <row r="697" ht="15.75" customHeight="1">
      <c r="A697" s="19">
        <v>696.0</v>
      </c>
      <c r="B697" s="32" t="s">
        <v>21</v>
      </c>
      <c r="C697" s="86" t="s">
        <v>200</v>
      </c>
      <c r="D697" s="43" t="s">
        <v>1295</v>
      </c>
      <c r="E697" s="56"/>
      <c r="F697" s="68" t="s">
        <v>202</v>
      </c>
      <c r="G697" s="29"/>
      <c r="H697" s="26"/>
    </row>
    <row r="698" ht="15.75" customHeight="1">
      <c r="A698" s="19">
        <v>697.0</v>
      </c>
      <c r="B698" s="32" t="s">
        <v>21</v>
      </c>
      <c r="C698" s="86" t="s">
        <v>1297</v>
      </c>
      <c r="D698" s="43" t="s">
        <v>1298</v>
      </c>
      <c r="E698" s="56"/>
      <c r="F698" s="68" t="s">
        <v>1299</v>
      </c>
      <c r="G698" s="29"/>
      <c r="H698" s="26"/>
    </row>
    <row r="699" ht="15.75" customHeight="1">
      <c r="A699" s="19">
        <v>698.0</v>
      </c>
      <c r="B699" s="32" t="s">
        <v>21</v>
      </c>
      <c r="C699" s="86" t="s">
        <v>203</v>
      </c>
      <c r="D699" s="43" t="s">
        <v>1298</v>
      </c>
      <c r="E699" s="56"/>
      <c r="F699" s="68" t="s">
        <v>205</v>
      </c>
      <c r="G699" s="29"/>
      <c r="H699" s="26"/>
    </row>
    <row r="700" ht="15.75" customHeight="1">
      <c r="A700" s="21">
        <v>699.0</v>
      </c>
      <c r="B700" s="32" t="s">
        <v>21</v>
      </c>
      <c r="C700" s="86" t="s">
        <v>206</v>
      </c>
      <c r="D700" s="43" t="s">
        <v>1298</v>
      </c>
      <c r="E700" s="56"/>
      <c r="F700" s="68" t="s">
        <v>207</v>
      </c>
      <c r="G700" s="29"/>
      <c r="H700" s="26"/>
    </row>
    <row r="701" ht="15.75" customHeight="1">
      <c r="A701" s="19">
        <v>700.0</v>
      </c>
      <c r="B701" s="32" t="s">
        <v>21</v>
      </c>
      <c r="C701" s="86" t="s">
        <v>1300</v>
      </c>
      <c r="D701" s="43" t="s">
        <v>769</v>
      </c>
      <c r="E701" s="56"/>
      <c r="F701" s="68" t="s">
        <v>1301</v>
      </c>
      <c r="G701" s="29"/>
      <c r="H701" s="26"/>
    </row>
    <row r="702" ht="15.75" customHeight="1">
      <c r="A702" s="19">
        <v>701.0</v>
      </c>
      <c r="B702" s="32" t="s">
        <v>21</v>
      </c>
      <c r="C702" s="86" t="s">
        <v>1302</v>
      </c>
      <c r="D702" s="43" t="s">
        <v>1303</v>
      </c>
      <c r="E702" s="56"/>
      <c r="F702" s="68" t="s">
        <v>1304</v>
      </c>
      <c r="G702" s="29"/>
      <c r="H702" s="26"/>
    </row>
    <row r="703" ht="15.75" customHeight="1">
      <c r="A703" s="19">
        <v>702.0</v>
      </c>
      <c r="B703" s="32" t="s">
        <v>41</v>
      </c>
      <c r="C703" s="33" t="s">
        <v>1305</v>
      </c>
      <c r="D703" s="33" t="s">
        <v>538</v>
      </c>
      <c r="E703" s="33" t="s">
        <v>1306</v>
      </c>
      <c r="F703" s="33">
        <v>7.1077165145E10</v>
      </c>
      <c r="G703" s="29"/>
      <c r="H703" s="26"/>
    </row>
    <row r="704" ht="15.75" customHeight="1">
      <c r="A704" s="19">
        <v>703.0</v>
      </c>
      <c r="B704" s="32" t="s">
        <v>15</v>
      </c>
      <c r="C704" s="33" t="s">
        <v>1307</v>
      </c>
      <c r="D704" s="33" t="s">
        <v>139</v>
      </c>
      <c r="E704" s="56"/>
      <c r="F704" s="33">
        <v>7.004388158E9</v>
      </c>
      <c r="G704" s="29"/>
      <c r="H704" s="26"/>
    </row>
    <row r="705" ht="15.75" customHeight="1">
      <c r="A705" s="19">
        <v>704.0</v>
      </c>
      <c r="B705" s="32" t="s">
        <v>11</v>
      </c>
      <c r="C705" s="33" t="s">
        <v>1308</v>
      </c>
      <c r="D705" s="33" t="s">
        <v>170</v>
      </c>
      <c r="E705" s="33" t="s">
        <v>1120</v>
      </c>
      <c r="F705" s="33">
        <v>7.204428412E10</v>
      </c>
      <c r="G705" s="29"/>
      <c r="H705" s="26"/>
    </row>
    <row r="706" ht="15.75" customHeight="1">
      <c r="A706" s="19">
        <v>705.0</v>
      </c>
      <c r="B706" s="32" t="s">
        <v>41</v>
      </c>
      <c r="C706" s="33" t="s">
        <v>1309</v>
      </c>
      <c r="D706" s="33" t="s">
        <v>538</v>
      </c>
      <c r="E706" s="77">
        <v>0.9826388888888888</v>
      </c>
      <c r="F706" s="33">
        <v>6.2636286348E10</v>
      </c>
      <c r="G706" s="29"/>
      <c r="H706" s="26"/>
    </row>
    <row r="707" ht="15.75" customHeight="1">
      <c r="A707" s="21">
        <v>706.0</v>
      </c>
      <c r="B707" s="32" t="s">
        <v>79</v>
      </c>
      <c r="C707" s="33" t="s">
        <v>1310</v>
      </c>
      <c r="D707" s="33" t="s">
        <v>1311</v>
      </c>
      <c r="E707" s="56"/>
      <c r="F707" s="33">
        <v>3.337333125E9</v>
      </c>
      <c r="G707" s="29"/>
      <c r="H707" s="26"/>
    </row>
    <row r="708" ht="15.75" customHeight="1">
      <c r="A708" s="19">
        <v>707.0</v>
      </c>
      <c r="B708" s="32"/>
      <c r="C708" s="56"/>
      <c r="D708" s="56"/>
      <c r="E708" s="56"/>
      <c r="F708" s="56"/>
      <c r="G708" s="29"/>
      <c r="H708" s="26"/>
    </row>
    <row r="709" ht="15.75" customHeight="1">
      <c r="A709" s="19">
        <v>708.0</v>
      </c>
      <c r="B709" s="32" t="s">
        <v>41</v>
      </c>
      <c r="C709" s="33" t="s">
        <v>1312</v>
      </c>
      <c r="D709" s="33" t="s">
        <v>538</v>
      </c>
      <c r="E709" s="33" t="s">
        <v>1095</v>
      </c>
      <c r="F709" s="32">
        <v>3.506672177E9</v>
      </c>
      <c r="G709" s="29"/>
      <c r="H709" s="26"/>
    </row>
    <row r="710" ht="15.75" customHeight="1">
      <c r="A710" s="19">
        <v>709.0</v>
      </c>
      <c r="B710" s="32" t="s">
        <v>80</v>
      </c>
      <c r="C710" s="33" t="s">
        <v>1313</v>
      </c>
      <c r="D710" s="33" t="s">
        <v>250</v>
      </c>
      <c r="E710" s="33" t="s">
        <v>953</v>
      </c>
      <c r="F710" s="32">
        <v>2.1975660838E10</v>
      </c>
      <c r="G710" s="29"/>
      <c r="H710" s="26"/>
    </row>
    <row r="711" ht="15.75" customHeight="1">
      <c r="A711" s="21">
        <v>710.0</v>
      </c>
      <c r="B711" s="32"/>
      <c r="C711" s="56"/>
      <c r="D711" s="56"/>
      <c r="E711" s="56"/>
      <c r="F711" s="56"/>
      <c r="G711" s="29"/>
      <c r="H711" s="26"/>
    </row>
    <row r="712" ht="15.75" customHeight="1">
      <c r="A712" s="19">
        <v>711.0</v>
      </c>
      <c r="B712" s="32" t="s">
        <v>41</v>
      </c>
      <c r="C712" s="33" t="s">
        <v>1314</v>
      </c>
      <c r="D712" s="33" t="s">
        <v>1315</v>
      </c>
      <c r="E712" s="56"/>
      <c r="F712" s="33">
        <v>1.5638838643E10</v>
      </c>
      <c r="G712" s="29"/>
      <c r="H712" s="26"/>
    </row>
    <row r="713" ht="15.75" customHeight="1">
      <c r="A713" s="19">
        <v>712.0</v>
      </c>
      <c r="B713" s="32" t="s">
        <v>81</v>
      </c>
      <c r="C713" s="33" t="s">
        <v>1316</v>
      </c>
      <c r="D713" s="33" t="s">
        <v>1317</v>
      </c>
      <c r="E713" s="33" t="s">
        <v>1120</v>
      </c>
      <c r="F713" s="33">
        <v>2.132935106E9</v>
      </c>
      <c r="G713" s="29"/>
      <c r="H713" s="26"/>
    </row>
    <row r="714" ht="15.75" customHeight="1">
      <c r="A714" s="19">
        <v>713.0</v>
      </c>
      <c r="B714" s="32" t="s">
        <v>81</v>
      </c>
      <c r="C714" s="33" t="s">
        <v>1318</v>
      </c>
      <c r="D714" s="33" t="s">
        <v>717</v>
      </c>
      <c r="E714" s="33" t="s">
        <v>1095</v>
      </c>
      <c r="F714" s="33">
        <v>1.684529151E9</v>
      </c>
      <c r="G714" s="29"/>
      <c r="H714" s="26"/>
    </row>
    <row r="715" ht="15.75" customHeight="1">
      <c r="A715" s="19">
        <v>714.0</v>
      </c>
      <c r="B715" s="32" t="s">
        <v>41</v>
      </c>
      <c r="C715" s="33" t="s">
        <v>1319</v>
      </c>
      <c r="D715" s="33" t="s">
        <v>1315</v>
      </c>
      <c r="E715" s="56"/>
      <c r="F715" s="56"/>
      <c r="G715" s="29"/>
      <c r="H715" s="26"/>
    </row>
    <row r="716" ht="15.75" customHeight="1">
      <c r="A716" s="19">
        <v>715.0</v>
      </c>
      <c r="B716" s="32" t="s">
        <v>41</v>
      </c>
      <c r="C716" s="33" t="s">
        <v>1320</v>
      </c>
      <c r="D716" s="33" t="s">
        <v>538</v>
      </c>
      <c r="E716" s="33" t="s">
        <v>1095</v>
      </c>
      <c r="F716" s="33">
        <v>7.0478096194E10</v>
      </c>
      <c r="G716" s="29"/>
      <c r="H716" s="26"/>
    </row>
    <row r="717" ht="15.75" customHeight="1">
      <c r="A717" s="19">
        <v>716.0</v>
      </c>
      <c r="B717" s="32" t="s">
        <v>41</v>
      </c>
      <c r="C717" s="33" t="s">
        <v>1321</v>
      </c>
      <c r="D717" s="33" t="s">
        <v>1315</v>
      </c>
      <c r="E717" s="77">
        <v>0.9784722222222222</v>
      </c>
      <c r="F717" s="56"/>
      <c r="G717" s="29"/>
      <c r="H717" s="26"/>
    </row>
    <row r="718" ht="15.75" customHeight="1">
      <c r="A718" s="21">
        <v>717.0</v>
      </c>
      <c r="B718" s="32" t="s">
        <v>41</v>
      </c>
      <c r="C718" s="89" t="s">
        <v>1322</v>
      </c>
      <c r="D718" s="43" t="s">
        <v>1323</v>
      </c>
      <c r="E718" s="33" t="s">
        <v>1324</v>
      </c>
      <c r="F718" s="90" t="s">
        <v>1325</v>
      </c>
      <c r="G718" s="29"/>
      <c r="H718" s="26"/>
    </row>
    <row r="719" ht="15.75" customHeight="1">
      <c r="A719" s="19">
        <v>718.0</v>
      </c>
      <c r="B719" s="32" t="s">
        <v>41</v>
      </c>
      <c r="C719" s="89" t="s">
        <v>1326</v>
      </c>
      <c r="D719" s="43" t="s">
        <v>1323</v>
      </c>
      <c r="E719" s="33" t="s">
        <v>1327</v>
      </c>
      <c r="F719" s="68">
        <v>7.0723110174E10</v>
      </c>
      <c r="G719" s="29"/>
      <c r="H719" s="26"/>
    </row>
    <row r="720" ht="15.75" customHeight="1">
      <c r="A720" s="21">
        <v>719.0</v>
      </c>
      <c r="B720" s="32" t="s">
        <v>41</v>
      </c>
      <c r="C720" s="86" t="s">
        <v>1328</v>
      </c>
      <c r="D720" s="43" t="s">
        <v>1323</v>
      </c>
      <c r="E720" s="56"/>
      <c r="F720" s="91"/>
      <c r="G720" s="29"/>
      <c r="H720" s="26"/>
    </row>
    <row r="721" ht="15.75" customHeight="1">
      <c r="A721" s="19">
        <v>720.0</v>
      </c>
      <c r="B721" s="32" t="s">
        <v>41</v>
      </c>
      <c r="C721" s="86" t="s">
        <v>1329</v>
      </c>
      <c r="D721" s="43" t="s">
        <v>1323</v>
      </c>
      <c r="E721" s="56"/>
      <c r="F721" s="68">
        <v>1.5638838643E10</v>
      </c>
      <c r="G721" s="29"/>
      <c r="H721" s="26"/>
    </row>
    <row r="722" ht="15.75" customHeight="1">
      <c r="A722" s="19">
        <v>721.0</v>
      </c>
      <c r="B722" s="32" t="s">
        <v>41</v>
      </c>
      <c r="C722" s="89" t="s">
        <v>1330</v>
      </c>
      <c r="D722" s="43" t="s">
        <v>1323</v>
      </c>
      <c r="E722" s="33" t="s">
        <v>1331</v>
      </c>
      <c r="F722" s="68">
        <v>1.670216217E9</v>
      </c>
      <c r="G722" s="29"/>
      <c r="H722" s="26"/>
    </row>
    <row r="723" ht="15.75" customHeight="1">
      <c r="A723" s="19">
        <v>722.0</v>
      </c>
      <c r="B723" s="32" t="s">
        <v>41</v>
      </c>
      <c r="C723" s="86" t="s">
        <v>1332</v>
      </c>
      <c r="D723" s="43" t="s">
        <v>1323</v>
      </c>
      <c r="E723" s="56"/>
      <c r="F723" s="68">
        <v>2.40200527E9</v>
      </c>
      <c r="G723" s="29"/>
      <c r="H723" s="26"/>
    </row>
    <row r="724" ht="15.75" customHeight="1">
      <c r="A724" s="19">
        <v>723.0</v>
      </c>
      <c r="B724" s="32" t="s">
        <v>41</v>
      </c>
      <c r="C724" s="89" t="s">
        <v>1333</v>
      </c>
      <c r="D724" s="43" t="s">
        <v>1323</v>
      </c>
      <c r="E724" s="33" t="s">
        <v>1334</v>
      </c>
      <c r="F724" s="68">
        <v>1.2919360337E10</v>
      </c>
      <c r="G724" s="29"/>
      <c r="H724" s="26"/>
    </row>
    <row r="725" ht="15.75" customHeight="1">
      <c r="A725" s="21">
        <v>724.0</v>
      </c>
      <c r="B725" s="32" t="s">
        <v>41</v>
      </c>
      <c r="C725" s="89" t="s">
        <v>1335</v>
      </c>
      <c r="D725" s="43" t="s">
        <v>1323</v>
      </c>
      <c r="E725" s="33" t="s">
        <v>1336</v>
      </c>
      <c r="F725" s="68">
        <v>7.1439279101E10</v>
      </c>
      <c r="G725" s="29"/>
      <c r="H725" s="26"/>
    </row>
    <row r="726" ht="15.75" customHeight="1">
      <c r="A726" s="19">
        <v>725.0</v>
      </c>
      <c r="B726" s="32" t="s">
        <v>41</v>
      </c>
      <c r="C726" s="89" t="s">
        <v>1337</v>
      </c>
      <c r="D726" s="43" t="s">
        <v>1323</v>
      </c>
      <c r="E726" s="33" t="s">
        <v>1338</v>
      </c>
      <c r="F726" s="90">
        <v>7.1124015183E10</v>
      </c>
      <c r="G726" s="29"/>
      <c r="H726" s="26"/>
    </row>
    <row r="727" ht="15.75" customHeight="1">
      <c r="A727" s="19">
        <v>726.0</v>
      </c>
      <c r="B727" s="32" t="s">
        <v>41</v>
      </c>
      <c r="C727" s="86" t="s">
        <v>1339</v>
      </c>
      <c r="D727" s="43" t="s">
        <v>1340</v>
      </c>
      <c r="E727" s="77">
        <v>0.9840277777777777</v>
      </c>
      <c r="F727" s="68">
        <v>3.506672177E9</v>
      </c>
      <c r="G727" s="29"/>
      <c r="H727" s="26"/>
    </row>
    <row r="728" ht="15.75" customHeight="1">
      <c r="A728" s="19">
        <v>727.0</v>
      </c>
      <c r="B728" s="32" t="s">
        <v>41</v>
      </c>
      <c r="C728" s="86" t="s">
        <v>1341</v>
      </c>
      <c r="D728" s="43" t="s">
        <v>1340</v>
      </c>
      <c r="E728" s="56"/>
      <c r="F728" s="68">
        <v>6.2636186349E10</v>
      </c>
      <c r="G728" s="29"/>
      <c r="H728" s="26"/>
    </row>
    <row r="729" ht="15.75" customHeight="1">
      <c r="A729" s="19">
        <v>728.0</v>
      </c>
      <c r="B729" s="32" t="s">
        <v>41</v>
      </c>
      <c r="C729" s="86" t="s">
        <v>1342</v>
      </c>
      <c r="D729" s="43" t="s">
        <v>1323</v>
      </c>
      <c r="E729" s="56"/>
      <c r="F729" s="68">
        <v>8.6975501149E10</v>
      </c>
      <c r="G729" s="29"/>
      <c r="H729" s="26"/>
    </row>
    <row r="730" ht="15.75" customHeight="1">
      <c r="A730" s="19">
        <v>729.0</v>
      </c>
      <c r="B730" s="32" t="s">
        <v>41</v>
      </c>
      <c r="C730" s="86" t="s">
        <v>1343</v>
      </c>
      <c r="D730" s="43" t="s">
        <v>1323</v>
      </c>
      <c r="E730" s="56"/>
      <c r="F730" s="91"/>
      <c r="G730" s="29"/>
      <c r="H730" s="26"/>
    </row>
    <row r="731" ht="15.75" customHeight="1">
      <c r="A731" s="19">
        <v>730.0</v>
      </c>
      <c r="B731" s="32" t="s">
        <v>41</v>
      </c>
      <c r="C731" s="86" t="s">
        <v>1344</v>
      </c>
      <c r="D731" s="43" t="s">
        <v>1323</v>
      </c>
      <c r="E731" s="56"/>
      <c r="F731" s="68">
        <v>7.0231808186E10</v>
      </c>
      <c r="G731" s="29"/>
      <c r="H731" s="26"/>
    </row>
    <row r="732" ht="15.75" customHeight="1">
      <c r="A732" s="21">
        <v>731.0</v>
      </c>
      <c r="B732" s="32" t="s">
        <v>41</v>
      </c>
      <c r="C732" s="86" t="s">
        <v>1345</v>
      </c>
      <c r="D732" s="43" t="s">
        <v>1323</v>
      </c>
      <c r="E732" s="56"/>
      <c r="F732" s="68">
        <v>4.3687777166E10</v>
      </c>
      <c r="G732" s="29"/>
      <c r="H732" s="26"/>
    </row>
    <row r="733" ht="15.75" customHeight="1">
      <c r="A733" s="19">
        <v>732.0</v>
      </c>
      <c r="B733" s="32" t="s">
        <v>41</v>
      </c>
      <c r="C733" s="86" t="s">
        <v>1346</v>
      </c>
      <c r="D733" s="43" t="s">
        <v>1323</v>
      </c>
      <c r="E733" s="56"/>
      <c r="F733" s="91"/>
      <c r="G733" s="29"/>
      <c r="H733" s="26"/>
    </row>
    <row r="734" ht="15.75" customHeight="1">
      <c r="A734" s="21">
        <v>733.0</v>
      </c>
      <c r="B734" s="32" t="s">
        <v>41</v>
      </c>
      <c r="C734" s="86" t="s">
        <v>1347</v>
      </c>
      <c r="D734" s="43" t="s">
        <v>1323</v>
      </c>
      <c r="E734" s="56"/>
      <c r="F734" s="68">
        <v>7.555265117E9</v>
      </c>
      <c r="G734" s="29"/>
      <c r="H734" s="26"/>
    </row>
    <row r="735" ht="15.75" customHeight="1">
      <c r="A735" s="19">
        <v>734.0</v>
      </c>
      <c r="B735" s="32" t="s">
        <v>41</v>
      </c>
      <c r="C735" s="86" t="s">
        <v>1348</v>
      </c>
      <c r="D735" s="43" t="s">
        <v>1323</v>
      </c>
      <c r="E735" s="77">
        <v>0.9791666666666666</v>
      </c>
      <c r="F735" s="68">
        <v>7.122958019E10</v>
      </c>
      <c r="G735" s="29"/>
      <c r="H735" s="26"/>
    </row>
    <row r="736" ht="15.75" customHeight="1">
      <c r="A736" s="19">
        <v>735.0</v>
      </c>
      <c r="B736" s="32" t="s">
        <v>41</v>
      </c>
      <c r="C736" s="86" t="s">
        <v>1349</v>
      </c>
      <c r="D736" s="43" t="s">
        <v>1323</v>
      </c>
      <c r="E736" s="56"/>
      <c r="F736" s="91"/>
      <c r="G736" s="29"/>
      <c r="H736" s="26"/>
    </row>
    <row r="737" ht="15.75" customHeight="1">
      <c r="A737" s="19">
        <v>736.0</v>
      </c>
      <c r="B737" s="32" t="s">
        <v>41</v>
      </c>
      <c r="C737" s="86" t="s">
        <v>1350</v>
      </c>
      <c r="D737" s="43" t="s">
        <v>1323</v>
      </c>
      <c r="E737" s="77">
        <v>0.9763888888888889</v>
      </c>
      <c r="F737" s="68">
        <v>7.0478096194E10</v>
      </c>
      <c r="G737" s="29"/>
      <c r="H737" s="26"/>
    </row>
    <row r="738" ht="15.75" customHeight="1">
      <c r="A738" s="19">
        <v>737.0</v>
      </c>
      <c r="B738" s="32" t="s">
        <v>41</v>
      </c>
      <c r="C738" s="33" t="s">
        <v>1351</v>
      </c>
      <c r="D738" s="33" t="s">
        <v>538</v>
      </c>
      <c r="E738" s="33" t="s">
        <v>1352</v>
      </c>
      <c r="F738" s="32" t="s">
        <v>1353</v>
      </c>
      <c r="G738" s="29"/>
      <c r="H738" s="26"/>
    </row>
    <row r="739" ht="15.75" customHeight="1">
      <c r="A739" s="21">
        <v>738.0</v>
      </c>
      <c r="B739" s="32" t="s">
        <v>41</v>
      </c>
      <c r="C739" s="33" t="s">
        <v>1354</v>
      </c>
      <c r="D739" s="33" t="s">
        <v>538</v>
      </c>
      <c r="E739" s="33" t="s">
        <v>1355</v>
      </c>
      <c r="F739" s="32" t="s">
        <v>1356</v>
      </c>
      <c r="G739" s="29"/>
      <c r="H739" s="26"/>
    </row>
    <row r="740" ht="15.75" customHeight="1">
      <c r="A740" s="19">
        <v>739.0</v>
      </c>
      <c r="B740" s="32" t="s">
        <v>29</v>
      </c>
      <c r="C740" s="33" t="s">
        <v>1357</v>
      </c>
      <c r="D740" s="33" t="s">
        <v>842</v>
      </c>
      <c r="E740" s="33" t="s">
        <v>1120</v>
      </c>
      <c r="F740" s="32" t="s">
        <v>1358</v>
      </c>
      <c r="G740" s="29"/>
      <c r="H740" s="26"/>
    </row>
    <row r="741" ht="15.75" customHeight="1">
      <c r="A741" s="19">
        <v>740.0</v>
      </c>
      <c r="B741" s="32" t="s">
        <v>33</v>
      </c>
      <c r="C741" s="33" t="s">
        <v>1359</v>
      </c>
      <c r="D741" s="33" t="s">
        <v>250</v>
      </c>
      <c r="E741" s="33"/>
      <c r="F741" s="32" t="s">
        <v>1360</v>
      </c>
      <c r="G741" s="29"/>
      <c r="H741" s="26"/>
    </row>
    <row r="742" ht="15.75" customHeight="1">
      <c r="A742" s="19">
        <v>741.0</v>
      </c>
      <c r="B742" s="32" t="s">
        <v>82</v>
      </c>
      <c r="C742" s="33" t="s">
        <v>1361</v>
      </c>
      <c r="D742" s="33" t="s">
        <v>1362</v>
      </c>
      <c r="E742" s="56"/>
      <c r="F742" s="32">
        <v>9.252276912E10</v>
      </c>
      <c r="G742" s="29"/>
      <c r="H742" s="26"/>
    </row>
    <row r="743" ht="15.75" customHeight="1">
      <c r="A743" s="19">
        <v>742.0</v>
      </c>
      <c r="B743" s="32" t="s">
        <v>82</v>
      </c>
      <c r="C743" s="33" t="s">
        <v>1363</v>
      </c>
      <c r="D743" s="33" t="s">
        <v>1364</v>
      </c>
      <c r="E743" s="33" t="s">
        <v>1120</v>
      </c>
      <c r="F743" s="32">
        <v>1.00798152E8</v>
      </c>
      <c r="G743" s="29"/>
      <c r="H743" s="26"/>
    </row>
    <row r="744" ht="15.75" customHeight="1">
      <c r="A744" s="19">
        <v>743.0</v>
      </c>
      <c r="B744" s="32" t="s">
        <v>82</v>
      </c>
      <c r="C744" s="33" t="s">
        <v>1365</v>
      </c>
      <c r="D744" s="33" t="s">
        <v>1364</v>
      </c>
      <c r="E744" s="33" t="s">
        <v>1095</v>
      </c>
      <c r="F744" s="32">
        <v>9.9454068172E10</v>
      </c>
      <c r="G744" s="29"/>
      <c r="H744" s="26"/>
    </row>
    <row r="745" ht="15.75" customHeight="1">
      <c r="A745" s="19">
        <v>744.0</v>
      </c>
      <c r="B745" s="32" t="s">
        <v>82</v>
      </c>
      <c r="C745" s="33" t="s">
        <v>1366</v>
      </c>
      <c r="D745" s="33" t="s">
        <v>1364</v>
      </c>
      <c r="E745" s="56"/>
      <c r="F745" s="32">
        <v>4.99899601E10</v>
      </c>
      <c r="G745" s="29"/>
      <c r="H745" s="26"/>
    </row>
    <row r="746" ht="15.75" customHeight="1">
      <c r="A746" s="21">
        <v>745.0</v>
      </c>
      <c r="B746" s="32"/>
      <c r="C746" s="56"/>
      <c r="D746" s="56"/>
      <c r="E746" s="56"/>
      <c r="F746" s="56"/>
      <c r="G746" s="29"/>
      <c r="H746" s="26"/>
    </row>
    <row r="747" ht="15.75" customHeight="1">
      <c r="A747" s="19">
        <v>746.0</v>
      </c>
      <c r="B747" s="32" t="s">
        <v>82</v>
      </c>
      <c r="C747" s="33" t="s">
        <v>1367</v>
      </c>
      <c r="D747" s="33" t="s">
        <v>1368</v>
      </c>
      <c r="E747" s="33" t="s">
        <v>953</v>
      </c>
      <c r="F747" s="32" t="s">
        <v>1369</v>
      </c>
      <c r="G747" s="29"/>
      <c r="H747" s="26"/>
    </row>
    <row r="748" ht="15.75" customHeight="1">
      <c r="A748" s="21">
        <v>747.0</v>
      </c>
      <c r="B748" s="32" t="s">
        <v>83</v>
      </c>
      <c r="C748" s="33" t="s">
        <v>1370</v>
      </c>
      <c r="D748" s="33" t="s">
        <v>1371</v>
      </c>
      <c r="E748" s="56"/>
      <c r="F748" s="32" t="s">
        <v>1372</v>
      </c>
      <c r="G748" s="29"/>
      <c r="H748" s="26"/>
    </row>
    <row r="749" ht="15.75" customHeight="1">
      <c r="A749" s="19">
        <v>748.0</v>
      </c>
      <c r="B749" s="32" t="s">
        <v>83</v>
      </c>
      <c r="C749" s="33" t="s">
        <v>1373</v>
      </c>
      <c r="D749" s="33" t="s">
        <v>1374</v>
      </c>
      <c r="E749" s="33" t="s">
        <v>1095</v>
      </c>
      <c r="F749" s="32" t="s">
        <v>1375</v>
      </c>
      <c r="G749" s="29"/>
      <c r="H749" s="26"/>
    </row>
    <row r="750" ht="15.75" customHeight="1">
      <c r="A750" s="19">
        <v>749.0</v>
      </c>
      <c r="B750" s="32" t="s">
        <v>84</v>
      </c>
      <c r="C750" s="33" t="s">
        <v>1376</v>
      </c>
      <c r="D750" s="33" t="s">
        <v>1377</v>
      </c>
      <c r="E750" s="33" t="s">
        <v>953</v>
      </c>
      <c r="F750" s="32" t="s">
        <v>1378</v>
      </c>
      <c r="G750" s="29"/>
      <c r="H750" s="26"/>
    </row>
    <row r="751" ht="15.75" customHeight="1">
      <c r="A751" s="19">
        <v>750.0</v>
      </c>
      <c r="B751" s="32"/>
      <c r="C751" s="33" t="s">
        <v>1379</v>
      </c>
      <c r="D751" s="33" t="s">
        <v>170</v>
      </c>
      <c r="E751" s="33" t="s">
        <v>98</v>
      </c>
      <c r="F751" s="32" t="s">
        <v>1380</v>
      </c>
      <c r="G751" s="29"/>
      <c r="H751" s="26"/>
    </row>
    <row r="752" ht="15.75" customHeight="1">
      <c r="A752" s="19">
        <v>751.0</v>
      </c>
      <c r="B752" s="32"/>
      <c r="C752" s="33" t="s">
        <v>1381</v>
      </c>
      <c r="D752" s="33" t="s">
        <v>1382</v>
      </c>
      <c r="E752" s="33" t="s">
        <v>953</v>
      </c>
      <c r="F752" s="32" t="s">
        <v>1383</v>
      </c>
      <c r="G752" s="29"/>
      <c r="H752" s="26"/>
    </row>
    <row r="753" ht="15.75" customHeight="1">
      <c r="A753" s="21">
        <v>752.0</v>
      </c>
      <c r="B753" s="32" t="s">
        <v>58</v>
      </c>
      <c r="C753" s="33" t="s">
        <v>1384</v>
      </c>
      <c r="D753" s="33" t="s">
        <v>1385</v>
      </c>
      <c r="E753" s="33" t="s">
        <v>1120</v>
      </c>
      <c r="F753" s="33"/>
      <c r="G753" s="29"/>
      <c r="H753" s="26"/>
    </row>
    <row r="754" ht="15.75" customHeight="1">
      <c r="A754" s="19">
        <v>753.0</v>
      </c>
      <c r="B754" s="32" t="s">
        <v>22</v>
      </c>
      <c r="C754" s="33" t="s">
        <v>1386</v>
      </c>
      <c r="D754" s="33" t="s">
        <v>1387</v>
      </c>
      <c r="E754" s="33" t="s">
        <v>1388</v>
      </c>
      <c r="F754" s="33">
        <v>6.2881914349E10</v>
      </c>
      <c r="G754" s="29"/>
      <c r="H754" s="26"/>
    </row>
    <row r="755" ht="15.75" customHeight="1">
      <c r="A755" s="19">
        <v>754.0</v>
      </c>
      <c r="B755" s="32" t="s">
        <v>58</v>
      </c>
      <c r="C755" s="33" t="s">
        <v>1389</v>
      </c>
      <c r="D755" s="33" t="s">
        <v>538</v>
      </c>
      <c r="E755" s="33" t="s">
        <v>1095</v>
      </c>
      <c r="F755" s="33">
        <v>3.38258817E9</v>
      </c>
      <c r="G755" s="29"/>
      <c r="H755" s="26"/>
    </row>
    <row r="756" ht="15.75" customHeight="1">
      <c r="A756" s="19">
        <v>755.0</v>
      </c>
      <c r="B756" s="32" t="s">
        <v>50</v>
      </c>
      <c r="C756" s="33" t="s">
        <v>1390</v>
      </c>
      <c r="D756" s="33" t="s">
        <v>1391</v>
      </c>
      <c r="E756" s="33" t="s">
        <v>1095</v>
      </c>
      <c r="F756" s="32" t="s">
        <v>1392</v>
      </c>
      <c r="G756" s="29"/>
      <c r="H756" s="26"/>
    </row>
    <row r="757" ht="15.75" customHeight="1">
      <c r="A757" s="19">
        <v>756.0</v>
      </c>
      <c r="B757" s="32" t="s">
        <v>50</v>
      </c>
      <c r="C757" s="33" t="s">
        <v>1393</v>
      </c>
      <c r="D757" s="33" t="s">
        <v>250</v>
      </c>
      <c r="E757" s="33" t="s">
        <v>953</v>
      </c>
      <c r="F757" s="32" t="s">
        <v>1394</v>
      </c>
      <c r="G757" s="29"/>
      <c r="H757" s="26"/>
    </row>
    <row r="758" ht="15.75" customHeight="1">
      <c r="A758" s="19">
        <v>757.0</v>
      </c>
      <c r="B758" s="32" t="s">
        <v>50</v>
      </c>
      <c r="C758" s="33" t="s">
        <v>1395</v>
      </c>
      <c r="D758" s="33" t="s">
        <v>538</v>
      </c>
      <c r="E758" s="33" t="s">
        <v>953</v>
      </c>
      <c r="F758" s="33" t="s">
        <v>1396</v>
      </c>
      <c r="G758" s="29"/>
      <c r="H758" s="26"/>
    </row>
    <row r="759" ht="15.75" customHeight="1">
      <c r="A759" s="19">
        <v>758.0</v>
      </c>
      <c r="B759" s="32" t="s">
        <v>50</v>
      </c>
      <c r="C759" s="33" t="s">
        <v>1397</v>
      </c>
      <c r="D759" s="33" t="s">
        <v>538</v>
      </c>
      <c r="E759" s="33" t="s">
        <v>953</v>
      </c>
      <c r="F759" s="33" t="s">
        <v>1398</v>
      </c>
      <c r="G759" s="29"/>
      <c r="H759" s="26"/>
    </row>
    <row r="760" ht="15.75" customHeight="1">
      <c r="A760" s="21">
        <v>759.0</v>
      </c>
      <c r="B760" s="32" t="s">
        <v>58</v>
      </c>
      <c r="C760" s="33" t="s">
        <v>1399</v>
      </c>
      <c r="D760" s="33" t="s">
        <v>842</v>
      </c>
      <c r="E760" s="33" t="s">
        <v>1120</v>
      </c>
      <c r="F760" s="33">
        <v>7.0846322129E10</v>
      </c>
      <c r="G760" s="29"/>
      <c r="H760" s="26"/>
    </row>
    <row r="761" ht="15.75" customHeight="1">
      <c r="A761" s="19">
        <v>760.0</v>
      </c>
      <c r="B761" s="32"/>
      <c r="C761" s="56"/>
      <c r="D761" s="56"/>
      <c r="E761" s="56"/>
      <c r="F761" s="56"/>
      <c r="G761" s="29"/>
      <c r="H761" s="26"/>
    </row>
    <row r="762" ht="15.75" customHeight="1">
      <c r="A762" s="21">
        <v>761.0</v>
      </c>
      <c r="B762" s="32" t="s">
        <v>58</v>
      </c>
      <c r="C762" s="33" t="s">
        <v>1400</v>
      </c>
      <c r="D762" s="33" t="s">
        <v>566</v>
      </c>
      <c r="E762" s="33" t="s">
        <v>115</v>
      </c>
      <c r="F762" s="33">
        <v>7.1210515164E10</v>
      </c>
      <c r="G762" s="29"/>
      <c r="H762" s="26"/>
    </row>
    <row r="763" ht="15.75" customHeight="1">
      <c r="A763" s="19">
        <v>762.0</v>
      </c>
      <c r="B763" s="32" t="s">
        <v>58</v>
      </c>
      <c r="C763" s="33" t="s">
        <v>1401</v>
      </c>
      <c r="D763" s="33" t="s">
        <v>771</v>
      </c>
      <c r="E763" s="33" t="s">
        <v>1095</v>
      </c>
      <c r="F763" s="33" t="s">
        <v>1402</v>
      </c>
      <c r="G763" s="29"/>
      <c r="H763" s="26"/>
    </row>
    <row r="764" ht="15.75" customHeight="1">
      <c r="A764" s="19">
        <v>763.0</v>
      </c>
      <c r="B764" s="32" t="s">
        <v>58</v>
      </c>
      <c r="C764" s="33" t="s">
        <v>1403</v>
      </c>
      <c r="D764" s="33" t="s">
        <v>566</v>
      </c>
      <c r="E764" s="56"/>
      <c r="F764" s="33">
        <v>2.82999213E9</v>
      </c>
      <c r="G764" s="29"/>
      <c r="H764" s="26"/>
    </row>
    <row r="765" ht="15.75" customHeight="1">
      <c r="A765" s="19">
        <v>764.0</v>
      </c>
      <c r="B765" s="32" t="s">
        <v>58</v>
      </c>
      <c r="C765" s="33" t="s">
        <v>1404</v>
      </c>
      <c r="D765" s="33" t="s">
        <v>771</v>
      </c>
      <c r="E765" s="33" t="s">
        <v>1095</v>
      </c>
      <c r="F765" s="33" t="s">
        <v>1405</v>
      </c>
      <c r="G765" s="29"/>
      <c r="H765" s="26"/>
    </row>
    <row r="766" ht="15.75" customHeight="1">
      <c r="A766" s="19">
        <v>765.0</v>
      </c>
      <c r="B766" s="32" t="s">
        <v>41</v>
      </c>
      <c r="C766" s="33" t="s">
        <v>1406</v>
      </c>
      <c r="D766" s="33" t="s">
        <v>538</v>
      </c>
      <c r="E766" s="33" t="s">
        <v>1407</v>
      </c>
      <c r="F766" s="33" t="s">
        <v>1408</v>
      </c>
      <c r="G766" s="29"/>
      <c r="H766" s="26"/>
    </row>
    <row r="767" ht="15.75" customHeight="1">
      <c r="A767" s="21">
        <v>766.0</v>
      </c>
      <c r="B767" s="32" t="s">
        <v>41</v>
      </c>
      <c r="C767" s="33" t="s">
        <v>1409</v>
      </c>
      <c r="D767" s="33" t="s">
        <v>538</v>
      </c>
      <c r="E767" s="33" t="s">
        <v>1120</v>
      </c>
      <c r="F767" s="33">
        <v>7.0231808186E10</v>
      </c>
      <c r="G767" s="29"/>
      <c r="H767" s="26"/>
    </row>
    <row r="768" ht="15.75" customHeight="1">
      <c r="A768" s="19">
        <v>767.0</v>
      </c>
      <c r="B768" s="32"/>
      <c r="C768" s="56"/>
      <c r="D768" s="56"/>
      <c r="E768" s="56"/>
      <c r="F768" s="56"/>
      <c r="G768" s="29"/>
      <c r="H768" s="26"/>
    </row>
    <row r="769" ht="15.75" customHeight="1">
      <c r="A769" s="19">
        <v>768.0</v>
      </c>
      <c r="B769" s="32" t="s">
        <v>58</v>
      </c>
      <c r="C769" s="33" t="s">
        <v>1410</v>
      </c>
      <c r="D769" s="33" t="s">
        <v>1315</v>
      </c>
      <c r="E769" s="56"/>
      <c r="F769" s="33">
        <v>7.0715116169E10</v>
      </c>
      <c r="G769" s="29"/>
      <c r="H769" s="26"/>
    </row>
    <row r="770" ht="15.75" customHeight="1">
      <c r="A770" s="19">
        <v>769.0</v>
      </c>
      <c r="B770" s="32" t="s">
        <v>41</v>
      </c>
      <c r="C770" s="33" t="s">
        <v>1411</v>
      </c>
      <c r="D770" s="33" t="s">
        <v>538</v>
      </c>
      <c r="E770" s="33" t="s">
        <v>1412</v>
      </c>
      <c r="F770" s="33">
        <v>1.1404328262E10</v>
      </c>
      <c r="G770" s="29"/>
      <c r="H770" s="26"/>
    </row>
    <row r="771" ht="15.75" customHeight="1">
      <c r="A771" s="19">
        <v>770.0</v>
      </c>
      <c r="B771" s="32" t="s">
        <v>58</v>
      </c>
      <c r="C771" s="33" t="s">
        <v>1413</v>
      </c>
      <c r="D771" s="33" t="s">
        <v>1315</v>
      </c>
      <c r="E771" s="33" t="s">
        <v>1120</v>
      </c>
      <c r="F771" s="33">
        <v>7.0046150145E10</v>
      </c>
      <c r="G771" s="29"/>
      <c r="H771" s="26"/>
    </row>
    <row r="772" ht="15.75" customHeight="1">
      <c r="A772" s="19">
        <v>771.0</v>
      </c>
      <c r="B772" s="32" t="s">
        <v>41</v>
      </c>
      <c r="C772" s="33" t="s">
        <v>1414</v>
      </c>
      <c r="D772" s="33" t="s">
        <v>1415</v>
      </c>
      <c r="E772" s="33" t="s">
        <v>1352</v>
      </c>
      <c r="F772" s="33">
        <v>5.067432179E9</v>
      </c>
      <c r="G772" s="29"/>
      <c r="H772" s="26"/>
    </row>
    <row r="773" ht="15.75" customHeight="1">
      <c r="A773" s="19">
        <v>772.0</v>
      </c>
      <c r="B773" s="32" t="s">
        <v>41</v>
      </c>
      <c r="C773" s="33" t="s">
        <v>1416</v>
      </c>
      <c r="D773" s="33" t="s">
        <v>1417</v>
      </c>
      <c r="E773" s="33" t="s">
        <v>1418</v>
      </c>
      <c r="F773" s="33" t="s">
        <v>1419</v>
      </c>
      <c r="G773" s="29"/>
      <c r="H773" s="26"/>
    </row>
    <row r="774" ht="15.75" customHeight="1">
      <c r="A774" s="21">
        <v>773.0</v>
      </c>
      <c r="B774" s="32" t="s">
        <v>41</v>
      </c>
      <c r="C774" s="33" t="s">
        <v>1420</v>
      </c>
      <c r="D774" s="33" t="s">
        <v>538</v>
      </c>
      <c r="E774" s="33" t="s">
        <v>1421</v>
      </c>
      <c r="F774" s="33">
        <v>7.063447815E10</v>
      </c>
      <c r="G774" s="29"/>
      <c r="H774" s="26"/>
    </row>
    <row r="775" ht="15.75" customHeight="1">
      <c r="A775" s="19">
        <v>774.0</v>
      </c>
      <c r="B775" s="32" t="s">
        <v>85</v>
      </c>
      <c r="C775" s="33" t="s">
        <v>1422</v>
      </c>
      <c r="D775" s="33" t="s">
        <v>1423</v>
      </c>
      <c r="E775" s="33" t="s">
        <v>1424</v>
      </c>
      <c r="F775" s="32" t="s">
        <v>1425</v>
      </c>
      <c r="G775" s="29"/>
      <c r="H775" s="26"/>
    </row>
    <row r="776" ht="15.75" customHeight="1">
      <c r="A776" s="21">
        <v>775.0</v>
      </c>
      <c r="B776" s="32" t="s">
        <v>85</v>
      </c>
      <c r="C776" s="33" t="s">
        <v>390</v>
      </c>
      <c r="D776" s="33" t="s">
        <v>1426</v>
      </c>
      <c r="E776" s="33" t="s">
        <v>953</v>
      </c>
      <c r="F776" s="33">
        <v>7.3245771134E10</v>
      </c>
      <c r="G776" s="29"/>
      <c r="H776" s="26"/>
    </row>
    <row r="777" ht="15.75" customHeight="1">
      <c r="A777" s="19">
        <v>776.0</v>
      </c>
      <c r="B777" s="32" t="s">
        <v>41</v>
      </c>
      <c r="C777" s="33" t="s">
        <v>1427</v>
      </c>
      <c r="D777" s="33" t="s">
        <v>1315</v>
      </c>
      <c r="E777" s="33" t="s">
        <v>1428</v>
      </c>
      <c r="F777" s="33">
        <v>1.0652355692E10</v>
      </c>
      <c r="G777" s="29"/>
      <c r="H777" s="26"/>
    </row>
    <row r="778" ht="15.75" customHeight="1">
      <c r="A778" s="19">
        <v>777.0</v>
      </c>
      <c r="B778" s="32" t="s">
        <v>85</v>
      </c>
      <c r="C778" s="33" t="s">
        <v>1429</v>
      </c>
      <c r="D778" s="33" t="s">
        <v>1430</v>
      </c>
      <c r="E778" s="33" t="s">
        <v>1431</v>
      </c>
      <c r="F778" s="32" t="s">
        <v>389</v>
      </c>
      <c r="G778" s="29"/>
      <c r="H778" s="26"/>
    </row>
    <row r="779" ht="15.75" customHeight="1">
      <c r="A779" s="19">
        <v>778.0</v>
      </c>
      <c r="B779" s="32" t="s">
        <v>41</v>
      </c>
      <c r="C779" s="33" t="s">
        <v>1432</v>
      </c>
      <c r="D779" s="33" t="s">
        <v>1315</v>
      </c>
      <c r="E779" s="33" t="s">
        <v>1428</v>
      </c>
      <c r="F779" s="33">
        <v>6.1158369301E10</v>
      </c>
      <c r="G779" s="29"/>
      <c r="H779" s="26"/>
    </row>
    <row r="780" ht="15.75" customHeight="1">
      <c r="A780" s="19">
        <v>779.0</v>
      </c>
      <c r="B780" s="32" t="s">
        <v>41</v>
      </c>
      <c r="C780" s="33" t="s">
        <v>1433</v>
      </c>
      <c r="D780" s="33" t="s">
        <v>1315</v>
      </c>
      <c r="E780" s="33" t="s">
        <v>1434</v>
      </c>
      <c r="F780" s="33">
        <v>4.555477189E9</v>
      </c>
      <c r="G780" s="29"/>
      <c r="H780" s="26"/>
    </row>
    <row r="781" ht="15.75" customHeight="1">
      <c r="A781" s="21">
        <v>780.0</v>
      </c>
      <c r="B781" s="32" t="s">
        <v>41</v>
      </c>
      <c r="C781" s="33" t="s">
        <v>1435</v>
      </c>
      <c r="D781" s="33" t="s">
        <v>1315</v>
      </c>
      <c r="E781" s="33" t="s">
        <v>1421</v>
      </c>
      <c r="F781" s="33" t="s">
        <v>1436</v>
      </c>
      <c r="G781" s="29"/>
      <c r="H781" s="26"/>
    </row>
    <row r="782" ht="15.75" customHeight="1">
      <c r="A782" s="19">
        <v>781.0</v>
      </c>
      <c r="B782" s="32" t="s">
        <v>41</v>
      </c>
      <c r="C782" s="33" t="s">
        <v>1437</v>
      </c>
      <c r="D782" s="33" t="s">
        <v>1315</v>
      </c>
      <c r="E782" s="33" t="s">
        <v>1421</v>
      </c>
      <c r="F782" s="33">
        <v>8.6850146548E10</v>
      </c>
      <c r="G782" s="29"/>
      <c r="H782" s="26"/>
    </row>
    <row r="783" ht="15.75" customHeight="1">
      <c r="A783" s="19">
        <v>782.0</v>
      </c>
      <c r="B783" s="32" t="s">
        <v>41</v>
      </c>
      <c r="C783" s="33" t="s">
        <v>1438</v>
      </c>
      <c r="D783" s="33" t="s">
        <v>538</v>
      </c>
      <c r="E783" s="33" t="s">
        <v>1412</v>
      </c>
      <c r="F783" s="33">
        <v>2.40200527E9</v>
      </c>
      <c r="G783" s="29"/>
      <c r="H783" s="26"/>
    </row>
    <row r="784" ht="15.75" customHeight="1">
      <c r="A784" s="19">
        <v>783.0</v>
      </c>
      <c r="B784" s="32" t="s">
        <v>35</v>
      </c>
      <c r="C784" s="33" t="s">
        <v>1439</v>
      </c>
      <c r="D784" s="33" t="s">
        <v>1440</v>
      </c>
      <c r="E784" s="33" t="s">
        <v>1095</v>
      </c>
      <c r="F784" s="33">
        <v>2.88346157E8</v>
      </c>
      <c r="G784" s="29"/>
      <c r="H784" s="26"/>
    </row>
    <row r="785" ht="15.75" customHeight="1">
      <c r="A785" s="19">
        <v>784.0</v>
      </c>
      <c r="B785" s="32" t="s">
        <v>53</v>
      </c>
      <c r="C785" s="33" t="s">
        <v>1441</v>
      </c>
      <c r="D785" s="33" t="s">
        <v>1315</v>
      </c>
      <c r="E785" s="33" t="s">
        <v>1442</v>
      </c>
      <c r="F785" s="33">
        <v>3.011880174E9</v>
      </c>
      <c r="G785" s="29"/>
      <c r="H785" s="26"/>
    </row>
    <row r="786" ht="15.75" customHeight="1">
      <c r="A786" s="19">
        <v>785.0</v>
      </c>
      <c r="B786" s="32" t="s">
        <v>41</v>
      </c>
      <c r="C786" s="33" t="s">
        <v>1443</v>
      </c>
      <c r="D786" s="33" t="s">
        <v>1315</v>
      </c>
      <c r="E786" s="33" t="s">
        <v>1444</v>
      </c>
      <c r="F786" s="33">
        <v>7.1385915196E10</v>
      </c>
      <c r="G786" s="29"/>
      <c r="H786" s="26"/>
    </row>
    <row r="787" ht="15.75" customHeight="1">
      <c r="A787" s="19">
        <v>786.0</v>
      </c>
      <c r="B787" s="32" t="s">
        <v>41</v>
      </c>
      <c r="C787" s="33" t="s">
        <v>1445</v>
      </c>
      <c r="D787" s="33" t="s">
        <v>1315</v>
      </c>
      <c r="E787" s="33" t="s">
        <v>1444</v>
      </c>
      <c r="F787" s="33">
        <v>7.1433261197E10</v>
      </c>
      <c r="G787" s="29"/>
      <c r="H787" s="26"/>
    </row>
    <row r="788" ht="15.75" customHeight="1">
      <c r="A788" s="21">
        <v>787.0</v>
      </c>
      <c r="B788" s="32" t="s">
        <v>29</v>
      </c>
      <c r="C788" s="33" t="s">
        <v>1446</v>
      </c>
      <c r="D788" s="33" t="s">
        <v>1447</v>
      </c>
      <c r="E788" s="33" t="s">
        <v>953</v>
      </c>
      <c r="F788" s="33" t="s">
        <v>1448</v>
      </c>
      <c r="G788" s="29"/>
      <c r="H788" s="26"/>
    </row>
    <row r="789" ht="15.75" customHeight="1">
      <c r="A789" s="19">
        <v>788.0</v>
      </c>
      <c r="B789" s="32" t="s">
        <v>32</v>
      </c>
      <c r="C789" s="33" t="s">
        <v>1449</v>
      </c>
      <c r="D789" s="33" t="s">
        <v>170</v>
      </c>
      <c r="E789" s="33" t="s">
        <v>953</v>
      </c>
      <c r="F789" s="33" t="s">
        <v>1450</v>
      </c>
      <c r="G789" s="29"/>
      <c r="H789" s="26"/>
    </row>
    <row r="790" ht="15.75" customHeight="1">
      <c r="A790" s="21">
        <v>789.0</v>
      </c>
      <c r="B790" s="32" t="s">
        <v>29</v>
      </c>
      <c r="C790" s="33" t="s">
        <v>1451</v>
      </c>
      <c r="D790" s="33" t="s">
        <v>1447</v>
      </c>
      <c r="E790" s="33" t="s">
        <v>953</v>
      </c>
      <c r="F790" s="33">
        <v>2.434037127E9</v>
      </c>
      <c r="G790" s="29"/>
      <c r="H790" s="26"/>
    </row>
    <row r="791" ht="15.75" customHeight="1">
      <c r="A791" s="19">
        <v>790.0</v>
      </c>
      <c r="B791" s="32" t="s">
        <v>86</v>
      </c>
      <c r="C791" s="33" t="s">
        <v>1452</v>
      </c>
      <c r="D791" s="33" t="s">
        <v>1453</v>
      </c>
      <c r="E791" s="33" t="s">
        <v>953</v>
      </c>
      <c r="F791" s="33">
        <v>1.482180162E9</v>
      </c>
      <c r="G791" s="29"/>
      <c r="H791" s="26"/>
    </row>
    <row r="792" ht="15.75" customHeight="1">
      <c r="A792" s="19">
        <v>791.0</v>
      </c>
      <c r="B792" s="32" t="s">
        <v>86</v>
      </c>
      <c r="C792" s="33" t="s">
        <v>1454</v>
      </c>
      <c r="D792" s="33" t="s">
        <v>1453</v>
      </c>
      <c r="E792" s="33" t="s">
        <v>953</v>
      </c>
      <c r="F792" s="33">
        <v>7.340521119E9</v>
      </c>
      <c r="G792" s="29"/>
      <c r="H792" s="26"/>
    </row>
    <row r="793" ht="15.75" customHeight="1">
      <c r="A793" s="19">
        <v>792.0</v>
      </c>
      <c r="B793" s="32" t="s">
        <v>29</v>
      </c>
      <c r="C793" s="33" t="s">
        <v>1455</v>
      </c>
      <c r="D793" s="33" t="s">
        <v>1447</v>
      </c>
      <c r="E793" s="33" t="s">
        <v>953</v>
      </c>
      <c r="F793" s="33" t="s">
        <v>1456</v>
      </c>
      <c r="G793" s="29"/>
      <c r="H793" s="26"/>
    </row>
    <row r="794" ht="15.75" customHeight="1">
      <c r="A794" s="19">
        <v>793.0</v>
      </c>
      <c r="B794" s="32" t="s">
        <v>11</v>
      </c>
      <c r="C794" s="33" t="s">
        <v>1457</v>
      </c>
      <c r="D794" s="33" t="s">
        <v>250</v>
      </c>
      <c r="E794" s="56"/>
      <c r="F794" s="33">
        <v>2.412117195E9</v>
      </c>
      <c r="G794" s="29"/>
      <c r="H794" s="26"/>
    </row>
    <row r="795" ht="15.75" customHeight="1">
      <c r="A795" s="21">
        <v>794.0</v>
      </c>
      <c r="B795" s="32" t="s">
        <v>21</v>
      </c>
      <c r="C795" s="33" t="s">
        <v>1458</v>
      </c>
      <c r="D795" s="33" t="s">
        <v>1459</v>
      </c>
      <c r="E795" s="56"/>
      <c r="F795" s="33">
        <v>9.0800303172E10</v>
      </c>
      <c r="G795" s="29"/>
      <c r="H795" s="26"/>
    </row>
    <row r="796" ht="15.75" customHeight="1">
      <c r="A796" s="19">
        <v>795.0</v>
      </c>
      <c r="B796" s="32" t="s">
        <v>41</v>
      </c>
      <c r="C796" s="33" t="s">
        <v>1460</v>
      </c>
      <c r="D796" s="33" t="s">
        <v>538</v>
      </c>
      <c r="E796" s="56"/>
      <c r="F796" s="33">
        <v>7.87151211E9</v>
      </c>
      <c r="G796" s="29"/>
      <c r="H796" s="26"/>
    </row>
    <row r="797" ht="15.75" customHeight="1">
      <c r="A797" s="19">
        <v>796.0</v>
      </c>
      <c r="B797" s="32" t="s">
        <v>41</v>
      </c>
      <c r="C797" s="33" t="s">
        <v>1461</v>
      </c>
      <c r="D797" s="33" t="s">
        <v>538</v>
      </c>
      <c r="E797" s="56"/>
      <c r="F797" s="33">
        <v>2.232399176E9</v>
      </c>
      <c r="G797" s="29"/>
      <c r="H797" s="26"/>
    </row>
    <row r="798" ht="15.75" customHeight="1">
      <c r="A798" s="19">
        <v>797.0</v>
      </c>
      <c r="B798" s="32" t="s">
        <v>41</v>
      </c>
      <c r="C798" s="33" t="s">
        <v>1462</v>
      </c>
      <c r="D798" s="33" t="s">
        <v>241</v>
      </c>
      <c r="E798" s="56"/>
      <c r="F798" s="33">
        <v>6.40143121E9</v>
      </c>
      <c r="G798" s="29"/>
      <c r="H798" s="26"/>
    </row>
    <row r="799" ht="15.75" customHeight="1">
      <c r="A799" s="19">
        <v>798.0</v>
      </c>
      <c r="B799" s="32" t="s">
        <v>15</v>
      </c>
      <c r="C799" s="33" t="s">
        <v>1463</v>
      </c>
      <c r="D799" s="33" t="s">
        <v>139</v>
      </c>
      <c r="E799" s="56"/>
      <c r="F799" s="33">
        <v>7.5967570144E10</v>
      </c>
      <c r="G799" s="29"/>
      <c r="H799" s="26"/>
    </row>
    <row r="800" ht="15.75" customHeight="1">
      <c r="A800" s="19">
        <v>799.0</v>
      </c>
      <c r="B800" s="32" t="s">
        <v>29</v>
      </c>
      <c r="C800" s="92" t="s">
        <v>1464</v>
      </c>
      <c r="D800" s="92" t="s">
        <v>930</v>
      </c>
      <c r="E800" s="56"/>
      <c r="F800" s="92" t="s">
        <v>1465</v>
      </c>
      <c r="G800" s="29"/>
      <c r="H800" s="26"/>
    </row>
    <row r="801" ht="15.75" customHeight="1">
      <c r="A801" s="19">
        <v>800.0</v>
      </c>
      <c r="B801" s="32" t="s">
        <v>29</v>
      </c>
      <c r="C801" s="92" t="s">
        <v>1466</v>
      </c>
      <c r="D801" s="92" t="s">
        <v>930</v>
      </c>
      <c r="E801" s="56"/>
      <c r="F801" s="92" t="s">
        <v>1467</v>
      </c>
      <c r="G801" s="29"/>
      <c r="H801" s="26"/>
    </row>
    <row r="802" ht="15.75" customHeight="1">
      <c r="A802" s="21">
        <v>801.0</v>
      </c>
      <c r="B802" s="32" t="s">
        <v>29</v>
      </c>
      <c r="C802" s="92" t="s">
        <v>1468</v>
      </c>
      <c r="D802" s="92" t="s">
        <v>930</v>
      </c>
      <c r="E802" s="56"/>
      <c r="F802" s="92" t="s">
        <v>1469</v>
      </c>
      <c r="G802" s="29"/>
      <c r="H802" s="26"/>
    </row>
    <row r="803" ht="15.75" customHeight="1">
      <c r="A803" s="19">
        <v>802.0</v>
      </c>
      <c r="B803" s="32" t="s">
        <v>29</v>
      </c>
      <c r="C803" s="92" t="s">
        <v>1470</v>
      </c>
      <c r="D803" s="92" t="s">
        <v>930</v>
      </c>
      <c r="E803" s="56"/>
      <c r="F803" s="92" t="s">
        <v>1471</v>
      </c>
      <c r="G803" s="29"/>
      <c r="H803" s="26"/>
    </row>
    <row r="804" ht="15.75" customHeight="1">
      <c r="A804" s="21">
        <v>803.0</v>
      </c>
      <c r="B804" s="32" t="s">
        <v>29</v>
      </c>
      <c r="C804" s="92" t="s">
        <v>1472</v>
      </c>
      <c r="D804" s="92" t="s">
        <v>930</v>
      </c>
      <c r="E804" s="56"/>
      <c r="F804" s="92" t="s">
        <v>1473</v>
      </c>
      <c r="G804" s="29"/>
      <c r="H804" s="26"/>
    </row>
    <row r="805" ht="15.75" customHeight="1">
      <c r="A805" s="19">
        <v>804.0</v>
      </c>
      <c r="B805" s="32" t="s">
        <v>29</v>
      </c>
      <c r="C805" s="92" t="s">
        <v>1474</v>
      </c>
      <c r="D805" s="92" t="s">
        <v>930</v>
      </c>
      <c r="E805" s="56"/>
      <c r="F805" s="92" t="s">
        <v>1475</v>
      </c>
      <c r="G805" s="29"/>
      <c r="H805" s="26"/>
    </row>
    <row r="806" ht="15.75" customHeight="1">
      <c r="A806" s="19">
        <v>805.0</v>
      </c>
      <c r="B806" s="32" t="s">
        <v>29</v>
      </c>
      <c r="C806" s="92" t="s">
        <v>1476</v>
      </c>
      <c r="D806" s="92" t="s">
        <v>930</v>
      </c>
      <c r="E806" s="56"/>
      <c r="F806" s="92" t="s">
        <v>1358</v>
      </c>
      <c r="G806" s="29"/>
      <c r="H806" s="26"/>
    </row>
    <row r="807" ht="15.75" customHeight="1">
      <c r="A807" s="19">
        <v>806.0</v>
      </c>
      <c r="B807" s="32" t="s">
        <v>29</v>
      </c>
      <c r="C807" s="92" t="s">
        <v>1477</v>
      </c>
      <c r="D807" s="92" t="s">
        <v>930</v>
      </c>
      <c r="E807" s="56"/>
      <c r="F807" s="92" t="s">
        <v>1478</v>
      </c>
      <c r="G807" s="29"/>
      <c r="H807" s="26"/>
    </row>
    <row r="808" ht="15.75" customHeight="1">
      <c r="A808" s="19">
        <v>807.0</v>
      </c>
      <c r="B808" s="32" t="s">
        <v>29</v>
      </c>
      <c r="C808" s="86" t="s">
        <v>906</v>
      </c>
      <c r="D808" s="86" t="s">
        <v>907</v>
      </c>
      <c r="E808" s="56"/>
      <c r="F808" s="68" t="s">
        <v>908</v>
      </c>
      <c r="G808" s="29"/>
      <c r="H808" s="26"/>
    </row>
    <row r="809" ht="15.75" customHeight="1">
      <c r="A809" s="21">
        <v>808.0</v>
      </c>
      <c r="B809" s="32" t="s">
        <v>29</v>
      </c>
      <c r="C809" s="86" t="s">
        <v>909</v>
      </c>
      <c r="D809" s="86" t="s">
        <v>907</v>
      </c>
      <c r="E809" s="56"/>
      <c r="F809" s="68" t="s">
        <v>910</v>
      </c>
      <c r="G809" s="29"/>
      <c r="H809" s="26"/>
    </row>
    <row r="810" ht="15.75" customHeight="1">
      <c r="A810" s="19">
        <v>809.0</v>
      </c>
      <c r="B810" s="32" t="s">
        <v>29</v>
      </c>
      <c r="C810" s="86" t="s">
        <v>911</v>
      </c>
      <c r="D810" s="86" t="s">
        <v>907</v>
      </c>
      <c r="E810" s="56"/>
      <c r="F810" s="68" t="s">
        <v>912</v>
      </c>
      <c r="G810" s="29"/>
      <c r="H810" s="26"/>
    </row>
    <row r="811" ht="15.75" customHeight="1">
      <c r="A811" s="19">
        <v>810.0</v>
      </c>
      <c r="B811" s="32" t="s">
        <v>29</v>
      </c>
      <c r="C811" s="86" t="s">
        <v>913</v>
      </c>
      <c r="D811" s="86" t="s">
        <v>907</v>
      </c>
      <c r="E811" s="56"/>
      <c r="F811" s="68" t="s">
        <v>914</v>
      </c>
      <c r="G811" s="29"/>
      <c r="H811" s="26"/>
    </row>
    <row r="812" ht="15.75" customHeight="1">
      <c r="A812" s="19">
        <v>811.0</v>
      </c>
      <c r="B812" s="32" t="s">
        <v>29</v>
      </c>
      <c r="C812" s="86" t="s">
        <v>915</v>
      </c>
      <c r="D812" s="86" t="s">
        <v>907</v>
      </c>
      <c r="E812" s="56"/>
      <c r="F812" s="68" t="s">
        <v>916</v>
      </c>
      <c r="G812" s="29"/>
      <c r="H812" s="26"/>
    </row>
    <row r="813" ht="15.75" customHeight="1">
      <c r="A813" s="19">
        <v>812.0</v>
      </c>
      <c r="B813" s="32" t="s">
        <v>29</v>
      </c>
      <c r="C813" s="86" t="s">
        <v>917</v>
      </c>
      <c r="D813" s="86" t="s">
        <v>907</v>
      </c>
      <c r="E813" s="56"/>
      <c r="F813" s="68" t="s">
        <v>918</v>
      </c>
      <c r="G813" s="29"/>
      <c r="H813" s="26"/>
    </row>
    <row r="814" ht="15.75" customHeight="1">
      <c r="A814" s="19">
        <v>813.0</v>
      </c>
      <c r="B814" s="32" t="s">
        <v>29</v>
      </c>
      <c r="C814" s="86" t="s">
        <v>917</v>
      </c>
      <c r="D814" s="86" t="s">
        <v>919</v>
      </c>
      <c r="E814" s="56"/>
      <c r="F814" s="68" t="s">
        <v>918</v>
      </c>
      <c r="G814" s="29"/>
      <c r="H814" s="26"/>
    </row>
    <row r="815" ht="15.75" customHeight="1">
      <c r="A815" s="19">
        <v>814.0</v>
      </c>
      <c r="B815" s="32" t="s">
        <v>29</v>
      </c>
      <c r="C815" s="86" t="s">
        <v>920</v>
      </c>
      <c r="D815" s="86" t="s">
        <v>907</v>
      </c>
      <c r="E815" s="56"/>
      <c r="F815" s="68" t="s">
        <v>921</v>
      </c>
      <c r="G815" s="29"/>
      <c r="H815" s="26"/>
    </row>
    <row r="816" ht="15.75" customHeight="1">
      <c r="A816" s="21">
        <v>815.0</v>
      </c>
      <c r="B816" s="32" t="s">
        <v>29</v>
      </c>
      <c r="C816" s="86" t="s">
        <v>922</v>
      </c>
      <c r="D816" s="86" t="s">
        <v>923</v>
      </c>
      <c r="E816" s="56"/>
      <c r="F816" s="68" t="s">
        <v>924</v>
      </c>
      <c r="G816" s="29"/>
      <c r="H816" s="26"/>
    </row>
    <row r="817" ht="15.75" customHeight="1">
      <c r="A817" s="19">
        <v>816.0</v>
      </c>
      <c r="B817" s="32" t="s">
        <v>29</v>
      </c>
      <c r="C817" s="86" t="s">
        <v>925</v>
      </c>
      <c r="D817" s="86" t="s">
        <v>97</v>
      </c>
      <c r="E817" s="56"/>
      <c r="F817" s="68" t="s">
        <v>926</v>
      </c>
      <c r="G817" s="29"/>
      <c r="H817" s="26"/>
    </row>
    <row r="818" ht="15.75" customHeight="1">
      <c r="A818" s="21">
        <v>817.0</v>
      </c>
      <c r="B818" s="32" t="s">
        <v>29</v>
      </c>
      <c r="C818" s="86" t="s">
        <v>927</v>
      </c>
      <c r="D818" s="86" t="s">
        <v>907</v>
      </c>
      <c r="E818" s="56"/>
      <c r="F818" s="68" t="s">
        <v>928</v>
      </c>
      <c r="G818" s="29"/>
      <c r="H818" s="26"/>
    </row>
    <row r="819" ht="15.75" customHeight="1">
      <c r="A819" s="19">
        <v>818.0</v>
      </c>
      <c r="B819" s="32" t="s">
        <v>29</v>
      </c>
      <c r="C819" s="86" t="s">
        <v>929</v>
      </c>
      <c r="D819" s="86" t="s">
        <v>930</v>
      </c>
      <c r="E819" s="56"/>
      <c r="F819" s="68" t="s">
        <v>931</v>
      </c>
      <c r="G819" s="29"/>
      <c r="H819" s="26"/>
    </row>
    <row r="820" ht="15.75" customHeight="1">
      <c r="A820" s="19">
        <v>819.0</v>
      </c>
      <c r="B820" s="32" t="s">
        <v>29</v>
      </c>
      <c r="C820" s="86" t="s">
        <v>932</v>
      </c>
      <c r="D820" s="86" t="s">
        <v>907</v>
      </c>
      <c r="E820" s="56"/>
      <c r="F820" s="68" t="s">
        <v>933</v>
      </c>
      <c r="G820" s="29"/>
      <c r="H820" s="26"/>
    </row>
    <row r="821" ht="15.75" customHeight="1">
      <c r="A821" s="19">
        <v>820.0</v>
      </c>
      <c r="B821" s="32" t="s">
        <v>29</v>
      </c>
      <c r="C821" s="86" t="s">
        <v>934</v>
      </c>
      <c r="D821" s="86" t="s">
        <v>907</v>
      </c>
      <c r="E821" s="56"/>
      <c r="F821" s="68" t="s">
        <v>935</v>
      </c>
      <c r="G821" s="29"/>
      <c r="H821" s="26"/>
    </row>
    <row r="822" ht="15.75" customHeight="1">
      <c r="A822" s="19">
        <v>821.0</v>
      </c>
      <c r="B822" s="32" t="s">
        <v>29</v>
      </c>
      <c r="C822" s="86" t="s">
        <v>936</v>
      </c>
      <c r="D822" s="86" t="s">
        <v>930</v>
      </c>
      <c r="E822" s="56"/>
      <c r="F822" s="68" t="s">
        <v>937</v>
      </c>
      <c r="G822" s="29"/>
      <c r="H822" s="26"/>
    </row>
    <row r="823" ht="15.75" customHeight="1">
      <c r="A823" s="21">
        <v>822.0</v>
      </c>
      <c r="B823" s="32" t="s">
        <v>29</v>
      </c>
      <c r="C823" s="86" t="s">
        <v>938</v>
      </c>
      <c r="D823" s="86" t="s">
        <v>930</v>
      </c>
      <c r="E823" s="56"/>
      <c r="F823" s="68" t="s">
        <v>939</v>
      </c>
      <c r="G823" s="29"/>
      <c r="H823" s="26"/>
    </row>
    <row r="824" ht="15.75" customHeight="1">
      <c r="A824" s="19">
        <v>823.0</v>
      </c>
      <c r="B824" s="32" t="s">
        <v>29</v>
      </c>
      <c r="C824" s="86" t="s">
        <v>940</v>
      </c>
      <c r="D824" s="86" t="s">
        <v>907</v>
      </c>
      <c r="E824" s="56"/>
      <c r="F824" s="68" t="s">
        <v>941</v>
      </c>
      <c r="G824" s="29"/>
      <c r="H824" s="26"/>
    </row>
    <row r="825" ht="15.75" customHeight="1">
      <c r="A825" s="19">
        <v>824.0</v>
      </c>
      <c r="B825" s="32" t="s">
        <v>29</v>
      </c>
      <c r="C825" s="86" t="s">
        <v>942</v>
      </c>
      <c r="D825" s="86" t="s">
        <v>930</v>
      </c>
      <c r="E825" s="56"/>
      <c r="F825" s="68" t="s">
        <v>943</v>
      </c>
      <c r="G825" s="29"/>
      <c r="H825" s="26"/>
    </row>
    <row r="826" ht="15.75" customHeight="1">
      <c r="A826" s="19">
        <v>825.0</v>
      </c>
      <c r="B826" s="32" t="s">
        <v>29</v>
      </c>
      <c r="C826" s="86" t="s">
        <v>944</v>
      </c>
      <c r="D826" s="86" t="s">
        <v>930</v>
      </c>
      <c r="E826" s="56"/>
      <c r="F826" s="68" t="s">
        <v>945</v>
      </c>
      <c r="G826" s="29"/>
      <c r="H826" s="26"/>
    </row>
    <row r="827" ht="15.75" customHeight="1">
      <c r="A827" s="19">
        <v>826.0</v>
      </c>
      <c r="B827" s="32" t="s">
        <v>29</v>
      </c>
      <c r="C827" s="86" t="s">
        <v>946</v>
      </c>
      <c r="D827" s="86" t="s">
        <v>907</v>
      </c>
      <c r="E827" s="56"/>
      <c r="F827" s="68" t="s">
        <v>947</v>
      </c>
      <c r="G827" s="29"/>
      <c r="H827" s="26"/>
    </row>
    <row r="828" ht="15.75" customHeight="1">
      <c r="A828" s="19">
        <v>827.0</v>
      </c>
      <c r="B828" s="32" t="s">
        <v>29</v>
      </c>
      <c r="C828" s="86" t="s">
        <v>948</v>
      </c>
      <c r="D828" s="86" t="s">
        <v>907</v>
      </c>
      <c r="E828" s="56"/>
      <c r="F828" s="68" t="s">
        <v>949</v>
      </c>
      <c r="G828" s="29"/>
      <c r="H828" s="26"/>
    </row>
    <row r="829" ht="15.75" customHeight="1">
      <c r="A829" s="19">
        <v>828.0</v>
      </c>
      <c r="B829" s="32" t="s">
        <v>29</v>
      </c>
      <c r="C829" s="86" t="s">
        <v>950</v>
      </c>
      <c r="D829" s="86" t="s">
        <v>907</v>
      </c>
      <c r="E829" s="56"/>
      <c r="F829" s="68" t="s">
        <v>951</v>
      </c>
      <c r="G829" s="29"/>
      <c r="H829" s="26"/>
    </row>
    <row r="830" ht="15.75" customHeight="1">
      <c r="A830" s="21">
        <v>829.0</v>
      </c>
      <c r="B830" s="32" t="s">
        <v>29</v>
      </c>
      <c r="C830" s="86" t="s">
        <v>952</v>
      </c>
      <c r="D830" s="86" t="s">
        <v>930</v>
      </c>
      <c r="E830" s="56"/>
      <c r="F830" s="68" t="s">
        <v>954</v>
      </c>
      <c r="G830" s="29"/>
      <c r="H830" s="26"/>
    </row>
    <row r="831" ht="15.75" customHeight="1">
      <c r="A831" s="19">
        <v>830.0</v>
      </c>
      <c r="B831" s="32" t="s">
        <v>29</v>
      </c>
      <c r="C831" s="86" t="s">
        <v>955</v>
      </c>
      <c r="D831" s="86" t="s">
        <v>930</v>
      </c>
      <c r="E831" s="56"/>
      <c r="F831" s="68" t="s">
        <v>956</v>
      </c>
      <c r="G831" s="29"/>
      <c r="H831" s="26"/>
    </row>
    <row r="832" ht="15.75" customHeight="1">
      <c r="A832" s="21">
        <v>831.0</v>
      </c>
      <c r="B832" s="32" t="s">
        <v>29</v>
      </c>
      <c r="C832" s="86" t="s">
        <v>957</v>
      </c>
      <c r="D832" s="86" t="s">
        <v>919</v>
      </c>
      <c r="E832" s="56"/>
      <c r="F832" s="68" t="s">
        <v>958</v>
      </c>
      <c r="G832" s="29"/>
      <c r="H832" s="26"/>
    </row>
    <row r="833" ht="15.75" customHeight="1">
      <c r="A833" s="19">
        <v>832.0</v>
      </c>
      <c r="B833" s="32" t="s">
        <v>29</v>
      </c>
      <c r="C833" s="86" t="s">
        <v>959</v>
      </c>
      <c r="D833" s="86" t="s">
        <v>907</v>
      </c>
      <c r="E833" s="56"/>
      <c r="F833" s="68" t="s">
        <v>960</v>
      </c>
      <c r="G833" s="29"/>
      <c r="H833" s="26"/>
    </row>
    <row r="834" ht="15.75" customHeight="1">
      <c r="A834" s="19">
        <v>833.0</v>
      </c>
      <c r="B834" s="32" t="s">
        <v>29</v>
      </c>
      <c r="C834" s="86" t="s">
        <v>961</v>
      </c>
      <c r="D834" s="86" t="s">
        <v>173</v>
      </c>
      <c r="E834" s="56"/>
      <c r="F834" s="68" t="s">
        <v>514</v>
      </c>
      <c r="G834" s="29"/>
      <c r="H834" s="26"/>
    </row>
    <row r="835" ht="15.75" customHeight="1">
      <c r="A835" s="19">
        <v>834.0</v>
      </c>
      <c r="B835" s="32" t="s">
        <v>29</v>
      </c>
      <c r="C835" s="86" t="s">
        <v>962</v>
      </c>
      <c r="D835" s="86" t="s">
        <v>907</v>
      </c>
      <c r="E835" s="56"/>
      <c r="F835" s="68" t="s">
        <v>963</v>
      </c>
      <c r="G835" s="29"/>
      <c r="H835" s="26"/>
    </row>
    <row r="836" ht="15.75" customHeight="1">
      <c r="A836" s="19">
        <v>835.0</v>
      </c>
      <c r="B836" s="32" t="s">
        <v>29</v>
      </c>
      <c r="C836" s="86" t="s">
        <v>964</v>
      </c>
      <c r="D836" s="86" t="s">
        <v>930</v>
      </c>
      <c r="E836" s="56"/>
      <c r="F836" s="68" t="s">
        <v>965</v>
      </c>
      <c r="G836" s="29"/>
      <c r="H836" s="26"/>
    </row>
    <row r="837" ht="15.75" customHeight="1">
      <c r="A837" s="21">
        <v>836.0</v>
      </c>
      <c r="B837" s="32" t="s">
        <v>29</v>
      </c>
      <c r="C837" s="86" t="s">
        <v>966</v>
      </c>
      <c r="D837" s="86" t="s">
        <v>907</v>
      </c>
      <c r="E837" s="56"/>
      <c r="F837" s="68" t="s">
        <v>967</v>
      </c>
      <c r="G837" s="29"/>
      <c r="H837" s="26"/>
    </row>
    <row r="838" ht="15.75" customHeight="1">
      <c r="A838" s="19">
        <v>837.0</v>
      </c>
      <c r="B838" s="32" t="s">
        <v>29</v>
      </c>
      <c r="C838" s="86" t="s">
        <v>968</v>
      </c>
      <c r="D838" s="86" t="s">
        <v>907</v>
      </c>
      <c r="E838" s="56"/>
      <c r="F838" s="68" t="s">
        <v>969</v>
      </c>
      <c r="G838" s="29"/>
      <c r="H838" s="26"/>
    </row>
    <row r="839" ht="15.75" customHeight="1">
      <c r="A839" s="19">
        <v>838.0</v>
      </c>
      <c r="B839" s="32" t="s">
        <v>29</v>
      </c>
      <c r="C839" s="86" t="s">
        <v>970</v>
      </c>
      <c r="D839" s="86" t="s">
        <v>907</v>
      </c>
      <c r="E839" s="56"/>
      <c r="F839" s="68" t="s">
        <v>971</v>
      </c>
      <c r="G839" s="29"/>
      <c r="H839" s="26"/>
    </row>
    <row r="840" ht="15.75" customHeight="1">
      <c r="A840" s="19">
        <v>839.0</v>
      </c>
      <c r="B840" s="32" t="s">
        <v>29</v>
      </c>
      <c r="C840" s="86" t="s">
        <v>972</v>
      </c>
      <c r="D840" s="86" t="s">
        <v>907</v>
      </c>
      <c r="E840" s="56"/>
      <c r="F840" s="68" t="s">
        <v>973</v>
      </c>
      <c r="G840" s="29"/>
      <c r="H840" s="26"/>
    </row>
    <row r="841" ht="15.75" customHeight="1">
      <c r="A841" s="19">
        <v>840.0</v>
      </c>
      <c r="B841" s="32" t="s">
        <v>29</v>
      </c>
      <c r="C841" s="86" t="s">
        <v>974</v>
      </c>
      <c r="D841" s="86" t="s">
        <v>975</v>
      </c>
      <c r="E841" s="56"/>
      <c r="F841" s="68" t="s">
        <v>976</v>
      </c>
      <c r="G841" s="29"/>
      <c r="H841" s="26"/>
    </row>
    <row r="842" ht="15.75" customHeight="1">
      <c r="A842" s="19">
        <v>841.0</v>
      </c>
      <c r="B842" s="32" t="s">
        <v>29</v>
      </c>
      <c r="C842" s="93" t="s">
        <v>977</v>
      </c>
      <c r="D842" s="86" t="s">
        <v>907</v>
      </c>
      <c r="E842" s="56"/>
      <c r="F842" s="43" t="s">
        <v>978</v>
      </c>
      <c r="G842" s="29"/>
      <c r="H842" s="26"/>
    </row>
    <row r="843" ht="15.75" customHeight="1">
      <c r="A843" s="19">
        <v>842.0</v>
      </c>
      <c r="B843" s="32" t="s">
        <v>29</v>
      </c>
      <c r="C843" s="93" t="s">
        <v>979</v>
      </c>
      <c r="D843" s="86" t="s">
        <v>907</v>
      </c>
      <c r="E843" s="56"/>
      <c r="F843" s="69" t="s">
        <v>980</v>
      </c>
      <c r="G843" s="29"/>
      <c r="H843" s="26"/>
    </row>
    <row r="844" ht="15.75" customHeight="1">
      <c r="A844" s="21">
        <v>843.0</v>
      </c>
      <c r="B844" s="32" t="s">
        <v>29</v>
      </c>
      <c r="C844" s="93" t="s">
        <v>981</v>
      </c>
      <c r="D844" s="86" t="s">
        <v>907</v>
      </c>
      <c r="E844" s="56"/>
      <c r="F844" s="69" t="s">
        <v>982</v>
      </c>
      <c r="G844" s="29"/>
      <c r="H844" s="26"/>
    </row>
    <row r="845" ht="15.75" customHeight="1">
      <c r="A845" s="19">
        <v>844.0</v>
      </c>
      <c r="B845" s="32" t="s">
        <v>29</v>
      </c>
      <c r="C845" s="93" t="s">
        <v>983</v>
      </c>
      <c r="D845" s="86" t="s">
        <v>907</v>
      </c>
      <c r="E845" s="56"/>
      <c r="F845" s="69" t="s">
        <v>984</v>
      </c>
      <c r="G845" s="29"/>
      <c r="H845" s="26"/>
    </row>
    <row r="846" ht="15.75" customHeight="1">
      <c r="A846" s="21">
        <v>845.0</v>
      </c>
      <c r="B846" s="32" t="s">
        <v>29</v>
      </c>
      <c r="C846" s="93" t="s">
        <v>985</v>
      </c>
      <c r="D846" s="86" t="s">
        <v>907</v>
      </c>
      <c r="E846" s="56"/>
      <c r="F846" s="69" t="s">
        <v>986</v>
      </c>
      <c r="G846" s="29"/>
      <c r="H846" s="26"/>
    </row>
    <row r="847" ht="15.75" customHeight="1">
      <c r="A847" s="19">
        <v>846.0</v>
      </c>
      <c r="B847" s="32" t="s">
        <v>29</v>
      </c>
      <c r="C847" s="93" t="s">
        <v>987</v>
      </c>
      <c r="D847" s="86" t="s">
        <v>930</v>
      </c>
      <c r="E847" s="56"/>
      <c r="F847" s="69" t="s">
        <v>988</v>
      </c>
      <c r="G847" s="29"/>
      <c r="H847" s="26"/>
    </row>
    <row r="848" ht="15.75" customHeight="1">
      <c r="A848" s="19">
        <v>847.0</v>
      </c>
      <c r="B848" s="32" t="s">
        <v>29</v>
      </c>
      <c r="C848" s="93" t="s">
        <v>989</v>
      </c>
      <c r="D848" s="86" t="s">
        <v>907</v>
      </c>
      <c r="E848" s="56"/>
      <c r="F848" s="69" t="s">
        <v>990</v>
      </c>
      <c r="G848" s="29"/>
      <c r="H848" s="26"/>
    </row>
    <row r="849" ht="15.75" customHeight="1">
      <c r="A849" s="19">
        <v>848.0</v>
      </c>
      <c r="B849" s="32" t="s">
        <v>29</v>
      </c>
      <c r="C849" s="93" t="s">
        <v>991</v>
      </c>
      <c r="D849" s="86" t="s">
        <v>907</v>
      </c>
      <c r="E849" s="56"/>
      <c r="F849" s="69" t="s">
        <v>992</v>
      </c>
      <c r="G849" s="29"/>
      <c r="H849" s="26"/>
    </row>
    <row r="850" ht="15.75" customHeight="1">
      <c r="A850" s="19">
        <v>849.0</v>
      </c>
      <c r="B850" s="32" t="s">
        <v>29</v>
      </c>
      <c r="C850" s="93" t="s">
        <v>993</v>
      </c>
      <c r="D850" s="86" t="s">
        <v>398</v>
      </c>
      <c r="E850" s="56"/>
      <c r="F850" s="69" t="s">
        <v>994</v>
      </c>
      <c r="G850" s="29"/>
      <c r="H850" s="26"/>
    </row>
    <row r="851" ht="15.75" customHeight="1">
      <c r="A851" s="21">
        <v>850.0</v>
      </c>
      <c r="B851" s="32" t="s">
        <v>29</v>
      </c>
      <c r="C851" s="93" t="s">
        <v>995</v>
      </c>
      <c r="D851" s="86" t="s">
        <v>907</v>
      </c>
      <c r="E851" s="56"/>
      <c r="F851" s="69" t="s">
        <v>996</v>
      </c>
      <c r="G851" s="29"/>
      <c r="H851" s="26"/>
    </row>
    <row r="852" ht="15.75" customHeight="1">
      <c r="A852" s="19">
        <v>851.0</v>
      </c>
      <c r="B852" s="32" t="s">
        <v>29</v>
      </c>
      <c r="C852" s="93" t="s">
        <v>997</v>
      </c>
      <c r="D852" s="86" t="s">
        <v>907</v>
      </c>
      <c r="E852" s="56"/>
      <c r="F852" s="69" t="s">
        <v>998</v>
      </c>
      <c r="G852" s="29"/>
      <c r="H852" s="26"/>
    </row>
    <row r="853" ht="15.75" customHeight="1">
      <c r="A853" s="19">
        <v>852.0</v>
      </c>
      <c r="B853" s="32" t="s">
        <v>29</v>
      </c>
      <c r="C853" s="93" t="s">
        <v>999</v>
      </c>
      <c r="D853" s="86" t="s">
        <v>907</v>
      </c>
      <c r="E853" s="56"/>
      <c r="F853" s="69" t="s">
        <v>1000</v>
      </c>
      <c r="G853" s="29"/>
      <c r="H853" s="26"/>
    </row>
    <row r="854" ht="15.75" customHeight="1">
      <c r="A854" s="19">
        <v>853.0</v>
      </c>
      <c r="B854" s="32" t="s">
        <v>29</v>
      </c>
      <c r="C854" s="93" t="s">
        <v>1001</v>
      </c>
      <c r="D854" s="86" t="s">
        <v>907</v>
      </c>
      <c r="E854" s="56"/>
      <c r="F854" s="69" t="s">
        <v>1002</v>
      </c>
      <c r="G854" s="29"/>
      <c r="H854" s="26"/>
    </row>
    <row r="855" ht="15.75" customHeight="1">
      <c r="A855" s="19">
        <v>854.0</v>
      </c>
      <c r="B855" s="32" t="s">
        <v>29</v>
      </c>
      <c r="C855" s="93" t="s">
        <v>1003</v>
      </c>
      <c r="D855" s="86" t="s">
        <v>907</v>
      </c>
      <c r="E855" s="56"/>
      <c r="F855" s="69" t="s">
        <v>1004</v>
      </c>
      <c r="G855" s="29"/>
      <c r="H855" s="26"/>
    </row>
    <row r="856" ht="15.75" customHeight="1">
      <c r="A856" s="19">
        <v>855.0</v>
      </c>
      <c r="B856" s="32" t="s">
        <v>29</v>
      </c>
      <c r="C856" s="93" t="s">
        <v>1005</v>
      </c>
      <c r="D856" s="86" t="s">
        <v>930</v>
      </c>
      <c r="E856" s="56"/>
      <c r="F856" s="69" t="s">
        <v>1006</v>
      </c>
      <c r="G856" s="29"/>
      <c r="H856" s="26"/>
    </row>
    <row r="857" ht="15.75" customHeight="1">
      <c r="A857" s="19">
        <v>856.0</v>
      </c>
      <c r="B857" s="32" t="s">
        <v>29</v>
      </c>
      <c r="C857" s="93" t="s">
        <v>1007</v>
      </c>
      <c r="D857" s="86" t="s">
        <v>907</v>
      </c>
      <c r="E857" s="56"/>
      <c r="F857" s="69" t="s">
        <v>1008</v>
      </c>
      <c r="G857" s="29"/>
      <c r="H857" s="26"/>
    </row>
    <row r="858" ht="15.75" customHeight="1">
      <c r="A858" s="21">
        <v>857.0</v>
      </c>
      <c r="B858" s="32" t="s">
        <v>29</v>
      </c>
      <c r="C858" s="93" t="s">
        <v>1009</v>
      </c>
      <c r="D858" s="86" t="s">
        <v>907</v>
      </c>
      <c r="E858" s="56"/>
      <c r="F858" s="69" t="s">
        <v>1010</v>
      </c>
      <c r="G858" s="29"/>
      <c r="H858" s="26"/>
    </row>
    <row r="859" ht="15.75" customHeight="1">
      <c r="A859" s="19">
        <v>858.0</v>
      </c>
      <c r="B859" s="32" t="s">
        <v>29</v>
      </c>
      <c r="C859" s="93" t="s">
        <v>1011</v>
      </c>
      <c r="D859" s="86" t="s">
        <v>907</v>
      </c>
      <c r="E859" s="56"/>
      <c r="F859" s="69" t="s">
        <v>1012</v>
      </c>
      <c r="G859" s="29"/>
      <c r="H859" s="26"/>
    </row>
    <row r="860" ht="15.75" customHeight="1">
      <c r="A860" s="21">
        <v>859.0</v>
      </c>
      <c r="B860" s="32" t="s">
        <v>29</v>
      </c>
      <c r="C860" s="93" t="s">
        <v>1013</v>
      </c>
      <c r="D860" s="86" t="s">
        <v>907</v>
      </c>
      <c r="E860" s="56"/>
      <c r="F860" s="69" t="s">
        <v>1014</v>
      </c>
      <c r="G860" s="29"/>
      <c r="H860" s="26"/>
    </row>
    <row r="861" ht="15.75" customHeight="1">
      <c r="A861" s="19">
        <v>860.0</v>
      </c>
      <c r="B861" s="32" t="s">
        <v>29</v>
      </c>
      <c r="C861" s="93" t="s">
        <v>1015</v>
      </c>
      <c r="D861" s="86" t="s">
        <v>907</v>
      </c>
      <c r="E861" s="56"/>
      <c r="F861" s="69" t="s">
        <v>1016</v>
      </c>
      <c r="G861" s="29"/>
      <c r="H861" s="26"/>
    </row>
    <row r="862" ht="15.75" customHeight="1">
      <c r="A862" s="19">
        <v>861.0</v>
      </c>
      <c r="B862" s="32" t="s">
        <v>29</v>
      </c>
      <c r="C862" s="93" t="s">
        <v>1017</v>
      </c>
      <c r="D862" s="86" t="s">
        <v>907</v>
      </c>
      <c r="E862" s="56"/>
      <c r="F862" s="69" t="s">
        <v>1018</v>
      </c>
      <c r="G862" s="29"/>
      <c r="H862" s="26"/>
    </row>
    <row r="863" ht="15.75" customHeight="1">
      <c r="A863" s="19">
        <v>862.0</v>
      </c>
      <c r="B863" s="32" t="s">
        <v>29</v>
      </c>
      <c r="C863" s="93" t="s">
        <v>1019</v>
      </c>
      <c r="D863" s="86" t="s">
        <v>923</v>
      </c>
      <c r="E863" s="56"/>
      <c r="F863" s="69" t="s">
        <v>1020</v>
      </c>
      <c r="G863" s="29"/>
      <c r="H863" s="26"/>
    </row>
    <row r="864" ht="15.75" customHeight="1">
      <c r="A864" s="19">
        <v>863.0</v>
      </c>
      <c r="B864" s="32" t="s">
        <v>29</v>
      </c>
      <c r="C864" s="93" t="s">
        <v>1021</v>
      </c>
      <c r="D864" s="86" t="s">
        <v>907</v>
      </c>
      <c r="E864" s="56"/>
      <c r="F864" s="69" t="s">
        <v>1022</v>
      </c>
      <c r="G864" s="29"/>
      <c r="H864" s="26"/>
    </row>
    <row r="865" ht="15.75" customHeight="1">
      <c r="A865" s="21">
        <v>864.0</v>
      </c>
      <c r="B865" s="32" t="s">
        <v>29</v>
      </c>
      <c r="C865" s="93" t="s">
        <v>1023</v>
      </c>
      <c r="D865" s="86" t="s">
        <v>907</v>
      </c>
      <c r="E865" s="56"/>
      <c r="F865" s="69" t="s">
        <v>1024</v>
      </c>
      <c r="G865" s="29"/>
      <c r="H865" s="26"/>
    </row>
    <row r="866" ht="15.75" customHeight="1">
      <c r="A866" s="19">
        <v>865.0</v>
      </c>
      <c r="B866" s="32" t="s">
        <v>29</v>
      </c>
      <c r="C866" s="93" t="s">
        <v>1025</v>
      </c>
      <c r="D866" s="86" t="s">
        <v>907</v>
      </c>
      <c r="E866" s="56"/>
      <c r="F866" s="69" t="s">
        <v>1026</v>
      </c>
      <c r="G866" s="29"/>
      <c r="H866" s="26"/>
    </row>
    <row r="867" ht="15.75" customHeight="1">
      <c r="A867" s="19">
        <v>866.0</v>
      </c>
      <c r="B867" s="32" t="s">
        <v>29</v>
      </c>
      <c r="C867" s="93" t="s">
        <v>1025</v>
      </c>
      <c r="D867" s="86" t="s">
        <v>919</v>
      </c>
      <c r="E867" s="56"/>
      <c r="F867" s="69" t="s">
        <v>1026</v>
      </c>
      <c r="G867" s="29"/>
      <c r="H867" s="26"/>
    </row>
    <row r="868" ht="15.75" customHeight="1">
      <c r="A868" s="19">
        <v>867.0</v>
      </c>
      <c r="B868" s="32" t="s">
        <v>29</v>
      </c>
      <c r="C868" s="93" t="s">
        <v>1027</v>
      </c>
      <c r="D868" s="86" t="s">
        <v>907</v>
      </c>
      <c r="E868" s="56"/>
      <c r="F868" s="69" t="s">
        <v>1028</v>
      </c>
      <c r="G868" s="29"/>
      <c r="H868" s="26"/>
    </row>
    <row r="869" ht="15.75" customHeight="1">
      <c r="A869" s="19">
        <v>868.0</v>
      </c>
      <c r="B869" s="32" t="s">
        <v>29</v>
      </c>
      <c r="C869" s="93" t="s">
        <v>1029</v>
      </c>
      <c r="D869" s="86" t="s">
        <v>907</v>
      </c>
      <c r="E869" s="56"/>
      <c r="F869" s="69" t="s">
        <v>1030</v>
      </c>
      <c r="G869" s="29"/>
      <c r="H869" s="26"/>
    </row>
    <row r="870" ht="15.75" customHeight="1">
      <c r="A870" s="19">
        <v>869.0</v>
      </c>
      <c r="B870" s="32" t="s">
        <v>29</v>
      </c>
      <c r="C870" s="93" t="s">
        <v>1031</v>
      </c>
      <c r="D870" s="86" t="s">
        <v>907</v>
      </c>
      <c r="E870" s="56"/>
      <c r="F870" s="69" t="s">
        <v>1032</v>
      </c>
      <c r="G870" s="29"/>
      <c r="H870" s="26"/>
    </row>
    <row r="871" ht="15.75" customHeight="1">
      <c r="A871" s="19">
        <v>870.0</v>
      </c>
      <c r="B871" s="32" t="s">
        <v>29</v>
      </c>
      <c r="C871" s="93" t="s">
        <v>1033</v>
      </c>
      <c r="D871" s="86" t="s">
        <v>907</v>
      </c>
      <c r="E871" s="56"/>
      <c r="F871" s="69" t="s">
        <v>1034</v>
      </c>
      <c r="G871" s="29"/>
      <c r="H871" s="26"/>
    </row>
    <row r="872" ht="15.75" customHeight="1">
      <c r="A872" s="21">
        <v>871.0</v>
      </c>
      <c r="B872" s="32" t="s">
        <v>29</v>
      </c>
      <c r="C872" s="93" t="s">
        <v>1035</v>
      </c>
      <c r="D872" s="86" t="s">
        <v>907</v>
      </c>
      <c r="E872" s="56"/>
      <c r="F872" s="69" t="s">
        <v>1036</v>
      </c>
      <c r="G872" s="29"/>
      <c r="H872" s="26"/>
    </row>
    <row r="873" ht="15.75" customHeight="1">
      <c r="A873" s="19">
        <v>872.0</v>
      </c>
      <c r="B873" s="32" t="s">
        <v>29</v>
      </c>
      <c r="C873" s="93" t="s">
        <v>1037</v>
      </c>
      <c r="D873" s="86" t="s">
        <v>930</v>
      </c>
      <c r="E873" s="56"/>
      <c r="F873" s="69" t="s">
        <v>1038</v>
      </c>
      <c r="G873" s="29"/>
      <c r="H873" s="26"/>
    </row>
    <row r="874" ht="15.75" customHeight="1">
      <c r="A874" s="21">
        <v>873.0</v>
      </c>
      <c r="B874" s="32" t="s">
        <v>29</v>
      </c>
      <c r="C874" s="93" t="s">
        <v>1039</v>
      </c>
      <c r="D874" s="86" t="s">
        <v>907</v>
      </c>
      <c r="E874" s="56"/>
      <c r="F874" s="69" t="s">
        <v>1040</v>
      </c>
      <c r="G874" s="29"/>
      <c r="H874" s="26"/>
    </row>
    <row r="875" ht="15.75" customHeight="1">
      <c r="A875" s="19">
        <v>874.0</v>
      </c>
      <c r="B875" s="32" t="s">
        <v>29</v>
      </c>
      <c r="C875" s="93" t="s">
        <v>1041</v>
      </c>
      <c r="D875" s="86" t="s">
        <v>907</v>
      </c>
      <c r="E875" s="56"/>
      <c r="F875" s="69" t="s">
        <v>1042</v>
      </c>
      <c r="G875" s="29"/>
      <c r="H875" s="26"/>
    </row>
    <row r="876" ht="15.75" customHeight="1">
      <c r="A876" s="19">
        <v>875.0</v>
      </c>
      <c r="B876" s="32" t="s">
        <v>29</v>
      </c>
      <c r="C876" s="93" t="s">
        <v>1043</v>
      </c>
      <c r="D876" s="86" t="s">
        <v>907</v>
      </c>
      <c r="E876" s="56"/>
      <c r="F876" s="69" t="s">
        <v>1044</v>
      </c>
      <c r="G876" s="29"/>
      <c r="H876" s="26"/>
    </row>
    <row r="877" ht="15.75" customHeight="1">
      <c r="A877" s="19">
        <v>876.0</v>
      </c>
      <c r="B877" s="32" t="s">
        <v>29</v>
      </c>
      <c r="C877" s="93" t="s">
        <v>1045</v>
      </c>
      <c r="D877" s="86" t="s">
        <v>907</v>
      </c>
      <c r="E877" s="56"/>
      <c r="F877" s="69" t="s">
        <v>1046</v>
      </c>
      <c r="G877" s="29"/>
      <c r="H877" s="26"/>
    </row>
    <row r="878" ht="15.75" customHeight="1">
      <c r="A878" s="19">
        <v>877.0</v>
      </c>
      <c r="B878" s="32" t="s">
        <v>29</v>
      </c>
      <c r="C878" s="93" t="s">
        <v>1047</v>
      </c>
      <c r="D878" s="86" t="s">
        <v>907</v>
      </c>
      <c r="E878" s="56"/>
      <c r="F878" s="69" t="s">
        <v>1048</v>
      </c>
      <c r="G878" s="29"/>
      <c r="H878" s="26"/>
    </row>
    <row r="879" ht="15.75" customHeight="1">
      <c r="A879" s="21">
        <v>878.0</v>
      </c>
      <c r="B879" s="32" t="s">
        <v>29</v>
      </c>
      <c r="C879" s="93" t="s">
        <v>1049</v>
      </c>
      <c r="D879" s="86" t="s">
        <v>907</v>
      </c>
      <c r="E879" s="56"/>
      <c r="F879" s="69" t="s">
        <v>1050</v>
      </c>
      <c r="G879" s="29"/>
      <c r="H879" s="26"/>
    </row>
    <row r="880" ht="15.75" customHeight="1">
      <c r="A880" s="19">
        <v>879.0</v>
      </c>
      <c r="B880" s="32" t="s">
        <v>29</v>
      </c>
      <c r="C880" s="93" t="s">
        <v>1051</v>
      </c>
      <c r="D880" s="86" t="s">
        <v>930</v>
      </c>
      <c r="E880" s="56"/>
      <c r="F880" s="69" t="s">
        <v>1052</v>
      </c>
      <c r="G880" s="29"/>
      <c r="H880" s="26"/>
    </row>
    <row r="881" ht="15.75" customHeight="1">
      <c r="A881" s="19">
        <v>880.0</v>
      </c>
      <c r="B881" s="32" t="s">
        <v>29</v>
      </c>
      <c r="C881" s="93" t="s">
        <v>1053</v>
      </c>
      <c r="D881" s="86" t="s">
        <v>907</v>
      </c>
      <c r="E881" s="56"/>
      <c r="F881" s="69" t="s">
        <v>1054</v>
      </c>
      <c r="G881" s="29"/>
      <c r="H881" s="26"/>
    </row>
    <row r="882" ht="15.75" customHeight="1">
      <c r="A882" s="19">
        <v>881.0</v>
      </c>
      <c r="B882" s="32" t="s">
        <v>29</v>
      </c>
      <c r="C882" s="93" t="s">
        <v>1055</v>
      </c>
      <c r="D882" s="86" t="s">
        <v>907</v>
      </c>
      <c r="E882" s="56"/>
      <c r="F882" s="69" t="s">
        <v>1056</v>
      </c>
      <c r="G882" s="29"/>
      <c r="H882" s="26"/>
    </row>
    <row r="883" ht="15.75" customHeight="1">
      <c r="A883" s="19">
        <v>882.0</v>
      </c>
      <c r="B883" s="32" t="s">
        <v>29</v>
      </c>
      <c r="C883" s="93" t="s">
        <v>1057</v>
      </c>
      <c r="D883" s="86" t="s">
        <v>930</v>
      </c>
      <c r="E883" s="56"/>
      <c r="F883" s="69" t="s">
        <v>1058</v>
      </c>
      <c r="G883" s="29"/>
      <c r="H883" s="26"/>
    </row>
    <row r="884" ht="15.75" customHeight="1">
      <c r="A884" s="19">
        <v>883.0</v>
      </c>
      <c r="B884" s="32" t="s">
        <v>29</v>
      </c>
      <c r="C884" s="93" t="s">
        <v>1059</v>
      </c>
      <c r="D884" s="86" t="s">
        <v>907</v>
      </c>
      <c r="E884" s="56"/>
      <c r="F884" s="69" t="s">
        <v>1060</v>
      </c>
      <c r="G884" s="29"/>
      <c r="H884" s="26"/>
    </row>
    <row r="885" ht="15.75" customHeight="1">
      <c r="A885" s="19">
        <v>884.0</v>
      </c>
      <c r="B885" s="32" t="s">
        <v>29</v>
      </c>
      <c r="C885" s="93" t="s">
        <v>1061</v>
      </c>
      <c r="D885" s="86" t="s">
        <v>919</v>
      </c>
      <c r="E885" s="56"/>
      <c r="F885" s="69" t="s">
        <v>1062</v>
      </c>
      <c r="G885" s="29"/>
      <c r="H885" s="26"/>
    </row>
    <row r="886" ht="15.75" customHeight="1">
      <c r="A886" s="21">
        <v>885.0</v>
      </c>
      <c r="B886" s="32" t="s">
        <v>29</v>
      </c>
      <c r="C886" s="93" t="s">
        <v>1063</v>
      </c>
      <c r="D886" s="86" t="s">
        <v>907</v>
      </c>
      <c r="E886" s="56"/>
      <c r="F886" s="69" t="s">
        <v>1064</v>
      </c>
      <c r="G886" s="29"/>
      <c r="H886" s="26"/>
    </row>
    <row r="887" ht="15.75" customHeight="1">
      <c r="A887" s="19">
        <v>886.0</v>
      </c>
      <c r="B887" s="32" t="s">
        <v>29</v>
      </c>
      <c r="C887" s="93" t="s">
        <v>1065</v>
      </c>
      <c r="D887" s="86" t="s">
        <v>930</v>
      </c>
      <c r="E887" s="56"/>
      <c r="F887" s="69" t="s">
        <v>1066</v>
      </c>
      <c r="G887" s="29"/>
      <c r="H887" s="26"/>
    </row>
    <row r="888" ht="15.75" customHeight="1">
      <c r="A888" s="21">
        <v>887.0</v>
      </c>
      <c r="B888" s="32" t="s">
        <v>29</v>
      </c>
      <c r="C888" s="93" t="s">
        <v>1067</v>
      </c>
      <c r="D888" s="86" t="s">
        <v>907</v>
      </c>
      <c r="E888" s="56"/>
      <c r="F888" s="69" t="s">
        <v>1068</v>
      </c>
      <c r="G888" s="29"/>
      <c r="H888" s="26"/>
    </row>
    <row r="889" ht="15.75" customHeight="1">
      <c r="A889" s="19">
        <v>888.0</v>
      </c>
      <c r="B889" s="32" t="s">
        <v>58</v>
      </c>
      <c r="C889" s="33" t="s">
        <v>1479</v>
      </c>
      <c r="D889" s="33" t="s">
        <v>705</v>
      </c>
      <c r="E889" s="56"/>
      <c r="F889" s="33">
        <v>5.87922620161E11</v>
      </c>
      <c r="G889" s="29"/>
      <c r="H889" s="26"/>
    </row>
    <row r="890" ht="15.75" customHeight="1">
      <c r="A890" s="19">
        <v>889.0</v>
      </c>
      <c r="B890" s="32" t="s">
        <v>64</v>
      </c>
      <c r="C890" s="33" t="s">
        <v>1480</v>
      </c>
      <c r="D890" s="33" t="s">
        <v>170</v>
      </c>
      <c r="E890" s="56"/>
      <c r="F890" s="33">
        <v>9.452800178E9</v>
      </c>
      <c r="G890" s="29"/>
      <c r="H890" s="26"/>
    </row>
    <row r="891" ht="15.75" customHeight="1">
      <c r="A891" s="19">
        <v>890.0</v>
      </c>
      <c r="B891" s="32" t="s">
        <v>87</v>
      </c>
      <c r="C891" s="33" t="s">
        <v>1481</v>
      </c>
      <c r="D891" s="33" t="s">
        <v>771</v>
      </c>
      <c r="E891" s="56"/>
      <c r="F891" s="94" t="s">
        <v>1482</v>
      </c>
      <c r="G891" s="29"/>
      <c r="H891" s="26"/>
    </row>
    <row r="892" ht="15.75" customHeight="1">
      <c r="A892" s="19">
        <v>891.0</v>
      </c>
      <c r="B892" s="32" t="s">
        <v>87</v>
      </c>
      <c r="C892" s="33" t="s">
        <v>1483</v>
      </c>
      <c r="D892" s="95" t="s">
        <v>842</v>
      </c>
      <c r="E892" s="56"/>
      <c r="F892" s="75" t="s">
        <v>1484</v>
      </c>
      <c r="G892" s="29"/>
      <c r="H892" s="26"/>
    </row>
    <row r="893" ht="15.75" customHeight="1">
      <c r="A893" s="21">
        <v>892.0</v>
      </c>
      <c r="B893" s="32" t="s">
        <v>87</v>
      </c>
      <c r="C893" s="33" t="s">
        <v>1485</v>
      </c>
      <c r="D893" s="95" t="s">
        <v>1486</v>
      </c>
      <c r="E893" s="56"/>
      <c r="F893" s="96" t="s">
        <v>1487</v>
      </c>
      <c r="G893" s="29"/>
      <c r="H893" s="26"/>
    </row>
    <row r="894" ht="15.75" customHeight="1">
      <c r="A894" s="19">
        <v>893.0</v>
      </c>
      <c r="B894" s="32" t="s">
        <v>87</v>
      </c>
      <c r="C894" s="33" t="s">
        <v>1488</v>
      </c>
      <c r="D894" s="95" t="s">
        <v>1489</v>
      </c>
      <c r="E894" s="56"/>
      <c r="F894" s="96" t="s">
        <v>1490</v>
      </c>
      <c r="G894" s="29"/>
      <c r="H894" s="26"/>
    </row>
    <row r="895" ht="15.75" customHeight="1">
      <c r="A895" s="19">
        <v>894.0</v>
      </c>
      <c r="B895" s="32" t="s">
        <v>59</v>
      </c>
      <c r="C895" s="86" t="s">
        <v>612</v>
      </c>
      <c r="D895" s="43" t="s">
        <v>613</v>
      </c>
      <c r="E895" s="56"/>
      <c r="F895" s="97" t="s">
        <v>614</v>
      </c>
      <c r="G895" s="29"/>
      <c r="H895" s="26"/>
    </row>
    <row r="896" ht="15.75" customHeight="1">
      <c r="A896" s="19">
        <v>895.0</v>
      </c>
      <c r="B896" s="32" t="s">
        <v>59</v>
      </c>
      <c r="C896" s="86" t="s">
        <v>615</v>
      </c>
      <c r="D896" s="43" t="s">
        <v>613</v>
      </c>
      <c r="E896" s="56"/>
      <c r="F896" s="97" t="s">
        <v>616</v>
      </c>
      <c r="G896" s="29"/>
      <c r="H896" s="26"/>
    </row>
    <row r="897" ht="15.75" customHeight="1">
      <c r="A897" s="19">
        <v>896.0</v>
      </c>
      <c r="B897" s="32" t="s">
        <v>59</v>
      </c>
      <c r="C897" s="98" t="s">
        <v>617</v>
      </c>
      <c r="D897" s="43" t="s">
        <v>618</v>
      </c>
      <c r="E897" s="56"/>
      <c r="F897" s="97" t="s">
        <v>619</v>
      </c>
      <c r="G897" s="29"/>
      <c r="H897" s="26"/>
    </row>
    <row r="898" ht="15.75" customHeight="1">
      <c r="A898" s="19">
        <v>897.0</v>
      </c>
      <c r="B898" s="32" t="s">
        <v>59</v>
      </c>
      <c r="C898" s="86" t="s">
        <v>620</v>
      </c>
      <c r="D898" s="43" t="s">
        <v>618</v>
      </c>
      <c r="E898" s="56"/>
      <c r="F898" s="97" t="s">
        <v>621</v>
      </c>
      <c r="G898" s="29"/>
      <c r="H898" s="26"/>
    </row>
    <row r="899" ht="15.75" customHeight="1">
      <c r="A899" s="19">
        <v>898.0</v>
      </c>
      <c r="B899" s="32" t="s">
        <v>59</v>
      </c>
      <c r="C899" s="86" t="s">
        <v>622</v>
      </c>
      <c r="D899" s="43" t="s">
        <v>623</v>
      </c>
      <c r="E899" s="56"/>
      <c r="F899" s="97" t="s">
        <v>624</v>
      </c>
      <c r="G899" s="29"/>
      <c r="H899" s="26"/>
    </row>
    <row r="900" ht="15.75" customHeight="1">
      <c r="A900" s="21">
        <v>899.0</v>
      </c>
      <c r="B900" s="32" t="s">
        <v>59</v>
      </c>
      <c r="C900" s="86" t="s">
        <v>625</v>
      </c>
      <c r="D900" s="43" t="s">
        <v>623</v>
      </c>
      <c r="E900" s="56"/>
      <c r="F900" s="97" t="s">
        <v>626</v>
      </c>
      <c r="G900" s="29"/>
      <c r="H900" s="26"/>
    </row>
    <row r="901" ht="15.75" customHeight="1">
      <c r="A901" s="19">
        <v>900.0</v>
      </c>
      <c r="B901" s="32" t="s">
        <v>59</v>
      </c>
      <c r="C901" s="86" t="s">
        <v>627</v>
      </c>
      <c r="D901" s="43" t="s">
        <v>623</v>
      </c>
      <c r="E901" s="56"/>
      <c r="F901" s="97" t="s">
        <v>628</v>
      </c>
      <c r="G901" s="29"/>
      <c r="H901" s="26"/>
    </row>
    <row r="902" ht="15.75" customHeight="1">
      <c r="A902" s="21">
        <v>901.0</v>
      </c>
      <c r="B902" s="32" t="s">
        <v>59</v>
      </c>
      <c r="C902" s="86" t="s">
        <v>629</v>
      </c>
      <c r="D902" s="43" t="s">
        <v>623</v>
      </c>
      <c r="E902" s="56"/>
      <c r="F902" s="97" t="s">
        <v>630</v>
      </c>
      <c r="G902" s="29"/>
      <c r="H902" s="26"/>
    </row>
    <row r="903" ht="15.75" customHeight="1">
      <c r="A903" s="19">
        <v>902.0</v>
      </c>
      <c r="B903" s="32" t="s">
        <v>59</v>
      </c>
      <c r="C903" s="86" t="s">
        <v>631</v>
      </c>
      <c r="D903" s="43" t="s">
        <v>623</v>
      </c>
      <c r="E903" s="56"/>
      <c r="F903" s="97" t="s">
        <v>632</v>
      </c>
      <c r="G903" s="29"/>
      <c r="H903" s="26"/>
    </row>
    <row r="904" ht="15.75" customHeight="1">
      <c r="A904" s="19">
        <v>903.0</v>
      </c>
      <c r="B904" s="32" t="s">
        <v>59</v>
      </c>
      <c r="C904" s="86" t="s">
        <v>633</v>
      </c>
      <c r="D904" s="43" t="s">
        <v>634</v>
      </c>
      <c r="E904" s="56"/>
      <c r="F904" s="97" t="s">
        <v>635</v>
      </c>
      <c r="G904" s="29"/>
      <c r="H904" s="26"/>
    </row>
    <row r="905" ht="15.75" customHeight="1">
      <c r="A905" s="19">
        <v>904.0</v>
      </c>
      <c r="B905" s="32" t="s">
        <v>59</v>
      </c>
      <c r="C905" s="86" t="s">
        <v>636</v>
      </c>
      <c r="D905" s="43" t="s">
        <v>634</v>
      </c>
      <c r="E905" s="56"/>
      <c r="F905" s="97" t="s">
        <v>637</v>
      </c>
      <c r="G905" s="29"/>
      <c r="H905" s="26"/>
    </row>
    <row r="906" ht="15.75" customHeight="1">
      <c r="A906" s="19">
        <v>905.0</v>
      </c>
      <c r="B906" s="32" t="s">
        <v>59</v>
      </c>
      <c r="C906" s="86" t="s">
        <v>638</v>
      </c>
      <c r="D906" s="43" t="s">
        <v>623</v>
      </c>
      <c r="E906" s="56"/>
      <c r="F906" s="97" t="s">
        <v>639</v>
      </c>
      <c r="G906" s="29"/>
      <c r="H906" s="26"/>
    </row>
    <row r="907" ht="15.75" customHeight="1">
      <c r="A907" s="21">
        <v>906.0</v>
      </c>
      <c r="B907" s="32" t="s">
        <v>59</v>
      </c>
      <c r="C907" s="86" t="s">
        <v>640</v>
      </c>
      <c r="D907" s="43" t="s">
        <v>623</v>
      </c>
      <c r="E907" s="56"/>
      <c r="F907" s="97" t="s">
        <v>641</v>
      </c>
      <c r="G907" s="29"/>
      <c r="H907" s="26"/>
    </row>
    <row r="908" ht="15.75" customHeight="1">
      <c r="A908" s="19">
        <v>907.0</v>
      </c>
      <c r="B908" s="32" t="s">
        <v>59</v>
      </c>
      <c r="C908" s="86" t="s">
        <v>642</v>
      </c>
      <c r="D908" s="43" t="s">
        <v>623</v>
      </c>
      <c r="E908" s="56"/>
      <c r="F908" s="97" t="s">
        <v>643</v>
      </c>
      <c r="G908" s="29"/>
      <c r="H908" s="26"/>
    </row>
    <row r="909" ht="15.75" customHeight="1">
      <c r="A909" s="19">
        <v>908.0</v>
      </c>
      <c r="B909" s="32" t="s">
        <v>59</v>
      </c>
      <c r="C909" s="86" t="s">
        <v>644</v>
      </c>
      <c r="D909" s="43" t="s">
        <v>645</v>
      </c>
      <c r="E909" s="56"/>
      <c r="F909" s="97" t="s">
        <v>646</v>
      </c>
      <c r="G909" s="29"/>
      <c r="H909" s="26"/>
    </row>
    <row r="910" ht="15.75" customHeight="1">
      <c r="A910" s="19">
        <v>909.0</v>
      </c>
      <c r="B910" s="32" t="s">
        <v>59</v>
      </c>
      <c r="C910" s="86" t="s">
        <v>647</v>
      </c>
      <c r="D910" s="43" t="s">
        <v>623</v>
      </c>
      <c r="E910" s="56"/>
      <c r="F910" s="97" t="s">
        <v>648</v>
      </c>
      <c r="G910" s="29"/>
      <c r="H910" s="26"/>
    </row>
    <row r="911" ht="15.75" customHeight="1">
      <c r="A911" s="19">
        <v>910.0</v>
      </c>
      <c r="B911" s="32" t="s">
        <v>59</v>
      </c>
      <c r="C911" s="86" t="s">
        <v>649</v>
      </c>
      <c r="D911" s="43" t="s">
        <v>623</v>
      </c>
      <c r="E911" s="56"/>
      <c r="F911" s="97" t="s">
        <v>650</v>
      </c>
      <c r="G911" s="29"/>
      <c r="H911" s="26"/>
    </row>
    <row r="912" ht="15.75" customHeight="1">
      <c r="A912" s="19">
        <v>911.0</v>
      </c>
      <c r="B912" s="32" t="s">
        <v>59</v>
      </c>
      <c r="C912" s="86" t="s">
        <v>651</v>
      </c>
      <c r="D912" s="43" t="s">
        <v>652</v>
      </c>
      <c r="E912" s="56"/>
      <c r="F912" s="97" t="s">
        <v>653</v>
      </c>
      <c r="G912" s="29"/>
      <c r="H912" s="26"/>
    </row>
    <row r="913" ht="15.75" customHeight="1">
      <c r="A913" s="19">
        <v>912.0</v>
      </c>
      <c r="B913" s="32" t="s">
        <v>59</v>
      </c>
      <c r="C913" s="86" t="s">
        <v>654</v>
      </c>
      <c r="D913" s="43" t="s">
        <v>623</v>
      </c>
      <c r="E913" s="56"/>
      <c r="F913" s="99" t="s">
        <v>655</v>
      </c>
      <c r="G913" s="29"/>
      <c r="H913" s="26"/>
    </row>
    <row r="914" ht="15.75" customHeight="1">
      <c r="A914" s="21">
        <v>913.0</v>
      </c>
      <c r="B914" s="32" t="s">
        <v>59</v>
      </c>
      <c r="C914" s="86" t="s">
        <v>656</v>
      </c>
      <c r="D914" s="43" t="s">
        <v>652</v>
      </c>
      <c r="E914" s="56"/>
      <c r="F914" s="97" t="s">
        <v>657</v>
      </c>
      <c r="G914" s="29"/>
      <c r="H914" s="26"/>
    </row>
    <row r="915" ht="15.75" customHeight="1">
      <c r="A915" s="19">
        <v>914.0</v>
      </c>
      <c r="B915" s="32" t="s">
        <v>59</v>
      </c>
      <c r="C915" s="86" t="s">
        <v>658</v>
      </c>
      <c r="D915" s="43" t="s">
        <v>652</v>
      </c>
      <c r="E915" s="56"/>
      <c r="F915" s="97" t="s">
        <v>659</v>
      </c>
      <c r="G915" s="29"/>
      <c r="H915" s="26"/>
    </row>
    <row r="916" ht="15.75" customHeight="1">
      <c r="A916" s="21">
        <v>915.0</v>
      </c>
      <c r="B916" s="32" t="s">
        <v>59</v>
      </c>
      <c r="C916" s="86" t="s">
        <v>1491</v>
      </c>
      <c r="D916" s="43" t="s">
        <v>1492</v>
      </c>
      <c r="E916" s="56"/>
      <c r="F916" s="97" t="s">
        <v>1493</v>
      </c>
      <c r="G916" s="29"/>
      <c r="H916" s="26"/>
    </row>
    <row r="917" ht="15.75" customHeight="1">
      <c r="A917" s="19">
        <v>916.0</v>
      </c>
      <c r="B917" s="32" t="s">
        <v>41</v>
      </c>
      <c r="C917" s="33" t="s">
        <v>1494</v>
      </c>
      <c r="D917" s="33" t="s">
        <v>250</v>
      </c>
      <c r="E917" s="56"/>
      <c r="F917" s="33">
        <v>3.759815197E9</v>
      </c>
      <c r="G917" s="29"/>
      <c r="H917" s="26"/>
    </row>
    <row r="918" ht="15.75" customHeight="1">
      <c r="A918" s="19">
        <v>917.0</v>
      </c>
      <c r="B918" s="32" t="s">
        <v>41</v>
      </c>
      <c r="C918" s="33" t="s">
        <v>1495</v>
      </c>
      <c r="D918" s="33" t="s">
        <v>250</v>
      </c>
      <c r="E918" s="56"/>
      <c r="F918" s="33">
        <v>4.3999988819E10</v>
      </c>
      <c r="G918" s="29"/>
      <c r="H918" s="26"/>
    </row>
    <row r="919" ht="15.75" customHeight="1">
      <c r="A919" s="19">
        <v>918.0</v>
      </c>
      <c r="B919" s="32" t="s">
        <v>34</v>
      </c>
      <c r="C919" s="33" t="s">
        <v>1496</v>
      </c>
      <c r="D919" s="33" t="s">
        <v>241</v>
      </c>
      <c r="E919" s="56"/>
      <c r="F919" s="33">
        <v>3.93502155E8</v>
      </c>
      <c r="G919" s="29"/>
      <c r="H919" s="26"/>
    </row>
    <row r="920" ht="15.75" customHeight="1">
      <c r="A920" s="19">
        <v>919.0</v>
      </c>
      <c r="B920" s="32" t="s">
        <v>34</v>
      </c>
      <c r="C920" s="33" t="s">
        <v>1497</v>
      </c>
      <c r="D920" s="33" t="s">
        <v>241</v>
      </c>
      <c r="E920" s="56"/>
      <c r="F920" s="33">
        <v>2.764757123E9</v>
      </c>
      <c r="G920" s="29"/>
      <c r="H920" s="26"/>
    </row>
    <row r="921" ht="15.75" customHeight="1">
      <c r="A921" s="21">
        <v>920.0</v>
      </c>
      <c r="B921" s="32" t="s">
        <v>34</v>
      </c>
      <c r="C921" s="33" t="s">
        <v>1498</v>
      </c>
      <c r="D921" s="33" t="s">
        <v>241</v>
      </c>
      <c r="E921" s="56"/>
      <c r="F921" s="33">
        <v>6.2313368327E10</v>
      </c>
      <c r="G921" s="29"/>
      <c r="H921" s="26"/>
    </row>
    <row r="922" ht="15.75" customHeight="1">
      <c r="A922" s="19">
        <v>921.0</v>
      </c>
      <c r="B922" s="32" t="s">
        <v>34</v>
      </c>
      <c r="C922" s="33" t="s">
        <v>1499</v>
      </c>
      <c r="D922" s="33" t="s">
        <v>1500</v>
      </c>
      <c r="E922" s="56"/>
      <c r="F922" s="33">
        <v>7.1305496108E10</v>
      </c>
      <c r="G922" s="29"/>
      <c r="H922" s="26"/>
    </row>
    <row r="923" ht="15.75" customHeight="1">
      <c r="A923" s="19">
        <v>922.0</v>
      </c>
      <c r="B923" s="32" t="s">
        <v>37</v>
      </c>
      <c r="C923" s="33" t="s">
        <v>1501</v>
      </c>
      <c r="D923" s="33" t="s">
        <v>1492</v>
      </c>
      <c r="E923" s="56"/>
      <c r="F923" s="33">
        <v>7.5713055191E10</v>
      </c>
      <c r="G923" s="29"/>
      <c r="H923" s="26"/>
    </row>
    <row r="924" ht="15.75" customHeight="1">
      <c r="A924" s="19">
        <v>923.0</v>
      </c>
      <c r="B924" s="32" t="s">
        <v>35</v>
      </c>
      <c r="C924" s="33" t="s">
        <v>1502</v>
      </c>
      <c r="D924" s="33" t="s">
        <v>1503</v>
      </c>
      <c r="E924" s="56"/>
      <c r="F924" s="33">
        <v>7.0179753169E10</v>
      </c>
      <c r="G924" s="29"/>
      <c r="H924" s="26"/>
    </row>
    <row r="925" ht="15.75" customHeight="1">
      <c r="A925" s="19">
        <v>924.0</v>
      </c>
      <c r="B925" s="32" t="s">
        <v>58</v>
      </c>
      <c r="C925" s="33" t="s">
        <v>1504</v>
      </c>
      <c r="D925" s="33" t="s">
        <v>170</v>
      </c>
      <c r="E925" s="56"/>
      <c r="F925" s="33">
        <v>1.197224106E9</v>
      </c>
      <c r="G925" s="29"/>
      <c r="H925" s="26"/>
    </row>
    <row r="926" ht="15.75" customHeight="1">
      <c r="A926" s="19">
        <v>925.0</v>
      </c>
      <c r="B926" s="32" t="s">
        <v>33</v>
      </c>
      <c r="C926" s="33" t="s">
        <v>1505</v>
      </c>
      <c r="D926" s="33" t="s">
        <v>170</v>
      </c>
      <c r="E926" s="56"/>
      <c r="F926" s="33">
        <v>2.624314164E9</v>
      </c>
      <c r="G926" s="29"/>
      <c r="H926" s="26"/>
    </row>
    <row r="927" ht="15.75" customHeight="1">
      <c r="A927" s="19">
        <v>926.0</v>
      </c>
      <c r="B927" s="32" t="s">
        <v>70</v>
      </c>
      <c r="C927" s="33" t="s">
        <v>1506</v>
      </c>
      <c r="D927" s="33" t="s">
        <v>1233</v>
      </c>
      <c r="E927" s="56"/>
      <c r="F927" s="33">
        <v>2.429966123E9</v>
      </c>
      <c r="G927" s="29"/>
      <c r="H927" s="26"/>
    </row>
    <row r="928" ht="15.75" customHeight="1">
      <c r="A928" s="21">
        <v>927.0</v>
      </c>
      <c r="B928" s="32" t="s">
        <v>35</v>
      </c>
      <c r="C928" s="33" t="s">
        <v>1507</v>
      </c>
      <c r="D928" s="33" t="s">
        <v>216</v>
      </c>
      <c r="E928" s="56"/>
      <c r="F928" s="33">
        <v>7.0546273181E10</v>
      </c>
      <c r="G928" s="29"/>
      <c r="H928" s="26"/>
    </row>
    <row r="929" ht="15.75" customHeight="1">
      <c r="A929" s="19">
        <v>928.0</v>
      </c>
      <c r="B929" s="32" t="s">
        <v>41</v>
      </c>
      <c r="C929" s="33" t="s">
        <v>1508</v>
      </c>
      <c r="D929" s="33" t="s">
        <v>1315</v>
      </c>
      <c r="E929" s="56"/>
      <c r="F929" s="33">
        <v>7.1375897152E10</v>
      </c>
      <c r="G929" s="29"/>
      <c r="H929" s="26"/>
    </row>
    <row r="930" ht="15.75" customHeight="1">
      <c r="A930" s="21">
        <v>929.0</v>
      </c>
      <c r="B930" s="32" t="s">
        <v>70</v>
      </c>
      <c r="C930" s="100" t="s">
        <v>1509</v>
      </c>
      <c r="D930" s="101" t="s">
        <v>1233</v>
      </c>
      <c r="E930" s="102"/>
      <c r="F930" s="100" t="s">
        <v>888</v>
      </c>
      <c r="G930" s="29"/>
      <c r="H930" s="26"/>
    </row>
    <row r="931" ht="15.75" customHeight="1">
      <c r="A931" s="19">
        <v>930.0</v>
      </c>
      <c r="B931" s="32" t="s">
        <v>70</v>
      </c>
      <c r="C931" s="100" t="s">
        <v>1510</v>
      </c>
      <c r="D931" s="101" t="s">
        <v>1233</v>
      </c>
      <c r="E931" s="102"/>
      <c r="F931" s="100" t="s">
        <v>1511</v>
      </c>
      <c r="G931" s="29"/>
      <c r="H931" s="26"/>
    </row>
    <row r="932" ht="15.75" customHeight="1">
      <c r="A932" s="19">
        <v>931.0</v>
      </c>
      <c r="B932" s="32" t="s">
        <v>70</v>
      </c>
      <c r="C932" s="100" t="s">
        <v>1512</v>
      </c>
      <c r="D932" s="101" t="s">
        <v>1233</v>
      </c>
      <c r="E932" s="102"/>
      <c r="F932" s="100" t="s">
        <v>878</v>
      </c>
      <c r="G932" s="29"/>
      <c r="H932" s="26"/>
    </row>
    <row r="933" ht="15.75" customHeight="1">
      <c r="A933" s="19">
        <v>932.0</v>
      </c>
      <c r="B933" s="32" t="s">
        <v>70</v>
      </c>
      <c r="C933" s="100" t="s">
        <v>1513</v>
      </c>
      <c r="D933" s="101" t="s">
        <v>1233</v>
      </c>
      <c r="E933" s="102"/>
      <c r="F933" s="100" t="s">
        <v>1514</v>
      </c>
      <c r="G933" s="29"/>
      <c r="H933" s="26"/>
    </row>
    <row r="934" ht="15.75" customHeight="1">
      <c r="A934" s="19">
        <v>933.0</v>
      </c>
      <c r="B934" s="32" t="s">
        <v>70</v>
      </c>
      <c r="C934" s="59" t="s">
        <v>1515</v>
      </c>
      <c r="D934" s="103" t="s">
        <v>1233</v>
      </c>
      <c r="E934" s="34"/>
      <c r="F934" s="59" t="s">
        <v>1516</v>
      </c>
      <c r="G934" s="29"/>
      <c r="H934" s="26"/>
    </row>
    <row r="935" ht="15.75" customHeight="1">
      <c r="A935" s="21">
        <v>934.0</v>
      </c>
      <c r="B935" s="32" t="s">
        <v>34</v>
      </c>
      <c r="C935" s="104" t="s">
        <v>1517</v>
      </c>
      <c r="D935" s="104" t="s">
        <v>241</v>
      </c>
      <c r="E935" s="56"/>
      <c r="F935" s="104">
        <v>3.400793124E9</v>
      </c>
      <c r="G935" s="29"/>
      <c r="H935" s="26"/>
    </row>
    <row r="936" ht="15.75" customHeight="1">
      <c r="A936" s="19">
        <v>935.0</v>
      </c>
      <c r="B936" s="32" t="s">
        <v>44</v>
      </c>
      <c r="C936" s="104" t="s">
        <v>1518</v>
      </c>
      <c r="D936" s="104" t="s">
        <v>269</v>
      </c>
      <c r="E936" s="56"/>
      <c r="F936" s="104">
        <v>7.1290770182E10</v>
      </c>
      <c r="G936" s="29"/>
      <c r="H936" s="26"/>
    </row>
    <row r="937" ht="15.75" customHeight="1">
      <c r="A937" s="19">
        <v>936.0</v>
      </c>
      <c r="B937" s="32" t="s">
        <v>44</v>
      </c>
      <c r="C937" s="104" t="s">
        <v>1519</v>
      </c>
      <c r="D937" s="104" t="s">
        <v>170</v>
      </c>
      <c r="E937" s="56"/>
      <c r="F937" s="104">
        <v>3.964917222E10</v>
      </c>
      <c r="G937" s="29"/>
      <c r="H937" s="26"/>
    </row>
    <row r="938" ht="15.75" customHeight="1">
      <c r="A938" s="19">
        <v>937.0</v>
      </c>
      <c r="B938" s="32"/>
      <c r="C938" s="104" t="s">
        <v>1520</v>
      </c>
      <c r="D938" s="104" t="s">
        <v>1521</v>
      </c>
      <c r="E938" s="56"/>
      <c r="F938" s="104">
        <v>7.3645559191E10</v>
      </c>
      <c r="G938" s="29"/>
      <c r="H938" s="26"/>
    </row>
    <row r="939" ht="15.75" customHeight="1">
      <c r="A939" s="19">
        <v>938.0</v>
      </c>
      <c r="B939" s="32" t="s">
        <v>88</v>
      </c>
      <c r="C939" s="104" t="s">
        <v>1522</v>
      </c>
      <c r="D939" s="104" t="s">
        <v>1521</v>
      </c>
      <c r="E939" s="56"/>
      <c r="F939" s="104" t="s">
        <v>1523</v>
      </c>
      <c r="G939" s="29"/>
      <c r="H939" s="26"/>
    </row>
    <row r="940" ht="15.75" customHeight="1">
      <c r="A940" s="19">
        <v>939.0</v>
      </c>
      <c r="B940" s="32" t="s">
        <v>41</v>
      </c>
      <c r="C940" s="104" t="s">
        <v>1524</v>
      </c>
      <c r="D940" s="104" t="s">
        <v>1525</v>
      </c>
      <c r="E940" s="56"/>
      <c r="F940" s="104">
        <v>7.0482715154E10</v>
      </c>
      <c r="G940" s="29"/>
      <c r="H940" s="26"/>
    </row>
    <row r="941" ht="15.75" customHeight="1">
      <c r="A941" s="19">
        <v>940.0</v>
      </c>
      <c r="B941" s="32" t="s">
        <v>88</v>
      </c>
      <c r="C941" s="104" t="s">
        <v>1526</v>
      </c>
      <c r="D941" s="104" t="s">
        <v>538</v>
      </c>
      <c r="E941" s="56"/>
      <c r="F941" s="104">
        <v>7.0642940444E10</v>
      </c>
      <c r="G941" s="29"/>
      <c r="H941" s="26"/>
    </row>
    <row r="942" ht="15.75" customHeight="1">
      <c r="A942" s="21">
        <v>941.0</v>
      </c>
      <c r="B942" s="32" t="s">
        <v>88</v>
      </c>
      <c r="C942" s="104" t="s">
        <v>1527</v>
      </c>
      <c r="D942" s="104" t="s">
        <v>1315</v>
      </c>
      <c r="E942" s="56"/>
      <c r="F942" s="104">
        <v>3.5294825104E10</v>
      </c>
      <c r="G942" s="29"/>
      <c r="H942" s="26"/>
    </row>
    <row r="943" ht="15.75" customHeight="1">
      <c r="A943" s="19">
        <v>942.0</v>
      </c>
      <c r="B943" s="32" t="s">
        <v>88</v>
      </c>
      <c r="C943" s="104" t="s">
        <v>1528</v>
      </c>
      <c r="D943" s="104" t="s">
        <v>538</v>
      </c>
      <c r="E943" s="56"/>
      <c r="F943" s="104">
        <v>4.556924596E9</v>
      </c>
      <c r="G943" s="29"/>
      <c r="H943" s="26"/>
    </row>
    <row r="944" ht="15.75" customHeight="1">
      <c r="A944" s="21">
        <v>943.0</v>
      </c>
      <c r="B944" s="32" t="s">
        <v>37</v>
      </c>
      <c r="C944" s="104" t="s">
        <v>1529</v>
      </c>
      <c r="D944" s="104" t="s">
        <v>199</v>
      </c>
      <c r="E944" s="56"/>
      <c r="F944" s="104">
        <v>7.285340103E9</v>
      </c>
      <c r="G944" s="29"/>
      <c r="H944" s="26"/>
    </row>
    <row r="945" ht="15.75" customHeight="1">
      <c r="A945" s="19">
        <v>944.0</v>
      </c>
      <c r="B945" s="32" t="s">
        <v>7</v>
      </c>
      <c r="C945" s="104" t="s">
        <v>1530</v>
      </c>
      <c r="D945" s="104" t="s">
        <v>97</v>
      </c>
      <c r="E945" s="56"/>
      <c r="F945" s="104" t="s">
        <v>1531</v>
      </c>
      <c r="G945" s="29"/>
      <c r="H945" s="26"/>
    </row>
    <row r="946" ht="15.75" customHeight="1">
      <c r="A946" s="19">
        <v>945.0</v>
      </c>
      <c r="B946" s="32" t="s">
        <v>29</v>
      </c>
      <c r="C946" s="104" t="s">
        <v>1532</v>
      </c>
      <c r="D946" s="104" t="s">
        <v>1533</v>
      </c>
      <c r="E946" s="56"/>
      <c r="F946" s="104">
        <v>7.0582346172E10</v>
      </c>
      <c r="G946" s="29"/>
      <c r="H946" s="26"/>
    </row>
    <row r="947" ht="15.75" customHeight="1">
      <c r="A947" s="19">
        <v>946.0</v>
      </c>
      <c r="B947" s="32" t="s">
        <v>29</v>
      </c>
      <c r="C947" s="104" t="s">
        <v>1534</v>
      </c>
      <c r="D947" s="104" t="s">
        <v>1533</v>
      </c>
      <c r="E947" s="56"/>
      <c r="F947" s="104">
        <v>9.7555185172E10</v>
      </c>
      <c r="G947" s="29"/>
      <c r="H947" s="26"/>
    </row>
    <row r="948" ht="15.75" customHeight="1">
      <c r="A948" s="19">
        <v>947.0</v>
      </c>
      <c r="B948" s="32" t="s">
        <v>29</v>
      </c>
      <c r="C948" s="104" t="s">
        <v>1535</v>
      </c>
      <c r="D948" s="104" t="s">
        <v>1533</v>
      </c>
      <c r="E948" s="56"/>
      <c r="F948" s="104">
        <v>5.5800386153E10</v>
      </c>
      <c r="G948" s="29"/>
      <c r="H948" s="26"/>
    </row>
    <row r="949" ht="15.75" customHeight="1">
      <c r="A949" s="21">
        <v>948.0</v>
      </c>
      <c r="B949" s="32" t="s">
        <v>29</v>
      </c>
      <c r="C949" s="104" t="s">
        <v>1536</v>
      </c>
      <c r="D949" s="104" t="s">
        <v>1533</v>
      </c>
      <c r="E949" s="56"/>
      <c r="F949" s="104">
        <v>9.01055328E9</v>
      </c>
      <c r="G949" s="29"/>
      <c r="H949" s="26"/>
    </row>
    <row r="950" ht="15.75" customHeight="1">
      <c r="A950" s="19">
        <v>949.0</v>
      </c>
      <c r="B950" s="32" t="s">
        <v>37</v>
      </c>
      <c r="C950" s="33" t="s">
        <v>1537</v>
      </c>
      <c r="D950" s="33" t="s">
        <v>1538</v>
      </c>
      <c r="E950" s="56"/>
      <c r="F950" s="33">
        <v>3.822477281E9</v>
      </c>
      <c r="G950" s="29"/>
      <c r="H950" s="26"/>
    </row>
    <row r="951" ht="15.75" customHeight="1">
      <c r="A951" s="19">
        <v>950.0</v>
      </c>
      <c r="B951" s="32" t="s">
        <v>37</v>
      </c>
      <c r="C951" s="33" t="s">
        <v>1539</v>
      </c>
      <c r="D951" s="33" t="s">
        <v>170</v>
      </c>
      <c r="E951" s="56"/>
      <c r="F951" s="33">
        <v>4.856550128E9</v>
      </c>
      <c r="G951" s="29"/>
      <c r="H951" s="26"/>
    </row>
    <row r="952" ht="15.75" customHeight="1">
      <c r="A952" s="19">
        <v>951.0</v>
      </c>
      <c r="B952" s="32" t="s">
        <v>58</v>
      </c>
      <c r="C952" s="33" t="s">
        <v>1540</v>
      </c>
      <c r="D952" s="33" t="s">
        <v>560</v>
      </c>
      <c r="E952" s="56"/>
      <c r="F952" s="33">
        <v>7.0372232124E10</v>
      </c>
      <c r="G952" s="29"/>
      <c r="H952" s="26"/>
    </row>
    <row r="953" ht="15.75" customHeight="1">
      <c r="A953" s="19">
        <v>952.0</v>
      </c>
      <c r="B953" s="32" t="s">
        <v>58</v>
      </c>
      <c r="C953" s="33" t="s">
        <v>1541</v>
      </c>
      <c r="D953" s="33" t="s">
        <v>1542</v>
      </c>
      <c r="E953" s="56"/>
      <c r="F953" s="33">
        <v>6.1425518354E10</v>
      </c>
      <c r="G953" s="29"/>
      <c r="H953" s="26"/>
    </row>
    <row r="954" ht="15.75" customHeight="1">
      <c r="A954" s="19">
        <v>953.0</v>
      </c>
      <c r="B954" s="32" t="s">
        <v>58</v>
      </c>
      <c r="C954" s="33" t="s">
        <v>1543</v>
      </c>
      <c r="D954" s="33" t="s">
        <v>566</v>
      </c>
      <c r="E954" s="56"/>
      <c r="F954" s="33">
        <v>1.719209103E9</v>
      </c>
      <c r="G954" s="29"/>
      <c r="H954" s="26"/>
    </row>
    <row r="955" ht="15.75" customHeight="1">
      <c r="A955" s="19">
        <v>954.0</v>
      </c>
      <c r="B955" s="32" t="s">
        <v>58</v>
      </c>
      <c r="C955" s="33" t="s">
        <v>1544</v>
      </c>
      <c r="D955" s="33" t="s">
        <v>1542</v>
      </c>
      <c r="E955" s="56"/>
      <c r="F955" s="33">
        <v>7.056018114E10</v>
      </c>
      <c r="G955" s="29"/>
      <c r="H955" s="26"/>
    </row>
    <row r="956" ht="15.75" customHeight="1">
      <c r="A956" s="21">
        <v>955.0</v>
      </c>
      <c r="B956" s="32" t="s">
        <v>79</v>
      </c>
      <c r="C956" s="33" t="s">
        <v>1545</v>
      </c>
      <c r="D956" s="33" t="s">
        <v>216</v>
      </c>
      <c r="E956" s="56"/>
      <c r="F956" s="33">
        <v>2.327820162E9</v>
      </c>
      <c r="G956" s="29"/>
      <c r="H956" s="26"/>
    </row>
    <row r="957" ht="15.75" customHeight="1">
      <c r="A957" s="19">
        <v>956.0</v>
      </c>
      <c r="B957" s="32" t="s">
        <v>79</v>
      </c>
      <c r="C957" s="33" t="s">
        <v>1546</v>
      </c>
      <c r="D957" s="33" t="s">
        <v>543</v>
      </c>
      <c r="E957" s="56"/>
      <c r="F957" s="33">
        <v>1.509173984E9</v>
      </c>
      <c r="G957" s="29"/>
      <c r="H957" s="26"/>
    </row>
    <row r="958" ht="15.75" customHeight="1">
      <c r="A958" s="21">
        <v>957.0</v>
      </c>
      <c r="B958" s="32" t="s">
        <v>15</v>
      </c>
      <c r="C958" s="33" t="s">
        <v>1547</v>
      </c>
      <c r="D958" s="33" t="s">
        <v>1311</v>
      </c>
      <c r="E958" s="56"/>
      <c r="F958" s="33">
        <v>5.59830815E9</v>
      </c>
      <c r="G958" s="29"/>
      <c r="H958" s="26"/>
    </row>
    <row r="959" ht="15.75" customHeight="1">
      <c r="A959" s="19">
        <v>958.0</v>
      </c>
      <c r="B959" s="32" t="s">
        <v>31</v>
      </c>
      <c r="C959" s="33" t="s">
        <v>1548</v>
      </c>
      <c r="D959" s="33" t="s">
        <v>1315</v>
      </c>
      <c r="E959" s="56"/>
      <c r="F959" s="33">
        <v>1.1854683586E10</v>
      </c>
      <c r="G959" s="29"/>
      <c r="H959" s="26"/>
    </row>
    <row r="960" ht="15.75" customHeight="1">
      <c r="A960" s="19">
        <v>959.0</v>
      </c>
      <c r="B960" s="32" t="s">
        <v>31</v>
      </c>
      <c r="C960" s="33" t="s">
        <v>1549</v>
      </c>
      <c r="D960" s="33" t="s">
        <v>1550</v>
      </c>
      <c r="E960" s="56"/>
      <c r="F960" s="33">
        <v>7.604802575E9</v>
      </c>
      <c r="G960" s="29"/>
      <c r="H960" s="26"/>
    </row>
    <row r="961" ht="15.75" customHeight="1">
      <c r="A961" s="19">
        <v>960.0</v>
      </c>
      <c r="B961" s="32" t="s">
        <v>31</v>
      </c>
      <c r="C961" s="33" t="s">
        <v>1551</v>
      </c>
      <c r="D961" s="33" t="s">
        <v>1315</v>
      </c>
      <c r="E961" s="56"/>
      <c r="F961" s="33">
        <v>7.1395944148E10</v>
      </c>
      <c r="G961" s="29"/>
      <c r="H961" s="26"/>
    </row>
    <row r="962" ht="15.75" customHeight="1">
      <c r="A962" s="19">
        <v>961.0</v>
      </c>
      <c r="B962" s="32" t="s">
        <v>70</v>
      </c>
      <c r="C962" s="33" t="s">
        <v>1552</v>
      </c>
      <c r="D962" s="33" t="s">
        <v>70</v>
      </c>
      <c r="E962" s="56"/>
      <c r="F962" s="33" t="s">
        <v>1553</v>
      </c>
      <c r="G962" s="29"/>
      <c r="H962" s="26"/>
    </row>
    <row r="963" ht="15.75" customHeight="1">
      <c r="A963" s="21">
        <v>962.0</v>
      </c>
      <c r="B963" s="32" t="s">
        <v>70</v>
      </c>
      <c r="C963" s="105" t="s">
        <v>1554</v>
      </c>
      <c r="D963" s="33" t="s">
        <v>70</v>
      </c>
      <c r="E963" s="56"/>
      <c r="F963" s="33" t="s">
        <v>1555</v>
      </c>
      <c r="G963" s="29"/>
      <c r="H963" s="26"/>
    </row>
    <row r="964" ht="15.75" customHeight="1">
      <c r="A964" s="19">
        <v>963.0</v>
      </c>
      <c r="B964" s="32" t="s">
        <v>74</v>
      </c>
      <c r="C964" s="33"/>
      <c r="D964" s="56"/>
      <c r="E964" s="56"/>
      <c r="F964" s="56"/>
      <c r="G964" s="29"/>
      <c r="H964" s="26"/>
    </row>
    <row r="965" ht="15.75" customHeight="1">
      <c r="A965" s="19">
        <v>964.0</v>
      </c>
      <c r="B965" s="32" t="s">
        <v>74</v>
      </c>
      <c r="C965" s="33" t="s">
        <v>1556</v>
      </c>
      <c r="D965" s="33" t="s">
        <v>538</v>
      </c>
      <c r="E965" s="56"/>
      <c r="F965" s="33">
        <v>7.0077383117E10</v>
      </c>
      <c r="G965" s="29"/>
      <c r="H965" s="26"/>
    </row>
    <row r="966" ht="15.75" customHeight="1">
      <c r="A966" s="19">
        <v>965.0</v>
      </c>
      <c r="B966" s="32" t="s">
        <v>58</v>
      </c>
      <c r="C966" s="33" t="s">
        <v>1557</v>
      </c>
      <c r="D966" s="33" t="s">
        <v>1558</v>
      </c>
      <c r="E966" s="56"/>
      <c r="F966" s="33">
        <v>3.979522105E9</v>
      </c>
      <c r="G966" s="29"/>
      <c r="H966" s="26"/>
    </row>
    <row r="967" ht="15.75" customHeight="1">
      <c r="A967" s="19">
        <v>966.0</v>
      </c>
      <c r="B967" s="32" t="s">
        <v>58</v>
      </c>
      <c r="C967" s="33" t="s">
        <v>1559</v>
      </c>
      <c r="D967" s="33" t="s">
        <v>1560</v>
      </c>
      <c r="E967" s="56"/>
      <c r="F967" s="33">
        <v>3.496750154E9</v>
      </c>
      <c r="G967" s="29"/>
      <c r="H967" s="26"/>
    </row>
    <row r="968" ht="15.75" customHeight="1">
      <c r="A968" s="19">
        <v>967.0</v>
      </c>
      <c r="B968" s="32" t="s">
        <v>58</v>
      </c>
      <c r="C968" s="33" t="s">
        <v>1561</v>
      </c>
      <c r="D968" s="33" t="s">
        <v>1246</v>
      </c>
      <c r="E968" s="56"/>
      <c r="F968" s="33">
        <v>8.313422181E9</v>
      </c>
      <c r="G968" s="29"/>
      <c r="H968" s="26"/>
    </row>
    <row r="969" ht="15.75" customHeight="1">
      <c r="A969" s="19">
        <v>968.0</v>
      </c>
      <c r="B969" s="32" t="s">
        <v>58</v>
      </c>
      <c r="C969" s="33" t="s">
        <v>1562</v>
      </c>
      <c r="D969" s="33" t="s">
        <v>1246</v>
      </c>
      <c r="E969" s="56"/>
      <c r="F969" s="33">
        <v>3.652393139E9</v>
      </c>
      <c r="G969" s="29"/>
      <c r="H969" s="26"/>
    </row>
    <row r="970" ht="15.75" customHeight="1">
      <c r="A970" s="21">
        <v>969.0</v>
      </c>
      <c r="B970" s="32" t="s">
        <v>43</v>
      </c>
      <c r="C970" s="33" t="s">
        <v>1563</v>
      </c>
      <c r="D970" s="33" t="s">
        <v>1564</v>
      </c>
      <c r="E970" s="56"/>
      <c r="F970" s="33">
        <v>2.561623106E9</v>
      </c>
      <c r="G970" s="29"/>
      <c r="H970" s="26"/>
    </row>
    <row r="971" ht="15.75" customHeight="1">
      <c r="A971" s="19">
        <v>970.0</v>
      </c>
      <c r="B971" s="32" t="s">
        <v>50</v>
      </c>
      <c r="C971" s="33" t="s">
        <v>1565</v>
      </c>
      <c r="D971" s="33" t="s">
        <v>170</v>
      </c>
      <c r="E971" s="56"/>
      <c r="F971" s="33">
        <v>4.6663019134E10</v>
      </c>
      <c r="G971" s="29"/>
      <c r="H971" s="26"/>
    </row>
    <row r="972" ht="15.75" customHeight="1">
      <c r="A972" s="21">
        <v>971.0</v>
      </c>
      <c r="B972" s="32" t="s">
        <v>37</v>
      </c>
      <c r="C972" s="33" t="s">
        <v>1566</v>
      </c>
      <c r="D972" s="33" t="s">
        <v>1567</v>
      </c>
      <c r="E972" s="56"/>
      <c r="F972" s="33">
        <v>1.734098147E9</v>
      </c>
      <c r="G972" s="29"/>
      <c r="H972" s="26"/>
    </row>
    <row r="973" ht="15.75" customHeight="1">
      <c r="A973" s="19">
        <v>972.0</v>
      </c>
      <c r="B973" s="32" t="s">
        <v>37</v>
      </c>
      <c r="C973" s="33" t="s">
        <v>1568</v>
      </c>
      <c r="D973" s="33" t="s">
        <v>538</v>
      </c>
      <c r="E973" s="56"/>
      <c r="F973" s="33">
        <v>5.060163156E9</v>
      </c>
      <c r="G973" s="29"/>
      <c r="H973" s="26"/>
    </row>
    <row r="974" ht="15.75" customHeight="1">
      <c r="A974" s="19">
        <v>973.0</v>
      </c>
      <c r="B974" s="32" t="s">
        <v>37</v>
      </c>
      <c r="C974" s="33" t="s">
        <v>1569</v>
      </c>
      <c r="D974" s="33" t="s">
        <v>538</v>
      </c>
      <c r="E974" s="56"/>
      <c r="F974" s="33">
        <v>4.294863161E9</v>
      </c>
      <c r="G974" s="29"/>
      <c r="H974" s="26"/>
    </row>
    <row r="975" ht="15.75" customHeight="1">
      <c r="A975" s="19">
        <v>974.0</v>
      </c>
      <c r="B975" s="32" t="s">
        <v>46</v>
      </c>
      <c r="C975" s="33" t="s">
        <v>1570</v>
      </c>
      <c r="D975" s="33" t="s">
        <v>1571</v>
      </c>
      <c r="E975" s="56"/>
      <c r="F975" s="56"/>
      <c r="G975" s="29"/>
      <c r="H975" s="26"/>
    </row>
    <row r="976" ht="15.75" customHeight="1">
      <c r="A976" s="19">
        <v>975.0</v>
      </c>
      <c r="B976" s="32" t="s">
        <v>70</v>
      </c>
      <c r="C976" s="33" t="s">
        <v>1572</v>
      </c>
      <c r="D976" s="33" t="s">
        <v>70</v>
      </c>
      <c r="E976" s="56"/>
      <c r="F976" s="33" t="s">
        <v>1573</v>
      </c>
      <c r="G976" s="29"/>
      <c r="H976" s="26"/>
    </row>
    <row r="977" ht="15.75" customHeight="1">
      <c r="A977" s="21">
        <v>976.0</v>
      </c>
      <c r="B977" s="32"/>
      <c r="C977" s="56"/>
      <c r="D977" s="56"/>
      <c r="E977" s="56"/>
      <c r="F977" s="56"/>
      <c r="G977" s="29"/>
      <c r="H977" s="26"/>
    </row>
    <row r="978" ht="15.75" customHeight="1">
      <c r="A978" s="19">
        <v>977.0</v>
      </c>
      <c r="B978" s="32"/>
      <c r="C978" s="56"/>
      <c r="D978" s="56"/>
      <c r="E978" s="56"/>
      <c r="F978" s="56"/>
      <c r="G978" s="29"/>
      <c r="H978" s="26"/>
    </row>
    <row r="979" ht="15.75" customHeight="1">
      <c r="A979" s="19">
        <v>978.0</v>
      </c>
      <c r="B979" s="32"/>
      <c r="C979" s="56"/>
      <c r="D979" s="56"/>
      <c r="E979" s="56"/>
      <c r="F979" s="56"/>
      <c r="G979" s="29"/>
      <c r="H979" s="26"/>
    </row>
    <row r="980" ht="15.75" customHeight="1">
      <c r="A980" s="19">
        <v>979.0</v>
      </c>
      <c r="B980" s="32"/>
      <c r="C980" s="56"/>
      <c r="D980" s="56"/>
      <c r="E980" s="56"/>
      <c r="F980" s="56"/>
      <c r="G980" s="29"/>
      <c r="H980" s="26"/>
    </row>
    <row r="981" ht="15.75" customHeight="1">
      <c r="A981" s="19">
        <v>980.0</v>
      </c>
      <c r="B981" s="32"/>
      <c r="C981" s="56"/>
      <c r="D981" s="56"/>
      <c r="E981" s="56"/>
      <c r="F981" s="56"/>
      <c r="G981" s="29"/>
      <c r="H981" s="26"/>
    </row>
    <row r="982" ht="15.75" customHeight="1">
      <c r="A982" s="19">
        <v>981.0</v>
      </c>
      <c r="B982" s="32"/>
      <c r="C982" s="56"/>
      <c r="D982" s="56"/>
      <c r="E982" s="56"/>
      <c r="F982" s="56"/>
      <c r="G982" s="29"/>
      <c r="H982" s="26"/>
    </row>
    <row r="983" ht="15.75" customHeight="1">
      <c r="A983" s="19">
        <v>982.0</v>
      </c>
      <c r="B983" s="32"/>
      <c r="C983" s="56"/>
      <c r="D983" s="56"/>
      <c r="E983" s="56"/>
      <c r="F983" s="56"/>
      <c r="G983" s="29"/>
      <c r="H983" s="26"/>
    </row>
    <row r="984" ht="15.75" customHeight="1">
      <c r="A984" s="21">
        <v>983.0</v>
      </c>
      <c r="B984" s="32"/>
      <c r="C984" s="56"/>
      <c r="D984" s="56"/>
      <c r="E984" s="56"/>
      <c r="F984" s="56"/>
      <c r="G984" s="29"/>
      <c r="H984" s="26"/>
    </row>
    <row r="985" ht="15.75" customHeight="1">
      <c r="A985" s="19">
        <v>984.0</v>
      </c>
      <c r="B985" s="32"/>
      <c r="C985" s="56"/>
      <c r="D985" s="56"/>
      <c r="E985" s="56"/>
      <c r="F985" s="56"/>
      <c r="G985" s="29"/>
      <c r="H985" s="26"/>
    </row>
    <row r="986" ht="15.75" customHeight="1">
      <c r="A986" s="21">
        <v>985.0</v>
      </c>
      <c r="B986" s="32"/>
      <c r="C986" s="56"/>
      <c r="D986" s="56"/>
      <c r="E986" s="56"/>
      <c r="F986" s="56"/>
      <c r="G986" s="29"/>
      <c r="H986" s="26"/>
    </row>
    <row r="987" ht="15.75" customHeight="1">
      <c r="A987" s="19">
        <v>986.0</v>
      </c>
      <c r="B987" s="32"/>
      <c r="C987" s="56"/>
      <c r="D987" s="56"/>
      <c r="E987" s="56"/>
      <c r="F987" s="56"/>
      <c r="G987" s="29"/>
      <c r="H987" s="26"/>
    </row>
    <row r="988" ht="15.75" customHeight="1">
      <c r="A988" s="19">
        <v>987.0</v>
      </c>
      <c r="B988" s="32"/>
      <c r="C988" s="56"/>
      <c r="D988" s="56"/>
      <c r="E988" s="56"/>
      <c r="F988" s="56"/>
      <c r="G988" s="29"/>
      <c r="H988" s="26"/>
    </row>
    <row r="989" ht="15.75" customHeight="1">
      <c r="A989" s="19">
        <v>988.0</v>
      </c>
      <c r="B989" s="32"/>
      <c r="C989" s="56"/>
      <c r="D989" s="56"/>
      <c r="E989" s="56"/>
      <c r="F989" s="56"/>
      <c r="G989" s="29"/>
      <c r="H989" s="26"/>
    </row>
    <row r="990" ht="15.75" customHeight="1">
      <c r="A990" s="19">
        <v>989.0</v>
      </c>
      <c r="B990" s="32"/>
      <c r="C990" s="56"/>
      <c r="D990" s="56"/>
      <c r="E990" s="56"/>
      <c r="F990" s="56"/>
      <c r="G990" s="29"/>
      <c r="H990" s="26"/>
    </row>
    <row r="991" ht="15.75" customHeight="1">
      <c r="A991" s="21">
        <v>990.0</v>
      </c>
      <c r="B991" s="32"/>
      <c r="C991" s="56"/>
      <c r="D991" s="56"/>
      <c r="E991" s="56"/>
      <c r="F991" s="56"/>
      <c r="G991" s="29"/>
      <c r="H991" s="26"/>
    </row>
    <row r="992" ht="15.75" customHeight="1">
      <c r="A992" s="19">
        <v>991.0</v>
      </c>
      <c r="B992" s="32"/>
      <c r="C992" s="56"/>
      <c r="D992" s="56"/>
      <c r="E992" s="56"/>
      <c r="F992" s="56"/>
      <c r="G992" s="29"/>
      <c r="H992" s="26"/>
    </row>
    <row r="993" ht="15.75" customHeight="1">
      <c r="A993" s="19">
        <v>992.0</v>
      </c>
      <c r="B993" s="32"/>
      <c r="C993" s="56"/>
      <c r="D993" s="56"/>
      <c r="E993" s="56"/>
      <c r="F993" s="56"/>
      <c r="G993" s="29"/>
      <c r="H993" s="26"/>
    </row>
    <row r="994" ht="15.75" customHeight="1">
      <c r="A994" s="19">
        <v>993.0</v>
      </c>
      <c r="B994" s="32"/>
      <c r="C994" s="56"/>
      <c r="D994" s="56"/>
      <c r="E994" s="56"/>
      <c r="F994" s="56"/>
      <c r="G994" s="29"/>
      <c r="H994" s="26"/>
    </row>
    <row r="995" ht="15.75" customHeight="1">
      <c r="A995" s="19">
        <v>994.0</v>
      </c>
      <c r="B995" s="32"/>
      <c r="C995" s="56"/>
      <c r="D995" s="56"/>
      <c r="E995" s="56"/>
      <c r="F995" s="56"/>
      <c r="G995" s="29"/>
      <c r="H995" s="26"/>
    </row>
    <row r="996" ht="15.75" customHeight="1">
      <c r="A996" s="19">
        <v>995.0</v>
      </c>
      <c r="B996" s="32"/>
      <c r="C996" s="56"/>
      <c r="D996" s="56"/>
      <c r="E996" s="56"/>
      <c r="F996" s="56"/>
      <c r="G996" s="29"/>
      <c r="H996" s="26"/>
    </row>
    <row r="997" ht="15.75" customHeight="1">
      <c r="A997" s="19">
        <v>996.0</v>
      </c>
      <c r="B997" s="32"/>
      <c r="C997" s="56"/>
      <c r="D997" s="56"/>
      <c r="E997" s="56"/>
      <c r="F997" s="56"/>
      <c r="G997" s="29"/>
      <c r="H997" s="26"/>
    </row>
  </sheetData>
  <mergeCells count="2">
    <mergeCell ref="A1:H1"/>
    <mergeCell ref="A2:H2"/>
  </mergeCells>
  <conditionalFormatting sqref="E4:E997">
    <cfRule type="cellIs" dxfId="3" priority="1" operator="equal">
      <formula>"SIM"</formula>
    </cfRule>
  </conditionalFormatting>
  <dataValidations>
    <dataValidation type="list" allowBlank="1" showInputMessage="1" showErrorMessage="1" prompt="Empresa inválida - Selecione uma empresa da lista." sqref="B4:B581 B583:B639 B651:B997">
      <formula1>ListaEmpresas</formula1>
    </dataValidation>
    <dataValidation type="list" allowBlank="1" sqref="E4:E997">
      <formula1>"SIM,NÃO"</formula1>
    </dataValidation>
  </dataValidations>
  <printOptions/>
  <pageMargins bottom="1.0" footer="0.0" header="0.0" left="0.75" right="0.75" top="1.0"/>
  <pageSetup paperSize="9" scale="50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44.86"/>
    <col customWidth="1" min="3" max="3" width="25.14"/>
    <col customWidth="1" min="4" max="4" width="39.29"/>
    <col customWidth="1" min="5" max="5" width="10.0"/>
    <col customWidth="1" min="6" max="6" width="12.0"/>
    <col customWidth="1" min="7" max="7" width="40.71"/>
    <col customWidth="1" min="8" max="8" width="14.0"/>
    <col customWidth="1" min="9" max="9" width="46.71"/>
    <col customWidth="1" min="10" max="10" width="12.0"/>
    <col customWidth="1" min="11" max="11" width="14.43"/>
    <col customWidth="1" min="12" max="12" width="18.0"/>
    <col customWidth="1" min="13" max="26" width="8.71"/>
  </cols>
  <sheetData>
    <row r="1" ht="49.5" customHeight="1">
      <c r="A1" s="106" t="s">
        <v>1574</v>
      </c>
      <c r="B1" s="2"/>
      <c r="C1" s="2"/>
      <c r="D1" s="2"/>
      <c r="E1" s="2"/>
      <c r="F1" s="2"/>
      <c r="G1" s="2"/>
      <c r="H1" s="2"/>
      <c r="I1" s="2"/>
      <c r="J1" s="3"/>
      <c r="K1" s="107"/>
      <c r="L1" s="13"/>
    </row>
    <row r="2" ht="7.5" customHeight="1">
      <c r="A2" s="4"/>
      <c r="B2" s="2"/>
      <c r="C2" s="2"/>
      <c r="D2" s="2"/>
      <c r="E2" s="2"/>
      <c r="F2" s="2"/>
      <c r="G2" s="2"/>
      <c r="H2" s="2"/>
      <c r="I2" s="2"/>
      <c r="J2" s="3"/>
      <c r="K2" s="107"/>
      <c r="L2" s="13"/>
    </row>
    <row r="3" ht="37.5" customHeight="1">
      <c r="A3" s="5" t="s">
        <v>1</v>
      </c>
      <c r="B3" s="5" t="s">
        <v>1575</v>
      </c>
      <c r="C3" s="5" t="s">
        <v>2</v>
      </c>
      <c r="D3" s="5" t="s">
        <v>1576</v>
      </c>
      <c r="E3" s="5" t="s">
        <v>1577</v>
      </c>
      <c r="F3" s="5" t="s">
        <v>1578</v>
      </c>
      <c r="G3" s="108" t="s">
        <v>1579</v>
      </c>
      <c r="H3" s="5" t="s">
        <v>1580</v>
      </c>
      <c r="I3" s="109" t="s">
        <v>1581</v>
      </c>
      <c r="J3" s="5" t="s">
        <v>1582</v>
      </c>
      <c r="K3" s="5" t="s">
        <v>1583</v>
      </c>
      <c r="L3" s="5" t="s">
        <v>1584</v>
      </c>
      <c r="M3" s="110"/>
      <c r="N3" s="110"/>
    </row>
    <row r="4" ht="21.75" customHeight="1">
      <c r="A4" s="111">
        <f>2</f>
        <v>2</v>
      </c>
      <c r="B4" s="112" t="s">
        <v>96</v>
      </c>
      <c r="C4" s="113" t="str">
        <f t="array" ref="C4">IF(B4="","",IFERROR(INDEX('FUNCIONÁRIOS'!$B$4:$B$501,MATCH(B4,'FUNCIONÁRIOS'!$C$4:$C$501,0)),""))</f>
        <v>PONCIANO SOLUÇÕES </v>
      </c>
      <c r="D4" s="113" t="str">
        <f t="array" ref="D4">IF(B4="","",IFERROR(INDEX('FUNCIONÁRIOS'!$D$4:$D$501,MATCH(B4,'FUNCIONÁRIOS'!$C$4:$C$501,0)),""))</f>
        <v>CREDENCIAMENTO</v>
      </c>
      <c r="E4" s="113" t="str">
        <f t="array" ref="E4">IF(B4="","",IFERROR(INDEX('FUNCIONÁRIOS'!$E$4:$E$501,MATCH(B4,'FUNCIONÁRIOS'!$C$4:$C$501,0)),""))</f>
        <v>NÃO</v>
      </c>
      <c r="F4" s="114">
        <v>46160.0</v>
      </c>
      <c r="G4" s="115" t="str">
        <f t="shared" ref="G4:G34" si="1">IF(H4&lt;&gt;"","✅ "&amp;TEXT(H4,"HH:MM"),"→ Selecione a linha e use o menu ⏱️ Ponto")</f>
        <v>✅ 07:30</v>
      </c>
      <c r="H4" s="116" t="s">
        <v>1585</v>
      </c>
      <c r="I4" s="117" t="str">
        <f t="shared" ref="I4:I34" si="2">IF(J4&lt;&gt;"","✅ "&amp;TEXT(J4,"HH:MM"),"→ Selecione a linha e use o menu ⏱️ Ponto")</f>
        <v>✅ 17:43</v>
      </c>
      <c r="J4" s="116" t="s">
        <v>1586</v>
      </c>
      <c r="K4" s="118">
        <f>IF(AND(H4&lt;&gt;"",J4&lt;&gt;""),J4-H4,"")</f>
        <v>0.4256944444</v>
      </c>
      <c r="L4" s="119" t="str">
        <f t="shared" ref="L4:L34" si="3">IF(AND(H4&lt;&gt;"",J4=""),"🟢 No Evento",IF(AND(H4&lt;&gt;"",J4&lt;&gt;""),"✅ Finalizado",IF(B4&lt;&gt;"","⏳ Não entrou","")))</f>
        <v>✅ Finalizado</v>
      </c>
      <c r="M4" s="110"/>
      <c r="N4" s="110"/>
    </row>
    <row r="5" ht="24.75" customHeight="1">
      <c r="A5" s="111"/>
      <c r="B5" s="112" t="s">
        <v>143</v>
      </c>
      <c r="C5" s="120" t="s">
        <v>14</v>
      </c>
      <c r="D5" s="120" t="s">
        <v>144</v>
      </c>
      <c r="E5" s="120" t="s">
        <v>98</v>
      </c>
      <c r="F5" s="114">
        <v>46160.0</v>
      </c>
      <c r="G5" s="115" t="str">
        <f t="shared" si="1"/>
        <v>✅ 08:00</v>
      </c>
      <c r="H5" s="116" t="s">
        <v>1587</v>
      </c>
      <c r="I5" s="117" t="str">
        <f t="shared" si="2"/>
        <v>✅ 17:19</v>
      </c>
      <c r="J5" s="116" t="s">
        <v>1588</v>
      </c>
      <c r="K5" s="121">
        <v>0.38263888888888886</v>
      </c>
      <c r="L5" s="122" t="str">
        <f t="shared" si="3"/>
        <v>✅ Finalizado</v>
      </c>
      <c r="M5" s="110"/>
      <c r="N5" s="110"/>
    </row>
    <row r="6" ht="21.75" customHeight="1">
      <c r="A6" s="111">
        <f>3</f>
        <v>3</v>
      </c>
      <c r="B6" s="112" t="s">
        <v>100</v>
      </c>
      <c r="C6" s="123" t="str">
        <f t="array" ref="C6">IF(B6="","",IFERROR(INDEX('FUNCIONÁRIOS'!$B$4:$B$501,MATCH(B6,'FUNCIONÁRIOS'!$C$4:$C$501,0)),""))</f>
        <v>MONTE EVENTOS </v>
      </c>
      <c r="D6" s="123" t="str">
        <f t="array" ref="D6">IF(B6="","",IFERROR(INDEX('FUNCIONÁRIOS'!$D$4:$D$501,MATCH(B6,'FUNCIONÁRIOS'!$C$4:$C$501,0)),""))</f>
        <v>MONTADOR</v>
      </c>
      <c r="E6" s="123" t="str">
        <f t="array" ref="E6">IF(B6="","",IFERROR(INDEX('FUNCIONÁRIOS'!$E$4:$E$501,MATCH(B6,'FUNCIONÁRIOS'!$C$4:$C$501,0)),""))</f>
        <v>NÃO</v>
      </c>
      <c r="F6" s="114">
        <v>46160.0</v>
      </c>
      <c r="G6" s="115" t="str">
        <f t="shared" si="1"/>
        <v>✅ 08:00</v>
      </c>
      <c r="H6" s="116" t="s">
        <v>1587</v>
      </c>
      <c r="I6" s="117" t="str">
        <f t="shared" si="2"/>
        <v>✅ 17:17</v>
      </c>
      <c r="J6" s="116" t="s">
        <v>1589</v>
      </c>
      <c r="K6" s="121">
        <v>0.3854166666666667</v>
      </c>
      <c r="L6" s="122" t="str">
        <f t="shared" si="3"/>
        <v>✅ Finalizado</v>
      </c>
      <c r="M6" s="110"/>
      <c r="N6" s="110"/>
    </row>
    <row r="7" ht="21.75" customHeight="1">
      <c r="A7" s="111">
        <f>4</f>
        <v>4</v>
      </c>
      <c r="B7" s="112" t="s">
        <v>106</v>
      </c>
      <c r="C7" s="124" t="s">
        <v>1590</v>
      </c>
      <c r="D7" s="113" t="str">
        <f t="array" ref="D7">IF(B7="","",IFERROR(INDEX('FUNCIONÁRIOS'!$D$4:$D$501,MATCH(B7,'FUNCIONÁRIOS'!$C$4:$C$501,0)),""))</f>
        <v>PRODUTOR DE PALCO</v>
      </c>
      <c r="E7" s="113" t="str">
        <f t="array" ref="E7">IF(B7="","",IFERROR(INDEX('FUNCIONÁRIOS'!$E$4:$E$501,MATCH(B7,'FUNCIONÁRIOS'!$C$4:$C$501,0)),""))</f>
        <v>NÃO</v>
      </c>
      <c r="F7" s="114">
        <v>46160.0</v>
      </c>
      <c r="G7" s="115" t="str">
        <f t="shared" si="1"/>
        <v>✅ 11:36</v>
      </c>
      <c r="H7" s="116" t="s">
        <v>1591</v>
      </c>
      <c r="I7" s="117" t="str">
        <f t="shared" si="2"/>
        <v>✅ 17:00</v>
      </c>
      <c r="J7" s="121">
        <v>0.7083333333333334</v>
      </c>
      <c r="K7" s="121">
        <v>0.275</v>
      </c>
      <c r="L7" s="119" t="str">
        <f t="shared" si="3"/>
        <v>✅ Finalizado</v>
      </c>
      <c r="M7" s="110"/>
      <c r="N7" s="110"/>
    </row>
    <row r="8" ht="21.75" customHeight="1">
      <c r="A8" s="111">
        <f>5</f>
        <v>5</v>
      </c>
      <c r="B8" s="112" t="s">
        <v>131</v>
      </c>
      <c r="C8" s="123" t="str">
        <f t="array" ref="C8">IF(B8="","",IFERROR(INDEX('FUNCIONÁRIOS'!$B$4:$B$501,MATCH(B8,'FUNCIONÁRIOS'!$C$4:$C$501,0)),""))</f>
        <v>TJ SERVIÇOS</v>
      </c>
      <c r="D8" s="123" t="str">
        <f t="array" ref="D8">IF(B8="","",IFERROR(INDEX('FUNCIONÁRIOS'!$D$4:$D$501,MATCH(B8,'FUNCIONÁRIOS'!$C$4:$C$501,0)),""))</f>
        <v>COORDENADOR/CEO</v>
      </c>
      <c r="E8" s="123" t="str">
        <f t="array" ref="E8">IF(B8="","",IFERROR(INDEX('FUNCIONÁRIOS'!$E$4:$E$501,MATCH(B8,'FUNCIONÁRIOS'!$C$4:$C$501,0)),""))</f>
        <v>SIM</v>
      </c>
      <c r="F8" s="114">
        <v>46160.0</v>
      </c>
      <c r="G8" s="115" t="str">
        <f t="shared" si="1"/>
        <v>✅ 08:00</v>
      </c>
      <c r="H8" s="121">
        <v>0.3333333333333333</v>
      </c>
      <c r="I8" s="117" t="str">
        <f t="shared" si="2"/>
        <v>✅ 16:31</v>
      </c>
      <c r="J8" s="116" t="s">
        <v>1592</v>
      </c>
      <c r="K8" s="118">
        <v>0.3548611111111111</v>
      </c>
      <c r="L8" s="122" t="str">
        <f t="shared" si="3"/>
        <v>✅ Finalizado</v>
      </c>
      <c r="M8" s="110"/>
      <c r="N8" s="110"/>
    </row>
    <row r="9" ht="21.75" customHeight="1">
      <c r="A9" s="111">
        <f>6</f>
        <v>6</v>
      </c>
      <c r="B9" s="125" t="s">
        <v>1593</v>
      </c>
      <c r="C9" s="113" t="str">
        <f t="array" ref="C9">IF(B9="","",IFERROR(INDEX('FUNCIONÁRIOS'!$B$4:$B$501,MATCH(B9,'FUNCIONÁRIOS'!$C$4:$C$501,0)),""))</f>
        <v>MONTE EVENTOS </v>
      </c>
      <c r="D9" s="113" t="str">
        <f t="array" ref="D9">IF(B9="","",IFERROR(INDEX('FUNCIONÁRIOS'!$D$4:$D$501,MATCH(B9,'FUNCIONÁRIOS'!$C$4:$C$501,0)),""))</f>
        <v>MONTADOR</v>
      </c>
      <c r="E9" s="113" t="str">
        <f t="array" ref="E9">IF(B9="","",IFERROR(INDEX('FUNCIONÁRIOS'!$E$4:$E$501,MATCH(B9,'FUNCIONÁRIOS'!$C$4:$C$501,0)),""))</f>
        <v>NÃO</v>
      </c>
      <c r="F9" s="114">
        <v>46160.0</v>
      </c>
      <c r="G9" s="115" t="str">
        <f t="shared" si="1"/>
        <v>✅ 08:00</v>
      </c>
      <c r="H9" s="121">
        <v>0.3333333333333333</v>
      </c>
      <c r="I9" s="117" t="str">
        <f t="shared" si="2"/>
        <v>✅ 17:17</v>
      </c>
      <c r="J9" s="121">
        <v>0.7201388888888889</v>
      </c>
      <c r="K9" s="126">
        <f t="shared" ref="K9:K34" si="4">IF(AND(H9&lt;&gt;"",J9&lt;&gt;""),J9-H9,"")</f>
        <v>0.3868055556</v>
      </c>
      <c r="L9" s="119" t="str">
        <f t="shared" si="3"/>
        <v>✅ Finalizado</v>
      </c>
      <c r="M9" s="110"/>
      <c r="N9" s="110"/>
    </row>
    <row r="10" ht="21.75" customHeight="1">
      <c r="A10" s="111">
        <f>7</f>
        <v>7</v>
      </c>
      <c r="B10" s="125" t="s">
        <v>104</v>
      </c>
      <c r="C10" s="123" t="str">
        <f t="array" ref="C10">IF(B10="","",IFERROR(INDEX('FUNCIONÁRIOS'!$B$4:$B$501,MATCH(B10,'FUNCIONÁRIOS'!$C$4:$C$501,0)),""))</f>
        <v>MONTE EVENTOS </v>
      </c>
      <c r="D10" s="123" t="str">
        <f t="array" ref="D10">IF(B10="","",IFERROR(INDEX('FUNCIONÁRIOS'!$D$4:$D$501,MATCH(B10,'FUNCIONÁRIOS'!$C$4:$C$501,0)),""))</f>
        <v>MONTADOR</v>
      </c>
      <c r="E10" s="123" t="str">
        <f t="array" ref="E10">IF(B10="","",IFERROR(INDEX('FUNCIONÁRIOS'!$E$4:$E$501,MATCH(B10,'FUNCIONÁRIOS'!$C$4:$C$501,0)),""))</f>
        <v>NÃO</v>
      </c>
      <c r="F10" s="114">
        <v>46160.0</v>
      </c>
      <c r="G10" s="115" t="str">
        <f t="shared" si="1"/>
        <v>✅ 08:01</v>
      </c>
      <c r="H10" s="121">
        <v>0.33402777777777776</v>
      </c>
      <c r="I10" s="117" t="str">
        <f t="shared" si="2"/>
        <v>✅ 17:17</v>
      </c>
      <c r="J10" s="121">
        <v>0.7201388888888889</v>
      </c>
      <c r="K10" s="126">
        <f t="shared" si="4"/>
        <v>0.3861111111</v>
      </c>
      <c r="L10" s="122" t="str">
        <f t="shared" si="3"/>
        <v>✅ Finalizado</v>
      </c>
      <c r="M10" s="110"/>
      <c r="N10" s="110"/>
    </row>
    <row r="11" ht="21.75" customHeight="1">
      <c r="A11" s="111">
        <f>8</f>
        <v>8</v>
      </c>
      <c r="B11" s="125" t="s">
        <v>105</v>
      </c>
      <c r="C11" s="113" t="str">
        <f t="array" ref="C11">IF(B11="","",IFERROR(INDEX('FUNCIONÁRIOS'!$B$4:$B$501,MATCH(B11,'FUNCIONÁRIOS'!$C$4:$C$501,0)),""))</f>
        <v>MONTE EVENTOS </v>
      </c>
      <c r="D11" s="113" t="str">
        <f t="array" ref="D11">IF(B11="","",IFERROR(INDEX('FUNCIONÁRIOS'!$D$4:$D$501,MATCH(B11,'FUNCIONÁRIOS'!$C$4:$C$501,0)),""))</f>
        <v>MONTADOR</v>
      </c>
      <c r="E11" s="113" t="str">
        <f t="array" ref="E11">IF(B11="","",IFERROR(INDEX('FUNCIONÁRIOS'!$E$4:$E$501,MATCH(B11,'FUNCIONÁRIOS'!$C$4:$C$501,0)),""))</f>
        <v>NÃO</v>
      </c>
      <c r="F11" s="114">
        <v>46160.0</v>
      </c>
      <c r="G11" s="115" t="str">
        <f t="shared" si="1"/>
        <v>✅ 08:02</v>
      </c>
      <c r="H11" s="121">
        <v>0.3347222222222222</v>
      </c>
      <c r="I11" s="117" t="str">
        <f t="shared" si="2"/>
        <v>✅ 17:17</v>
      </c>
      <c r="J11" s="121">
        <v>0.7201388888888889</v>
      </c>
      <c r="K11" s="126">
        <f t="shared" si="4"/>
        <v>0.3854166667</v>
      </c>
      <c r="L11" s="119" t="str">
        <f t="shared" si="3"/>
        <v>✅ Finalizado</v>
      </c>
      <c r="M11" s="110"/>
      <c r="N11" s="110"/>
    </row>
    <row r="12" ht="21.75" customHeight="1">
      <c r="A12" s="111">
        <f>10</f>
        <v>10</v>
      </c>
      <c r="B12" s="125" t="s">
        <v>109</v>
      </c>
      <c r="C12" s="113" t="str">
        <f t="array" ref="C12">IF(B12="","",IFERROR(INDEX('FUNCIONÁRIOS'!$B$4:$B$501,MATCH(B12,'FUNCIONÁRIOS'!$C$4:$C$501,0)),""))</f>
        <v>MONTE EVENTOS </v>
      </c>
      <c r="D12" s="113" t="str">
        <f t="array" ref="D12">IF(B12="","",IFERROR(INDEX('FUNCIONÁRIOS'!$D$4:$D$501,MATCH(B12,'FUNCIONÁRIOS'!$C$4:$C$501,0)),""))</f>
        <v>MONTADOR</v>
      </c>
      <c r="E12" s="113" t="str">
        <f t="array" ref="E12">IF(B12="","",IFERROR(INDEX('FUNCIONÁRIOS'!$E$4:$E$501,MATCH(B12,'FUNCIONÁRIOS'!$C$4:$C$501,0)),""))</f>
        <v>NÃO</v>
      </c>
      <c r="F12" s="114">
        <v>46160.0</v>
      </c>
      <c r="G12" s="115" t="str">
        <f t="shared" si="1"/>
        <v>✅ 08:03</v>
      </c>
      <c r="H12" s="121">
        <v>0.33541666666666664</v>
      </c>
      <c r="I12" s="117" t="str">
        <f t="shared" si="2"/>
        <v>✅ 17:12</v>
      </c>
      <c r="J12" s="121">
        <v>0.7166666666666667</v>
      </c>
      <c r="K12" s="126">
        <f t="shared" si="4"/>
        <v>0.38125</v>
      </c>
      <c r="L12" s="119" t="str">
        <f t="shared" si="3"/>
        <v>✅ Finalizado</v>
      </c>
      <c r="M12" s="110"/>
      <c r="N12" s="110"/>
    </row>
    <row r="13" ht="21.75" customHeight="1">
      <c r="A13" s="111">
        <f>11</f>
        <v>11</v>
      </c>
      <c r="B13" s="125" t="s">
        <v>110</v>
      </c>
      <c r="C13" s="123" t="str">
        <f t="array" ref="C13">IF(B13="","",IFERROR(INDEX('FUNCIONÁRIOS'!$B$4:$B$501,MATCH(B13,'FUNCIONÁRIOS'!$C$4:$C$501,0)),""))</f>
        <v>MONTE EVENTOS </v>
      </c>
      <c r="D13" s="123" t="str">
        <f t="array" ref="D13">IF(B13="","",IFERROR(INDEX('FUNCIONÁRIOS'!$D$4:$D$501,MATCH(B13,'FUNCIONÁRIOS'!$C$4:$C$501,0)),""))</f>
        <v>MONTADOR</v>
      </c>
      <c r="E13" s="123" t="str">
        <f t="array" ref="E13">IF(B13="","",IFERROR(INDEX('FUNCIONÁRIOS'!$E$4:$E$501,MATCH(B13,'FUNCIONÁRIOS'!$C$4:$C$501,0)),""))</f>
        <v>NÃO</v>
      </c>
      <c r="F13" s="114">
        <v>46160.0</v>
      </c>
      <c r="G13" s="115" t="str">
        <f t="shared" si="1"/>
        <v>✅ 08:04</v>
      </c>
      <c r="H13" s="121">
        <v>0.33611111111111114</v>
      </c>
      <c r="I13" s="117" t="str">
        <f t="shared" si="2"/>
        <v>✅ 17:18</v>
      </c>
      <c r="J13" s="121">
        <v>0.7208333333333333</v>
      </c>
      <c r="K13" s="126">
        <f t="shared" si="4"/>
        <v>0.3847222222</v>
      </c>
      <c r="L13" s="122" t="str">
        <f t="shared" si="3"/>
        <v>✅ Finalizado</v>
      </c>
      <c r="M13" s="110"/>
      <c r="N13" s="110"/>
    </row>
    <row r="14" ht="21.75" customHeight="1">
      <c r="A14" s="111">
        <f>12</f>
        <v>12</v>
      </c>
      <c r="B14" s="125" t="s">
        <v>111</v>
      </c>
      <c r="C14" s="113" t="str">
        <f t="array" ref="C14">IF(B14="","",IFERROR(INDEX('FUNCIONÁRIOS'!$B$4:$B$501,MATCH(B14,'FUNCIONÁRIOS'!$C$4:$C$501,0)),""))</f>
        <v>MONTE EVENTOS </v>
      </c>
      <c r="D14" s="113" t="str">
        <f t="array" ref="D14">IF(B14="","",IFERROR(INDEX('FUNCIONÁRIOS'!$D$4:$D$501,MATCH(B14,'FUNCIONÁRIOS'!$C$4:$C$501,0)),""))</f>
        <v>MONTADOR</v>
      </c>
      <c r="E14" s="113" t="str">
        <f t="array" ref="E14">IF(B14="","",IFERROR(INDEX('FUNCIONÁRIOS'!$E$4:$E$501,MATCH(B14,'FUNCIONÁRIOS'!$C$4:$C$501,0)),""))</f>
        <v>NÃO</v>
      </c>
      <c r="F14" s="114">
        <v>46160.0</v>
      </c>
      <c r="G14" s="115" t="str">
        <f t="shared" si="1"/>
        <v>✅ 08:05</v>
      </c>
      <c r="H14" s="121">
        <v>0.3368055555555556</v>
      </c>
      <c r="I14" s="117" t="str">
        <f t="shared" si="2"/>
        <v>✅ 17:18</v>
      </c>
      <c r="J14" s="121">
        <v>0.7208333333333333</v>
      </c>
      <c r="K14" s="126">
        <f t="shared" si="4"/>
        <v>0.3840277778</v>
      </c>
      <c r="L14" s="119" t="str">
        <f t="shared" si="3"/>
        <v>✅ Finalizado</v>
      </c>
      <c r="M14" s="110"/>
      <c r="N14" s="110"/>
    </row>
    <row r="15" ht="21.75" customHeight="1">
      <c r="A15" s="111">
        <f>13</f>
        <v>13</v>
      </c>
      <c r="B15" s="125" t="s">
        <v>112</v>
      </c>
      <c r="C15" s="123" t="str">
        <f t="array" ref="C15">IF(B15="","",IFERROR(INDEX('FUNCIONÁRIOS'!$B$4:$B$501,MATCH(B15,'FUNCIONÁRIOS'!$C$4:$C$501,0)),""))</f>
        <v>MONTE EVENTOS </v>
      </c>
      <c r="D15" s="123" t="str">
        <f t="array" ref="D15">IF(B15="","",IFERROR(INDEX('FUNCIONÁRIOS'!$D$4:$D$501,MATCH(B15,'FUNCIONÁRIOS'!$C$4:$C$501,0)),""))</f>
        <v>MONTADOR</v>
      </c>
      <c r="E15" s="123" t="str">
        <f t="array" ref="E15">IF(B15="","",IFERROR(INDEX('FUNCIONÁRIOS'!$E$4:$E$501,MATCH(B15,'FUNCIONÁRIOS'!$C$4:$C$501,0)),""))</f>
        <v>NÃO</v>
      </c>
      <c r="F15" s="114">
        <v>46160.0</v>
      </c>
      <c r="G15" s="115" t="str">
        <f t="shared" si="1"/>
        <v>✅ 08:06</v>
      </c>
      <c r="H15" s="121">
        <v>0.3375</v>
      </c>
      <c r="I15" s="117" t="str">
        <f t="shared" si="2"/>
        <v>✅ 17:18</v>
      </c>
      <c r="J15" s="121">
        <v>0.7208333333333333</v>
      </c>
      <c r="K15" s="126">
        <f t="shared" si="4"/>
        <v>0.3833333333</v>
      </c>
      <c r="L15" s="122" t="str">
        <f t="shared" si="3"/>
        <v>✅ Finalizado</v>
      </c>
      <c r="M15" s="110"/>
      <c r="N15" s="110"/>
    </row>
    <row r="16" ht="21.75" customHeight="1">
      <c r="A16" s="111">
        <f>14</f>
        <v>14</v>
      </c>
      <c r="B16" s="125" t="s">
        <v>113</v>
      </c>
      <c r="C16" s="113" t="str">
        <f t="array" ref="C16">IF(B16="","",IFERROR(INDEX('FUNCIONÁRIOS'!$B$4:$B$501,MATCH(B16,'FUNCIONÁRIOS'!$C$4:$C$501,0)),""))</f>
        <v>MONTE EVENTOS </v>
      </c>
      <c r="D16" s="113" t="str">
        <f t="array" ref="D16">IF(B16="","",IFERROR(INDEX('FUNCIONÁRIOS'!$D$4:$D$501,MATCH(B16,'FUNCIONÁRIOS'!$C$4:$C$501,0)),""))</f>
        <v>COORDENADOR/CEO</v>
      </c>
      <c r="E16" s="113" t="str">
        <f t="array" ref="E16">IF(B16="","",IFERROR(INDEX('FUNCIONÁRIOS'!$E$4:$E$501,MATCH(B16,'FUNCIONÁRIOS'!$C$4:$C$501,0)),""))</f>
        <v>SIM</v>
      </c>
      <c r="F16" s="114">
        <v>46160.0</v>
      </c>
      <c r="G16" s="115" t="str">
        <f t="shared" si="1"/>
        <v>✅ 08:07</v>
      </c>
      <c r="H16" s="121">
        <v>0.33819444444444446</v>
      </c>
      <c r="I16" s="117" t="str">
        <f t="shared" si="2"/>
        <v>✅ 17:18</v>
      </c>
      <c r="J16" s="121">
        <v>0.7208333333333333</v>
      </c>
      <c r="K16" s="126">
        <f t="shared" si="4"/>
        <v>0.3826388889</v>
      </c>
      <c r="L16" s="119" t="str">
        <f t="shared" si="3"/>
        <v>✅ Finalizado</v>
      </c>
      <c r="M16" s="110"/>
      <c r="N16" s="110"/>
    </row>
    <row r="17" ht="21.75" customHeight="1">
      <c r="A17" s="111">
        <f>15</f>
        <v>15</v>
      </c>
      <c r="B17" s="125" t="s">
        <v>116</v>
      </c>
      <c r="C17" s="123" t="str">
        <f t="array" ref="C17">IF(B17="","",IFERROR(INDEX('FUNCIONÁRIOS'!$B$4:$B$501,MATCH(B17,'FUNCIONÁRIOS'!$C$4:$C$501,0)),""))</f>
        <v>MONTE EVENTOS </v>
      </c>
      <c r="D17" s="123" t="str">
        <f t="array" ref="D17">IF(B17="","",IFERROR(INDEX('FUNCIONÁRIOS'!$D$4:$D$501,MATCH(B17,'FUNCIONÁRIOS'!$C$4:$C$501,0)),""))</f>
        <v>MONTADOR</v>
      </c>
      <c r="E17" s="123" t="str">
        <f t="array" ref="E17">IF(B17="","",IFERROR(INDEX('FUNCIONÁRIOS'!$E$4:$E$501,MATCH(B17,'FUNCIONÁRIOS'!$C$4:$C$501,0)),""))</f>
        <v>NÃO</v>
      </c>
      <c r="F17" s="114">
        <v>46160.0</v>
      </c>
      <c r="G17" s="115" t="str">
        <f t="shared" si="1"/>
        <v>✅ 08:08</v>
      </c>
      <c r="H17" s="121">
        <v>0.3388888888888889</v>
      </c>
      <c r="I17" s="117" t="str">
        <f t="shared" si="2"/>
        <v>✅ 17:19</v>
      </c>
      <c r="J17" s="121">
        <v>0.7215277777777778</v>
      </c>
      <c r="K17" s="126">
        <f t="shared" si="4"/>
        <v>0.3826388889</v>
      </c>
      <c r="L17" s="122" t="str">
        <f t="shared" si="3"/>
        <v>✅ Finalizado</v>
      </c>
      <c r="M17" s="110"/>
      <c r="N17" s="110"/>
    </row>
    <row r="18" ht="21.75" customHeight="1">
      <c r="A18" s="111">
        <f>16</f>
        <v>16</v>
      </c>
      <c r="B18" s="125" t="s">
        <v>117</v>
      </c>
      <c r="C18" s="113" t="str">
        <f t="array" ref="C18">IF(B18="","",IFERROR(INDEX('FUNCIONÁRIOS'!$B$4:$B$501,MATCH(B18,'FUNCIONÁRIOS'!$C$4:$C$501,0)),""))</f>
        <v>MONTE EVENTOS </v>
      </c>
      <c r="D18" s="113" t="str">
        <f t="array" ref="D18">IF(B18="","",IFERROR(INDEX('FUNCIONÁRIOS'!$D$4:$D$501,MATCH(B18,'FUNCIONÁRIOS'!$C$4:$C$501,0)),""))</f>
        <v>MONTADOR</v>
      </c>
      <c r="E18" s="113" t="str">
        <f t="array" ref="E18">IF(B18="","",IFERROR(INDEX('FUNCIONÁRIOS'!$E$4:$E$501,MATCH(B18,'FUNCIONÁRIOS'!$C$4:$C$501,0)),""))</f>
        <v>NÃO</v>
      </c>
      <c r="F18" s="114">
        <v>46160.0</v>
      </c>
      <c r="G18" s="115" t="str">
        <f t="shared" si="1"/>
        <v>✅ 08:09</v>
      </c>
      <c r="H18" s="121">
        <v>0.33958333333333335</v>
      </c>
      <c r="I18" s="117" t="str">
        <f t="shared" si="2"/>
        <v>✅ 17:16</v>
      </c>
      <c r="J18" s="121">
        <v>0.7194444444444444</v>
      </c>
      <c r="K18" s="126">
        <f t="shared" si="4"/>
        <v>0.3798611111</v>
      </c>
      <c r="L18" s="119" t="str">
        <f t="shared" si="3"/>
        <v>✅ Finalizado</v>
      </c>
      <c r="M18" s="110"/>
      <c r="N18" s="110"/>
    </row>
    <row r="19" ht="21.75" customHeight="1">
      <c r="A19" s="111">
        <f>17</f>
        <v>17</v>
      </c>
      <c r="B19" s="125" t="s">
        <v>118</v>
      </c>
      <c r="C19" s="123" t="str">
        <f t="array" ref="C19">IF(B19="","",IFERROR(INDEX('FUNCIONÁRIOS'!$B$4:$B$501,MATCH(B19,'FUNCIONÁRIOS'!$C$4:$C$501,0)),""))</f>
        <v>MONTE EVENTOS </v>
      </c>
      <c r="D19" s="123" t="str">
        <f t="array" ref="D19">IF(B19="","",IFERROR(INDEX('FUNCIONÁRIOS'!$D$4:$D$501,MATCH(B19,'FUNCIONÁRIOS'!$C$4:$C$501,0)),""))</f>
        <v>MONTADOR</v>
      </c>
      <c r="E19" s="123" t="str">
        <f t="array" ref="E19">IF(B19="","",IFERROR(INDEX('FUNCIONÁRIOS'!$E$4:$E$501,MATCH(B19,'FUNCIONÁRIOS'!$C$4:$C$501,0)),""))</f>
        <v>NÃO</v>
      </c>
      <c r="F19" s="114">
        <v>46160.0</v>
      </c>
      <c r="G19" s="115" t="str">
        <f t="shared" si="1"/>
        <v>✅ 08:10</v>
      </c>
      <c r="H19" s="121">
        <v>0.3402777777777778</v>
      </c>
      <c r="I19" s="117" t="str">
        <f t="shared" si="2"/>
        <v>✅ 17:13</v>
      </c>
      <c r="J19" s="121">
        <v>0.7173611111111111</v>
      </c>
      <c r="K19" s="126">
        <f t="shared" si="4"/>
        <v>0.3770833333</v>
      </c>
      <c r="L19" s="122" t="str">
        <f t="shared" si="3"/>
        <v>✅ Finalizado</v>
      </c>
      <c r="M19" s="110"/>
      <c r="N19" s="110"/>
    </row>
    <row r="20" ht="21.75" customHeight="1">
      <c r="A20" s="111">
        <f>18</f>
        <v>18</v>
      </c>
      <c r="B20" s="125" t="s">
        <v>119</v>
      </c>
      <c r="C20" s="113" t="str">
        <f t="array" ref="C20">IF(B20="","",IFERROR(INDEX('FUNCIONÁRIOS'!$B$4:$B$501,MATCH(B20,'FUNCIONÁRIOS'!$C$4:$C$501,0)),""))</f>
        <v>MONTE EVENTOS </v>
      </c>
      <c r="D20" s="113" t="str">
        <f t="array" ref="D20">IF(B20="","",IFERROR(INDEX('FUNCIONÁRIOS'!$D$4:$D$501,MATCH(B20,'FUNCIONÁRIOS'!$C$4:$C$501,0)),""))</f>
        <v>MONTADOR</v>
      </c>
      <c r="E20" s="113" t="str">
        <f t="array" ref="E20">IF(B20="","",IFERROR(INDEX('FUNCIONÁRIOS'!$E$4:$E$501,MATCH(B20,'FUNCIONÁRIOS'!$C$4:$C$501,0)),""))</f>
        <v>NÃO</v>
      </c>
      <c r="F20" s="114">
        <v>46160.0</v>
      </c>
      <c r="G20" s="115" t="str">
        <f t="shared" si="1"/>
        <v>✅ 08:11</v>
      </c>
      <c r="H20" s="121">
        <v>0.34097222222222223</v>
      </c>
      <c r="I20" s="117" t="str">
        <f t="shared" si="2"/>
        <v>✅ 17:16</v>
      </c>
      <c r="J20" s="121">
        <v>0.7194444444444444</v>
      </c>
      <c r="K20" s="126">
        <f t="shared" si="4"/>
        <v>0.3784722222</v>
      </c>
      <c r="L20" s="119" t="str">
        <f t="shared" si="3"/>
        <v>✅ Finalizado</v>
      </c>
      <c r="M20" s="110"/>
      <c r="N20" s="110"/>
    </row>
    <row r="21" ht="21.75" customHeight="1">
      <c r="A21" s="111">
        <f>19</f>
        <v>19</v>
      </c>
      <c r="B21" s="125" t="s">
        <v>121</v>
      </c>
      <c r="C21" s="123" t="str">
        <f t="array" ref="C21">IF(B21="","",IFERROR(INDEX('FUNCIONÁRIOS'!$B$4:$B$501,MATCH(B21,'FUNCIONÁRIOS'!$C$4:$C$501,0)),""))</f>
        <v>MONTE EVENTOS </v>
      </c>
      <c r="D21" s="123" t="str">
        <f t="array" ref="D21">IF(B21="","",IFERROR(INDEX('FUNCIONÁRIOS'!$D$4:$D$501,MATCH(B21,'FUNCIONÁRIOS'!$C$4:$C$501,0)),""))</f>
        <v>MONTADOR</v>
      </c>
      <c r="E21" s="123" t="str">
        <f t="array" ref="E21">IF(B21="","",IFERROR(INDEX('FUNCIONÁRIOS'!$E$4:$E$501,MATCH(B21,'FUNCIONÁRIOS'!$C$4:$C$501,0)),""))</f>
        <v>NÃO</v>
      </c>
      <c r="F21" s="114">
        <v>46160.0</v>
      </c>
      <c r="G21" s="115" t="str">
        <f t="shared" si="1"/>
        <v>✅ 08:12</v>
      </c>
      <c r="H21" s="121">
        <v>0.3416666666666667</v>
      </c>
      <c r="I21" s="117" t="str">
        <f t="shared" si="2"/>
        <v>✅ 17:16</v>
      </c>
      <c r="J21" s="121">
        <v>0.7194444444444444</v>
      </c>
      <c r="K21" s="126">
        <f t="shared" si="4"/>
        <v>0.3777777778</v>
      </c>
      <c r="L21" s="122" t="str">
        <f t="shared" si="3"/>
        <v>✅ Finalizado</v>
      </c>
      <c r="M21" s="110"/>
      <c r="N21" s="110"/>
    </row>
    <row r="22" ht="21.75" customHeight="1">
      <c r="A22" s="111">
        <f>20</f>
        <v>20</v>
      </c>
      <c r="B22" s="125" t="s">
        <v>122</v>
      </c>
      <c r="C22" s="113" t="str">
        <f t="array" ref="C22">IF(B22="","",IFERROR(INDEX('FUNCIONÁRIOS'!$B$4:$B$501,MATCH(B22,'FUNCIONÁRIOS'!$C$4:$C$501,0)),""))</f>
        <v>MONTE EVENTOS </v>
      </c>
      <c r="D22" s="113" t="str">
        <f t="array" ref="D22">IF(B22="","",IFERROR(INDEX('FUNCIONÁRIOS'!$D$4:$D$501,MATCH(B22,'FUNCIONÁRIOS'!$C$4:$C$501,0)),""))</f>
        <v>MONTADOR</v>
      </c>
      <c r="E22" s="113" t="str">
        <f t="array" ref="E22">IF(B22="","",IFERROR(INDEX('FUNCIONÁRIOS'!$E$4:$E$501,MATCH(B22,'FUNCIONÁRIOS'!$C$4:$C$501,0)),""))</f>
        <v>NÃO</v>
      </c>
      <c r="F22" s="114">
        <v>46160.0</v>
      </c>
      <c r="G22" s="115" t="str">
        <f t="shared" si="1"/>
        <v>✅ 08:13</v>
      </c>
      <c r="H22" s="121">
        <v>0.3423611111111111</v>
      </c>
      <c r="I22" s="117" t="str">
        <f t="shared" si="2"/>
        <v>✅ 17:14</v>
      </c>
      <c r="J22" s="121">
        <v>0.7180555555555556</v>
      </c>
      <c r="K22" s="126">
        <f t="shared" si="4"/>
        <v>0.3756944444</v>
      </c>
      <c r="L22" s="119" t="str">
        <f t="shared" si="3"/>
        <v>✅ Finalizado</v>
      </c>
      <c r="M22" s="110"/>
      <c r="N22" s="110"/>
    </row>
    <row r="23" ht="21.75" customHeight="1">
      <c r="A23" s="111">
        <f>21</f>
        <v>21</v>
      </c>
      <c r="B23" s="125" t="s">
        <v>123</v>
      </c>
      <c r="C23" s="123" t="str">
        <f t="array" ref="C23">IF(B23="","",IFERROR(INDEX('FUNCIONÁRIOS'!$B$4:$B$501,MATCH(B23,'FUNCIONÁRIOS'!$C$4:$C$501,0)),""))</f>
        <v>MONTE EVENTOS </v>
      </c>
      <c r="D23" s="123" t="str">
        <f t="array" ref="D23">IF(B23="","",IFERROR(INDEX('FUNCIONÁRIOS'!$D$4:$D$501,MATCH(B23,'FUNCIONÁRIOS'!$C$4:$C$501,0)),""))</f>
        <v>MONTADOR</v>
      </c>
      <c r="E23" s="123" t="str">
        <f t="array" ref="E23">IF(B23="","",IFERROR(INDEX('FUNCIONÁRIOS'!$E$4:$E$501,MATCH(B23,'FUNCIONÁRIOS'!$C$4:$C$501,0)),""))</f>
        <v>NÃO</v>
      </c>
      <c r="F23" s="114">
        <v>46160.0</v>
      </c>
      <c r="G23" s="115" t="str">
        <f t="shared" si="1"/>
        <v>✅ 08:14</v>
      </c>
      <c r="H23" s="121">
        <v>0.34305555555555556</v>
      </c>
      <c r="I23" s="117" t="str">
        <f t="shared" si="2"/>
        <v>✅ 17:15</v>
      </c>
      <c r="J23" s="121">
        <v>0.71875</v>
      </c>
      <c r="K23" s="126">
        <f t="shared" si="4"/>
        <v>0.3756944444</v>
      </c>
      <c r="L23" s="122" t="str">
        <f t="shared" si="3"/>
        <v>✅ Finalizado</v>
      </c>
      <c r="M23" s="110"/>
      <c r="N23" s="110"/>
    </row>
    <row r="24" ht="21.75" customHeight="1">
      <c r="A24" s="111">
        <f>22</f>
        <v>22</v>
      </c>
      <c r="B24" s="125" t="s">
        <v>124</v>
      </c>
      <c r="C24" s="113" t="str">
        <f t="array" ref="C24">IF(B24="","",IFERROR(INDEX('FUNCIONÁRIOS'!$B$4:$B$501,MATCH(B24,'FUNCIONÁRIOS'!$C$4:$C$501,0)),""))</f>
        <v>MONTE EVENTOS </v>
      </c>
      <c r="D24" s="113" t="str">
        <f t="array" ref="D24">IF(B24="","",IFERROR(INDEX('FUNCIONÁRIOS'!$D$4:$D$501,MATCH(B24,'FUNCIONÁRIOS'!$C$4:$C$501,0)),""))</f>
        <v>MONTADOR</v>
      </c>
      <c r="E24" s="113" t="str">
        <f t="array" ref="E24">IF(B24="","",IFERROR(INDEX('FUNCIONÁRIOS'!$E$4:$E$501,MATCH(B24,'FUNCIONÁRIOS'!$C$4:$C$501,0)),""))</f>
        <v>NÃO</v>
      </c>
      <c r="F24" s="114">
        <v>46160.0</v>
      </c>
      <c r="G24" s="115" t="str">
        <f t="shared" si="1"/>
        <v>✅ 08:14</v>
      </c>
      <c r="H24" s="121">
        <v>0.34305555555555556</v>
      </c>
      <c r="I24" s="117" t="str">
        <f t="shared" si="2"/>
        <v>✅ 17:15</v>
      </c>
      <c r="J24" s="121">
        <v>0.71875</v>
      </c>
      <c r="K24" s="126">
        <f t="shared" si="4"/>
        <v>0.3756944444</v>
      </c>
      <c r="L24" s="119" t="str">
        <f t="shared" si="3"/>
        <v>✅ Finalizado</v>
      </c>
      <c r="M24" s="110"/>
      <c r="N24" s="110"/>
    </row>
    <row r="25" ht="21.75" customHeight="1">
      <c r="A25" s="111">
        <f>23</f>
        <v>23</v>
      </c>
      <c r="B25" s="125" t="s">
        <v>125</v>
      </c>
      <c r="C25" s="123" t="str">
        <f t="array" ref="C25">IF(B25="","",IFERROR(INDEX('FUNCIONÁRIOS'!$B$4:$B$501,MATCH(B25,'FUNCIONÁRIOS'!$C$4:$C$501,0)),""))</f>
        <v>MONTE EVENTOS </v>
      </c>
      <c r="D25" s="123" t="str">
        <f t="array" ref="D25">IF(B25="","",IFERROR(INDEX('FUNCIONÁRIOS'!$D$4:$D$501,MATCH(B25,'FUNCIONÁRIOS'!$C$4:$C$501,0)),""))</f>
        <v>MONTADOR</v>
      </c>
      <c r="E25" s="123" t="str">
        <f t="array" ref="E25">IF(B25="","",IFERROR(INDEX('FUNCIONÁRIOS'!$E$4:$E$501,MATCH(B25,'FUNCIONÁRIOS'!$C$4:$C$501,0)),""))</f>
        <v>NÃO</v>
      </c>
      <c r="F25" s="114">
        <v>46160.0</v>
      </c>
      <c r="G25" s="115" t="str">
        <f t="shared" si="1"/>
        <v>✅ 08:15</v>
      </c>
      <c r="H25" s="121">
        <v>0.34375</v>
      </c>
      <c r="I25" s="117" t="str">
        <f t="shared" si="2"/>
        <v>✅ 17:15</v>
      </c>
      <c r="J25" s="121">
        <v>0.71875</v>
      </c>
      <c r="K25" s="126">
        <f t="shared" si="4"/>
        <v>0.375</v>
      </c>
      <c r="L25" s="122" t="str">
        <f t="shared" si="3"/>
        <v>✅ Finalizado</v>
      </c>
      <c r="M25" s="110"/>
      <c r="N25" s="110"/>
    </row>
    <row r="26" ht="21.75" customHeight="1">
      <c r="A26" s="111">
        <f>24</f>
        <v>24</v>
      </c>
      <c r="B26" s="125" t="s">
        <v>126</v>
      </c>
      <c r="C26" s="113" t="str">
        <f t="array" ref="C26">IF(B26="","",IFERROR(INDEX('FUNCIONÁRIOS'!$B$4:$B$501,MATCH(B26,'FUNCIONÁRIOS'!$C$4:$C$501,0)),""))</f>
        <v>MONTE EVENTOS </v>
      </c>
      <c r="D26" s="113" t="str">
        <f t="array" ref="D26">IF(B26="","",IFERROR(INDEX('FUNCIONÁRIOS'!$D$4:$D$501,MATCH(B26,'FUNCIONÁRIOS'!$C$4:$C$501,0)),""))</f>
        <v>MONTADOR</v>
      </c>
      <c r="E26" s="113" t="str">
        <f t="array" ref="E26">IF(B26="","",IFERROR(INDEX('FUNCIONÁRIOS'!$E$4:$E$501,MATCH(B26,'FUNCIONÁRIOS'!$C$4:$C$501,0)),""))</f>
        <v>NÃO</v>
      </c>
      <c r="F26" s="114">
        <v>46160.0</v>
      </c>
      <c r="G26" s="115" t="str">
        <f t="shared" si="1"/>
        <v>✅ 08:16</v>
      </c>
      <c r="H26" s="121">
        <v>0.34444444444444444</v>
      </c>
      <c r="I26" s="117" t="str">
        <f t="shared" si="2"/>
        <v>✅ 17:14</v>
      </c>
      <c r="J26" s="121">
        <v>0.7180555555555556</v>
      </c>
      <c r="K26" s="126">
        <f t="shared" si="4"/>
        <v>0.3736111111</v>
      </c>
      <c r="L26" s="119" t="str">
        <f t="shared" si="3"/>
        <v>✅ Finalizado</v>
      </c>
      <c r="M26" s="110"/>
      <c r="N26" s="110"/>
    </row>
    <row r="27" ht="21.75" customHeight="1">
      <c r="A27" s="111">
        <f>25</f>
        <v>25</v>
      </c>
      <c r="B27" s="125" t="s">
        <v>128</v>
      </c>
      <c r="C27" s="123" t="str">
        <f t="array" ref="C27">IF(B27="","",IFERROR(INDEX('FUNCIONÁRIOS'!$B$4:$B$501,MATCH(B27,'FUNCIONÁRIOS'!$C$4:$C$501,0)),""))</f>
        <v>MONTE EVENTOS </v>
      </c>
      <c r="D27" s="123" t="str">
        <f t="array" ref="D27">IF(B27="","",IFERROR(INDEX('FUNCIONÁRIOS'!$D$4:$D$501,MATCH(B27,'FUNCIONÁRIOS'!$C$4:$C$501,0)),""))</f>
        <v>MONTADOR</v>
      </c>
      <c r="E27" s="123" t="str">
        <f t="array" ref="E27">IF(B27="","",IFERROR(INDEX('FUNCIONÁRIOS'!$E$4:$E$501,MATCH(B27,'FUNCIONÁRIOS'!$C$4:$C$501,0)),""))</f>
        <v>NÃO</v>
      </c>
      <c r="F27" s="114">
        <v>46160.0</v>
      </c>
      <c r="G27" s="115" t="str">
        <f t="shared" si="1"/>
        <v>✅ 08:17</v>
      </c>
      <c r="H27" s="121">
        <v>0.3451388888888889</v>
      </c>
      <c r="I27" s="117" t="str">
        <f t="shared" si="2"/>
        <v>✅ 17:14</v>
      </c>
      <c r="J27" s="121">
        <v>0.7180555555555556</v>
      </c>
      <c r="K27" s="126">
        <f t="shared" si="4"/>
        <v>0.3729166667</v>
      </c>
      <c r="L27" s="122" t="str">
        <f t="shared" si="3"/>
        <v>✅ Finalizado</v>
      </c>
      <c r="M27" s="110"/>
      <c r="N27" s="110"/>
    </row>
    <row r="28" ht="21.75" customHeight="1">
      <c r="A28" s="111">
        <f>26</f>
        <v>26</v>
      </c>
      <c r="B28" s="125" t="s">
        <v>129</v>
      </c>
      <c r="C28" s="113" t="str">
        <f t="array" ref="C28">IF(B28="","",IFERROR(INDEX('FUNCIONÁRIOS'!$B$4:$B$501,MATCH(B28,'FUNCIONÁRIOS'!$C$4:$C$501,0)),""))</f>
        <v>TJ SERVIÇOS</v>
      </c>
      <c r="D28" s="113" t="str">
        <f t="array" ref="D28">IF(B28="","",IFERROR(INDEX('FUNCIONÁRIOS'!$D$4:$D$501,MATCH(B28,'FUNCIONÁRIOS'!$C$4:$C$501,0)),""))</f>
        <v>BRIGADISTA </v>
      </c>
      <c r="E28" s="113" t="str">
        <f t="array" ref="E28">IF(B28="","",IFERROR(INDEX('FUNCIONÁRIOS'!$E$4:$E$501,MATCH(B28,'FUNCIONÁRIOS'!$C$4:$C$501,0)),""))</f>
        <v>NÃO</v>
      </c>
      <c r="F28" s="114">
        <v>46160.0</v>
      </c>
      <c r="G28" s="115" t="str">
        <f t="shared" si="1"/>
        <v>✅ 08:18</v>
      </c>
      <c r="H28" s="121">
        <v>0.3458333333333333</v>
      </c>
      <c r="I28" s="117" t="str">
        <f t="shared" si="2"/>
        <v>✅ 17:37</v>
      </c>
      <c r="J28" s="121">
        <v>0.7340277777777777</v>
      </c>
      <c r="K28" s="126">
        <f t="shared" si="4"/>
        <v>0.3881944444</v>
      </c>
      <c r="L28" s="119" t="str">
        <f t="shared" si="3"/>
        <v>✅ Finalizado</v>
      </c>
      <c r="M28" s="110"/>
      <c r="N28" s="110"/>
    </row>
    <row r="29" ht="21.75" customHeight="1">
      <c r="A29" s="111">
        <f>28</f>
        <v>28</v>
      </c>
      <c r="B29" s="125" t="s">
        <v>132</v>
      </c>
      <c r="C29" s="113" t="str">
        <f t="array" ref="C29">IF(B29="","",IFERROR(INDEX('FUNCIONÁRIOS'!$B$4:$B$501,MATCH(B29,'FUNCIONÁRIOS'!$C$4:$C$501,0)),""))</f>
        <v>TJ SERVIÇOS</v>
      </c>
      <c r="D29" s="113" t="str">
        <f t="array" ref="D29">IF(B29="","",IFERROR(INDEX('FUNCIONÁRIOS'!$D$4:$D$501,MATCH(B29,'FUNCIONÁRIOS'!$C$4:$C$501,0)),""))</f>
        <v>BRIGADISTA </v>
      </c>
      <c r="E29" s="113" t="str">
        <f t="array" ref="E29">IF(B29="","",IFERROR(INDEX('FUNCIONÁRIOS'!$E$4:$E$501,MATCH(B29,'FUNCIONÁRIOS'!$C$4:$C$501,0)),""))</f>
        <v>NÃO</v>
      </c>
      <c r="F29" s="114">
        <v>46160.0</v>
      </c>
      <c r="G29" s="115" t="str">
        <f t="shared" si="1"/>
        <v>✅ 08:20</v>
      </c>
      <c r="H29" s="121">
        <v>0.3472222222222222</v>
      </c>
      <c r="I29" s="117" t="str">
        <f t="shared" si="2"/>
        <v>✅ 17:37</v>
      </c>
      <c r="J29" s="121">
        <v>0.7340277777777777</v>
      </c>
      <c r="K29" s="126">
        <f t="shared" si="4"/>
        <v>0.3868055556</v>
      </c>
      <c r="L29" s="119" t="str">
        <f t="shared" si="3"/>
        <v>✅ Finalizado</v>
      </c>
      <c r="M29" s="110"/>
      <c r="N29" s="110"/>
    </row>
    <row r="30" ht="21.75" customHeight="1">
      <c r="A30" s="111">
        <f>29</f>
        <v>29</v>
      </c>
      <c r="B30" s="125" t="s">
        <v>133</v>
      </c>
      <c r="C30" s="123" t="str">
        <f t="array" ref="C30">IF(B30="","",IFERROR(INDEX('FUNCIONÁRIOS'!$B$4:$B$501,MATCH(B30,'FUNCIONÁRIOS'!$C$4:$C$501,0)),""))</f>
        <v>FLASH MED</v>
      </c>
      <c r="D30" s="120" t="s">
        <v>1594</v>
      </c>
      <c r="E30" s="123" t="str">
        <f t="array" ref="E30">IF(B30="","",IFERROR(INDEX('FUNCIONÁRIOS'!$E$4:$E$501,MATCH(B30,'FUNCIONÁRIOS'!$C$4:$C$501,0)),""))</f>
        <v>NÃO</v>
      </c>
      <c r="F30" s="114">
        <v>46160.0</v>
      </c>
      <c r="G30" s="115" t="str">
        <f t="shared" si="1"/>
        <v>✅ 08:21</v>
      </c>
      <c r="H30" s="121">
        <v>0.34791666666666665</v>
      </c>
      <c r="I30" s="117" t="str">
        <f t="shared" si="2"/>
        <v>✅ 17:40</v>
      </c>
      <c r="J30" s="121">
        <v>0.7361111111111112</v>
      </c>
      <c r="K30" s="126">
        <f t="shared" si="4"/>
        <v>0.3881944444</v>
      </c>
      <c r="L30" s="122" t="str">
        <f t="shared" si="3"/>
        <v>✅ Finalizado</v>
      </c>
      <c r="M30" s="110"/>
      <c r="N30" s="110"/>
    </row>
    <row r="31" ht="21.75" customHeight="1">
      <c r="A31" s="111">
        <f>30</f>
        <v>30</v>
      </c>
      <c r="B31" s="125" t="s">
        <v>135</v>
      </c>
      <c r="C31" s="113" t="str">
        <f t="array" ref="C31">IF(B31="","",IFERROR(INDEX('FUNCIONÁRIOS'!$B$4:$B$501,MATCH(B31,'FUNCIONÁRIOS'!$C$4:$C$501,0)),""))</f>
        <v>FLASH MED</v>
      </c>
      <c r="D31" s="113" t="str">
        <f t="array" ref="D31">IF(B31="","",IFERROR(INDEX('FUNCIONÁRIOS'!$D$4:$D$501,MATCH(B31,'FUNCIONÁRIOS'!$C$4:$C$501,0)),""))</f>
        <v>SOCORRITA</v>
      </c>
      <c r="E31" s="113" t="str">
        <f t="array" ref="E31">IF(B31="","",IFERROR(INDEX('FUNCIONÁRIOS'!$E$4:$E$501,MATCH(B31,'FUNCIONÁRIOS'!$C$4:$C$501,0)),""))</f>
        <v>NÃO</v>
      </c>
      <c r="F31" s="114">
        <v>46160.0</v>
      </c>
      <c r="G31" s="115" t="str">
        <f t="shared" si="1"/>
        <v>✅ 08:21</v>
      </c>
      <c r="H31" s="121">
        <v>0.34791666666666665</v>
      </c>
      <c r="I31" s="117" t="str">
        <f t="shared" si="2"/>
        <v>✅ 17:40</v>
      </c>
      <c r="J31" s="121">
        <v>0.7361111111111112</v>
      </c>
      <c r="K31" s="126">
        <f t="shared" si="4"/>
        <v>0.3881944444</v>
      </c>
      <c r="L31" s="119" t="str">
        <f t="shared" si="3"/>
        <v>✅ Finalizado</v>
      </c>
      <c r="M31" s="110"/>
      <c r="N31" s="110"/>
    </row>
    <row r="32" ht="21.75" customHeight="1">
      <c r="A32" s="111">
        <f>31</f>
        <v>31</v>
      </c>
      <c r="B32" s="125" t="s">
        <v>140</v>
      </c>
      <c r="C32" s="123" t="str">
        <f t="array" ref="C32">IF(B32="","",IFERROR(INDEX('FUNCIONÁRIOS'!$B$4:$B$501,MATCH(B32,'FUNCIONÁRIOS'!$C$4:$C$501,0)),""))</f>
        <v>BIGODE </v>
      </c>
      <c r="D32" s="123" t="str">
        <f t="array" ref="D32">IF(B32="","",IFERROR(INDEX('FUNCIONÁRIOS'!$D$4:$D$501,MATCH(B32,'FUNCIONÁRIOS'!$C$4:$C$501,0)),""))</f>
        <v>CONTROLE DE ACESSO</v>
      </c>
      <c r="E32" s="123" t="str">
        <f t="array" ref="E32">IF(B32="","",IFERROR(INDEX('FUNCIONÁRIOS'!$E$4:$E$501,MATCH(B32,'FUNCIONÁRIOS'!$C$4:$C$501,0)),""))</f>
        <v>NÃO</v>
      </c>
      <c r="F32" s="114">
        <v>46160.0</v>
      </c>
      <c r="G32" s="115" t="str">
        <f t="shared" si="1"/>
        <v>✅ 10:30</v>
      </c>
      <c r="H32" s="121">
        <v>0.4375</v>
      </c>
      <c r="I32" s="117" t="str">
        <f t="shared" si="2"/>
        <v>✅ 17:24</v>
      </c>
      <c r="J32" s="121">
        <v>0.725</v>
      </c>
      <c r="K32" s="126">
        <f t="shared" si="4"/>
        <v>0.2875</v>
      </c>
      <c r="L32" s="122" t="str">
        <f t="shared" si="3"/>
        <v>✅ Finalizado</v>
      </c>
      <c r="M32" s="110"/>
      <c r="N32" s="110"/>
    </row>
    <row r="33" ht="21.75" customHeight="1">
      <c r="A33" s="111">
        <f>32</f>
        <v>32</v>
      </c>
      <c r="B33" s="125" t="s">
        <v>142</v>
      </c>
      <c r="C33" s="113" t="str">
        <f t="array" ref="C33">IF(B33="","",IFERROR(INDEX('FUNCIONÁRIOS'!$B$4:$B$501,MATCH(B33,'FUNCIONÁRIOS'!$C$4:$C$501,0)),""))</f>
        <v>BIGODE </v>
      </c>
      <c r="D33" s="113" t="str">
        <f t="array" ref="D33">IF(B33="","",IFERROR(INDEX('FUNCIONÁRIOS'!$D$4:$D$501,MATCH(B33,'FUNCIONÁRIOS'!$C$4:$C$501,0)),""))</f>
        <v>CONTROLE DE ACESSO</v>
      </c>
      <c r="E33" s="113" t="str">
        <f t="array" ref="E33">IF(B33="","",IFERROR(INDEX('FUNCIONÁRIOS'!$E$4:$E$501,MATCH(B33,'FUNCIONÁRIOS'!$C$4:$C$501,0)),""))</f>
        <v>NÃO</v>
      </c>
      <c r="F33" s="114">
        <v>46160.0</v>
      </c>
      <c r="G33" s="115" t="str">
        <f t="shared" si="1"/>
        <v>✅ 10:30</v>
      </c>
      <c r="H33" s="121">
        <v>0.4375</v>
      </c>
      <c r="I33" s="117" t="str">
        <f t="shared" si="2"/>
        <v>✅ 17:24</v>
      </c>
      <c r="J33" s="121">
        <v>0.725</v>
      </c>
      <c r="K33" s="126">
        <f t="shared" si="4"/>
        <v>0.2875</v>
      </c>
      <c r="L33" s="119" t="str">
        <f t="shared" si="3"/>
        <v>✅ Finalizado</v>
      </c>
      <c r="M33" s="110"/>
      <c r="N33" s="110"/>
    </row>
    <row r="34" ht="21.75" customHeight="1">
      <c r="A34" s="111">
        <f>33</f>
        <v>33</v>
      </c>
      <c r="B34" s="112" t="s">
        <v>136</v>
      </c>
      <c r="C34" s="123" t="str">
        <f t="array" ref="C34">IF(B34="","",IFERROR(INDEX('FUNCIONÁRIOS'!$B$4:$B$501,MATCH(B34,'FUNCIONÁRIOS'!$C$4:$C$501,0)),""))</f>
        <v>YES </v>
      </c>
      <c r="D34" s="123" t="str">
        <f t="array" ref="D34">IF(B34="","",IFERROR(INDEX('FUNCIONÁRIOS'!$D$4:$D$501,MATCH(B34,'FUNCIONÁRIOS'!$C$4:$C$501,0)),""))</f>
        <v>TEC SEGURANÇA</v>
      </c>
      <c r="E34" s="123" t="str">
        <f t="array" ref="E34">IF(B34="","",IFERROR(INDEX('FUNCIONÁRIOS'!$E$4:$E$501,MATCH(B34,'FUNCIONÁRIOS'!$C$4:$C$501,0)),""))</f>
        <v>NÃO</v>
      </c>
      <c r="F34" s="114">
        <v>46160.0</v>
      </c>
      <c r="G34" s="115" t="str">
        <f t="shared" si="1"/>
        <v>✅ 11:00</v>
      </c>
      <c r="H34" s="121">
        <v>0.4583333333333333</v>
      </c>
      <c r="I34" s="117" t="str">
        <f t="shared" si="2"/>
        <v>✅ 17:22</v>
      </c>
      <c r="J34" s="121">
        <v>0.7236111111111111</v>
      </c>
      <c r="K34" s="126">
        <f t="shared" si="4"/>
        <v>0.2652777778</v>
      </c>
      <c r="L34" s="127" t="str">
        <f t="shared" si="3"/>
        <v>✅ Finalizado</v>
      </c>
      <c r="M34" s="110"/>
      <c r="N34" s="110"/>
    </row>
    <row r="35" ht="21.75" customHeight="1">
      <c r="A35" s="111"/>
      <c r="B35" s="128"/>
      <c r="C35" s="129"/>
      <c r="D35" s="130"/>
      <c r="E35" s="130"/>
      <c r="F35" s="131"/>
      <c r="G35" s="132"/>
      <c r="H35" s="133"/>
      <c r="I35" s="134"/>
      <c r="J35" s="135"/>
      <c r="K35" s="136"/>
      <c r="L35" s="137"/>
      <c r="M35" s="110"/>
      <c r="N35" s="110"/>
    </row>
    <row r="36" ht="21.75" customHeight="1">
      <c r="A36" s="111">
        <f>34</f>
        <v>34</v>
      </c>
      <c r="B36" s="112" t="s">
        <v>184</v>
      </c>
      <c r="C36" s="124" t="s">
        <v>22</v>
      </c>
      <c r="D36" s="113" t="str">
        <f t="array" ref="D36">IF(B36="","",IFERROR(INDEX('FUNCIONÁRIOS'!$D$4:$D$501,MATCH(B36,'FUNCIONÁRIOS'!$C$4:$C$501,0)),""))</f>
        <v>TEC SEGURANÇA</v>
      </c>
      <c r="E36" s="113" t="str">
        <f t="array" ref="E36">IF(B36="","",IFERROR(INDEX('FUNCIONÁRIOS'!$E$4:$E$501,MATCH(B36,'FUNCIONÁRIOS'!$C$4:$C$501,0)),""))</f>
        <v>NÃO</v>
      </c>
      <c r="F36" s="138">
        <v>46161.0</v>
      </c>
      <c r="G36" s="115" t="str">
        <f t="shared" ref="G36:G73" si="5">IF(H36&lt;&gt;"","✅ "&amp;TEXT(H36,"HH:MM"),"→ Selecione a linha e use o menu ⏱️ Ponto")</f>
        <v>✅ 08:53</v>
      </c>
      <c r="H36" s="116" t="s">
        <v>1595</v>
      </c>
      <c r="I36" s="117" t="str">
        <f t="shared" ref="I36:I73" si="6">IF(J36&lt;&gt;"","✅ "&amp;TEXT(J36,"HH:MM"),"→ Selecione a linha e use o menu ⏱️ Ponto")</f>
        <v>✅ 12:00</v>
      </c>
      <c r="J36" s="121">
        <v>0.5</v>
      </c>
      <c r="K36" s="139"/>
      <c r="L36" s="127" t="str">
        <f t="shared" ref="L36:L73" si="7">IF(AND(H36&lt;&gt;"",J36=""),"🟢 No Evento",IF(AND(H36&lt;&gt;"",J36&lt;&gt;""),"✅ Finalizado",IF(B36&lt;&gt;"","⏳ Não entrou","")))</f>
        <v>✅ Finalizado</v>
      </c>
      <c r="M36" s="110"/>
      <c r="N36" s="110"/>
    </row>
    <row r="37" ht="21.75" customHeight="1">
      <c r="A37" s="111">
        <f>35</f>
        <v>35</v>
      </c>
      <c r="B37" s="112" t="s">
        <v>143</v>
      </c>
      <c r="C37" s="120" t="s">
        <v>14</v>
      </c>
      <c r="D37" s="123" t="str">
        <f t="array" ref="D37">IF(B37="","",IFERROR(INDEX('FUNCIONÁRIOS'!$D$4:$D$501,MATCH(B37,'FUNCIONÁRIOS'!$C$4:$C$501,0)),""))</f>
        <v>OPERADOR DE EMPILHADEIRA </v>
      </c>
      <c r="E37" s="123" t="str">
        <f t="array" ref="E37">IF(B37="","",IFERROR(INDEX('FUNCIONÁRIOS'!$E$4:$E$501,MATCH(B37,'FUNCIONÁRIOS'!$C$4:$C$501,0)),""))</f>
        <v>NÃO</v>
      </c>
      <c r="F37" s="138">
        <v>46161.0</v>
      </c>
      <c r="G37" s="115" t="str">
        <f t="shared" si="5"/>
        <v>✅ 08:00</v>
      </c>
      <c r="H37" s="121">
        <v>0.3333333333333333</v>
      </c>
      <c r="I37" s="117" t="str">
        <f t="shared" si="6"/>
        <v>✅ 17:50</v>
      </c>
      <c r="J37" s="121">
        <v>0.7430555555555556</v>
      </c>
      <c r="K37" s="126">
        <f t="shared" ref="K37:K61" si="8">IF(AND(H37&lt;&gt;"",J37&lt;&gt;""),J37-H37,"")</f>
        <v>0.4097222222</v>
      </c>
      <c r="L37" s="127" t="str">
        <f t="shared" si="7"/>
        <v>✅ Finalizado</v>
      </c>
      <c r="M37" s="110"/>
      <c r="N37" s="110"/>
    </row>
    <row r="38" ht="21.75" customHeight="1">
      <c r="A38" s="111">
        <f>36</f>
        <v>36</v>
      </c>
      <c r="B38" s="112" t="s">
        <v>100</v>
      </c>
      <c r="C38" s="113" t="str">
        <f t="array" ref="C38">IF(B38="","",IFERROR(INDEX('FUNCIONÁRIOS'!$B$4:$B$501,MATCH(B38,'FUNCIONÁRIOS'!$C$4:$C$501,0)),""))</f>
        <v>MONTE EVENTOS </v>
      </c>
      <c r="D38" s="113" t="str">
        <f t="array" ref="D38">IF(B38="","",IFERROR(INDEX('FUNCIONÁRIOS'!$D$4:$D$501,MATCH(B38,'FUNCIONÁRIOS'!$C$4:$C$501,0)),""))</f>
        <v>MONTADOR</v>
      </c>
      <c r="E38" s="113" t="str">
        <f t="array" ref="E38">IF(B38="","",IFERROR(INDEX('FUNCIONÁRIOS'!$E$4:$E$501,MATCH(B38,'FUNCIONÁRIOS'!$C$4:$C$501,0)),""))</f>
        <v>NÃO</v>
      </c>
      <c r="F38" s="138">
        <v>46161.0</v>
      </c>
      <c r="G38" s="115" t="str">
        <f t="shared" si="5"/>
        <v>✅ 08:00</v>
      </c>
      <c r="H38" s="121">
        <v>0.3333333333333333</v>
      </c>
      <c r="I38" s="117" t="str">
        <f t="shared" si="6"/>
        <v>✅ 18:00</v>
      </c>
      <c r="J38" s="121">
        <v>0.75</v>
      </c>
      <c r="K38" s="126">
        <f t="shared" si="8"/>
        <v>0.4166666667</v>
      </c>
      <c r="L38" s="127" t="str">
        <f t="shared" si="7"/>
        <v>✅ Finalizado</v>
      </c>
      <c r="M38" s="110"/>
      <c r="N38" s="110"/>
    </row>
    <row r="39" ht="21.75" customHeight="1">
      <c r="A39" s="111">
        <f>37</f>
        <v>37</v>
      </c>
      <c r="B39" s="112" t="s">
        <v>136</v>
      </c>
      <c r="C39" s="123" t="str">
        <f t="array" ref="C39">IF(B39="","",IFERROR(INDEX('FUNCIONÁRIOS'!$B$4:$B$501,MATCH(B39,'FUNCIONÁRIOS'!$C$4:$C$501,0)),""))</f>
        <v>YES </v>
      </c>
      <c r="D39" s="123" t="str">
        <f t="array" ref="D39">IF(B39="","",IFERROR(INDEX('FUNCIONÁRIOS'!$D$4:$D$501,MATCH(B39,'FUNCIONÁRIOS'!$C$4:$C$501,0)),""))</f>
        <v>TEC SEGURANÇA</v>
      </c>
      <c r="E39" s="123" t="str">
        <f t="array" ref="E39">IF(B39="","",IFERROR(INDEX('FUNCIONÁRIOS'!$E$4:$E$501,MATCH(B39,'FUNCIONÁRIOS'!$C$4:$C$501,0)),""))</f>
        <v>NÃO</v>
      </c>
      <c r="F39" s="138">
        <v>46161.0</v>
      </c>
      <c r="G39" s="115" t="str">
        <f t="shared" si="5"/>
        <v>✅ 08:00</v>
      </c>
      <c r="H39" s="121">
        <v>0.3333333333333333</v>
      </c>
      <c r="I39" s="117" t="str">
        <f t="shared" si="6"/>
        <v>✅ 16:44</v>
      </c>
      <c r="J39" s="121">
        <v>0.6972222222222222</v>
      </c>
      <c r="K39" s="126">
        <f t="shared" si="8"/>
        <v>0.3638888889</v>
      </c>
      <c r="L39" s="127" t="str">
        <f t="shared" si="7"/>
        <v>✅ Finalizado</v>
      </c>
      <c r="M39" s="110"/>
      <c r="N39" s="110"/>
    </row>
    <row r="40" ht="21.75" customHeight="1">
      <c r="A40" s="111">
        <f>38</f>
        <v>38</v>
      </c>
      <c r="B40" s="112" t="s">
        <v>129</v>
      </c>
      <c r="C40" s="113" t="str">
        <f t="array" ref="C40">IF(B40="","",IFERROR(INDEX('FUNCIONÁRIOS'!$B$4:$B$501,MATCH(B40,'FUNCIONÁRIOS'!$C$4:$C$501,0)),""))</f>
        <v>TJ SERVIÇOS</v>
      </c>
      <c r="D40" s="113" t="str">
        <f t="array" ref="D40">IF(B40="","",IFERROR(INDEX('FUNCIONÁRIOS'!$D$4:$D$501,MATCH(B40,'FUNCIONÁRIOS'!$C$4:$C$501,0)),""))</f>
        <v>BRIGADISTA </v>
      </c>
      <c r="E40" s="113" t="str">
        <f t="array" ref="E40">IF(B40="","",IFERROR(INDEX('FUNCIONÁRIOS'!$E$4:$E$501,MATCH(B40,'FUNCIONÁRIOS'!$C$4:$C$501,0)),""))</f>
        <v>NÃO</v>
      </c>
      <c r="F40" s="138">
        <v>46161.0</v>
      </c>
      <c r="G40" s="115" t="str">
        <f t="shared" si="5"/>
        <v>✅ 08:00</v>
      </c>
      <c r="H40" s="121">
        <v>0.3333333333333333</v>
      </c>
      <c r="I40" s="117" t="str">
        <f t="shared" si="6"/>
        <v>✅ 18:00</v>
      </c>
      <c r="J40" s="121">
        <v>0.75</v>
      </c>
      <c r="K40" s="126">
        <f t="shared" si="8"/>
        <v>0.4166666667</v>
      </c>
      <c r="L40" s="127" t="str">
        <f t="shared" si="7"/>
        <v>✅ Finalizado</v>
      </c>
      <c r="M40" s="110"/>
      <c r="N40" s="110"/>
    </row>
    <row r="41" ht="21.75" customHeight="1">
      <c r="A41" s="111">
        <f>39</f>
        <v>39</v>
      </c>
      <c r="B41" s="112" t="s">
        <v>176</v>
      </c>
      <c r="C41" s="120" t="s">
        <v>18</v>
      </c>
      <c r="D41" s="123" t="str">
        <f t="array" ref="D41">IF(B41="","",IFERROR(INDEX('FUNCIONÁRIOS'!$D$4:$D$501,MATCH(B41,'FUNCIONÁRIOS'!$C$4:$C$501,0)),""))</f>
        <v>BRIGADISTA</v>
      </c>
      <c r="E41" s="123" t="str">
        <f t="array" ref="E41">IF(B41="","",IFERROR(INDEX('FUNCIONÁRIOS'!$E$4:$E$501,MATCH(B41,'FUNCIONÁRIOS'!$C$4:$C$501,0)),""))</f>
        <v>NÃO</v>
      </c>
      <c r="F41" s="138">
        <v>46161.0</v>
      </c>
      <c r="G41" s="115" t="str">
        <f t="shared" si="5"/>
        <v>✅ 08:00</v>
      </c>
      <c r="H41" s="121">
        <v>0.3333333333333333</v>
      </c>
      <c r="I41" s="117" t="str">
        <f t="shared" si="6"/>
        <v>✅ 18:00</v>
      </c>
      <c r="J41" s="121">
        <v>0.75</v>
      </c>
      <c r="K41" s="126">
        <f t="shared" si="8"/>
        <v>0.4166666667</v>
      </c>
      <c r="L41" s="127" t="str">
        <f t="shared" si="7"/>
        <v>✅ Finalizado</v>
      </c>
      <c r="M41" s="110"/>
      <c r="N41" s="110"/>
    </row>
    <row r="42" ht="21.75" customHeight="1">
      <c r="A42" s="111">
        <f>40</f>
        <v>40</v>
      </c>
      <c r="B42" s="112" t="s">
        <v>121</v>
      </c>
      <c r="C42" s="113" t="str">
        <f t="array" ref="C42">IF(B42="","",IFERROR(INDEX('FUNCIONÁRIOS'!$B$4:$B$501,MATCH(B42,'FUNCIONÁRIOS'!$C$4:$C$501,0)),""))</f>
        <v>MONTE EVENTOS </v>
      </c>
      <c r="D42" s="113" t="str">
        <f t="array" ref="D42">IF(B42="","",IFERROR(INDEX('FUNCIONÁRIOS'!$D$4:$D$501,MATCH(B42,'FUNCIONÁRIOS'!$C$4:$C$501,0)),""))</f>
        <v>MONTADOR</v>
      </c>
      <c r="E42" s="113" t="str">
        <f t="array" ref="E42">IF(B42="","",IFERROR(INDEX('FUNCIONÁRIOS'!$E$4:$E$501,MATCH(B42,'FUNCIONÁRIOS'!$C$4:$C$501,0)),""))</f>
        <v>NÃO</v>
      </c>
      <c r="F42" s="138">
        <v>46161.0</v>
      </c>
      <c r="G42" s="115" t="str">
        <f t="shared" si="5"/>
        <v>✅ 08:00</v>
      </c>
      <c r="H42" s="121">
        <v>0.3333333333333333</v>
      </c>
      <c r="I42" s="117" t="str">
        <f t="shared" si="6"/>
        <v>✅ 18:00</v>
      </c>
      <c r="J42" s="121">
        <v>0.75</v>
      </c>
      <c r="K42" s="126">
        <f t="shared" si="8"/>
        <v>0.4166666667</v>
      </c>
      <c r="L42" s="127" t="str">
        <f t="shared" si="7"/>
        <v>✅ Finalizado</v>
      </c>
      <c r="M42" s="110"/>
      <c r="N42" s="110"/>
    </row>
    <row r="43" ht="21.75" customHeight="1">
      <c r="A43" s="111">
        <f>41</f>
        <v>41</v>
      </c>
      <c r="B43" s="112" t="s">
        <v>119</v>
      </c>
      <c r="C43" s="123" t="str">
        <f t="array" ref="C43">IF(B43="","",IFERROR(INDEX('FUNCIONÁRIOS'!$B$4:$B$501,MATCH(B43,'FUNCIONÁRIOS'!$C$4:$C$501,0)),""))</f>
        <v>MONTE EVENTOS </v>
      </c>
      <c r="D43" s="123" t="str">
        <f t="array" ref="D43">IF(B43="","",IFERROR(INDEX('FUNCIONÁRIOS'!$D$4:$D$501,MATCH(B43,'FUNCIONÁRIOS'!$C$4:$C$501,0)),""))</f>
        <v>MONTADOR</v>
      </c>
      <c r="E43" s="123" t="str">
        <f t="array" ref="E43">IF(B43="","",IFERROR(INDEX('FUNCIONÁRIOS'!$E$4:$E$501,MATCH(B43,'FUNCIONÁRIOS'!$C$4:$C$501,0)),""))</f>
        <v>NÃO</v>
      </c>
      <c r="F43" s="138">
        <v>46161.0</v>
      </c>
      <c r="G43" s="115" t="str">
        <f t="shared" si="5"/>
        <v>✅ 08:00</v>
      </c>
      <c r="H43" s="121">
        <v>0.3333333333333333</v>
      </c>
      <c r="I43" s="117" t="str">
        <f t="shared" si="6"/>
        <v>✅ 18:00</v>
      </c>
      <c r="J43" s="121">
        <v>0.75</v>
      </c>
      <c r="K43" s="126">
        <f t="shared" si="8"/>
        <v>0.4166666667</v>
      </c>
      <c r="L43" s="127" t="str">
        <f t="shared" si="7"/>
        <v>✅ Finalizado</v>
      </c>
      <c r="M43" s="110"/>
      <c r="N43" s="110"/>
    </row>
    <row r="44" ht="21.75" customHeight="1">
      <c r="A44" s="111">
        <f>42</f>
        <v>42</v>
      </c>
      <c r="B44" s="112" t="s">
        <v>113</v>
      </c>
      <c r="C44" s="113" t="str">
        <f t="array" ref="C44">IF(B44="","",IFERROR(INDEX('FUNCIONÁRIOS'!$B$4:$B$501,MATCH(B44,'FUNCIONÁRIOS'!$C$4:$C$501,0)),""))</f>
        <v>MONTE EVENTOS </v>
      </c>
      <c r="D44" s="113" t="str">
        <f t="array" ref="D44">IF(B44="","",IFERROR(INDEX('FUNCIONÁRIOS'!$D$4:$D$501,MATCH(B44,'FUNCIONÁRIOS'!$C$4:$C$501,0)),""))</f>
        <v>COORDENADOR/CEO</v>
      </c>
      <c r="E44" s="113" t="str">
        <f t="array" ref="E44">IF(B44="","",IFERROR(INDEX('FUNCIONÁRIOS'!$E$4:$E$501,MATCH(B44,'FUNCIONÁRIOS'!$C$4:$C$501,0)),""))</f>
        <v>SIM</v>
      </c>
      <c r="F44" s="138">
        <v>46161.0</v>
      </c>
      <c r="G44" s="115" t="str">
        <f t="shared" si="5"/>
        <v>✅ 08:00</v>
      </c>
      <c r="H44" s="121">
        <v>0.3333333333333333</v>
      </c>
      <c r="I44" s="117" t="str">
        <f t="shared" si="6"/>
        <v>✅ 18:00</v>
      </c>
      <c r="J44" s="121">
        <v>0.75</v>
      </c>
      <c r="K44" s="126">
        <f t="shared" si="8"/>
        <v>0.4166666667</v>
      </c>
      <c r="L44" s="127" t="str">
        <f t="shared" si="7"/>
        <v>✅ Finalizado</v>
      </c>
      <c r="M44" s="110"/>
      <c r="N44" s="110"/>
    </row>
    <row r="45" ht="21.75" customHeight="1">
      <c r="A45" s="111">
        <f>43</f>
        <v>43</v>
      </c>
      <c r="B45" s="112" t="s">
        <v>125</v>
      </c>
      <c r="C45" s="123" t="str">
        <f t="array" ref="C45">IF(B45="","",IFERROR(INDEX('FUNCIONÁRIOS'!$B$4:$B$501,MATCH(B45,'FUNCIONÁRIOS'!$C$4:$C$501,0)),""))</f>
        <v>MONTE EVENTOS </v>
      </c>
      <c r="D45" s="123" t="str">
        <f t="array" ref="D45">IF(B45="","",IFERROR(INDEX('FUNCIONÁRIOS'!$D$4:$D$501,MATCH(B45,'FUNCIONÁRIOS'!$C$4:$C$501,0)),""))</f>
        <v>MONTADOR</v>
      </c>
      <c r="E45" s="123" t="str">
        <f t="array" ref="E45">IF(B45="","",IFERROR(INDEX('FUNCIONÁRIOS'!$E$4:$E$501,MATCH(B45,'FUNCIONÁRIOS'!$C$4:$C$501,0)),""))</f>
        <v>NÃO</v>
      </c>
      <c r="F45" s="138">
        <v>46161.0</v>
      </c>
      <c r="G45" s="115" t="str">
        <f t="shared" si="5"/>
        <v>✅ 08:00</v>
      </c>
      <c r="H45" s="121">
        <v>0.3333333333333333</v>
      </c>
      <c r="I45" s="117" t="str">
        <f t="shared" si="6"/>
        <v>✅ 18:00</v>
      </c>
      <c r="J45" s="121">
        <v>0.75</v>
      </c>
      <c r="K45" s="126">
        <f t="shared" si="8"/>
        <v>0.4166666667</v>
      </c>
      <c r="L45" s="127" t="str">
        <f t="shared" si="7"/>
        <v>✅ Finalizado</v>
      </c>
      <c r="M45" s="110"/>
      <c r="N45" s="110"/>
    </row>
    <row r="46" ht="21.75" customHeight="1">
      <c r="A46" s="111">
        <f>44</f>
        <v>44</v>
      </c>
      <c r="B46" s="112" t="s">
        <v>126</v>
      </c>
      <c r="C46" s="113" t="str">
        <f t="array" ref="C46">IF(B46="","",IFERROR(INDEX('FUNCIONÁRIOS'!$B$4:$B$501,MATCH(B46,'FUNCIONÁRIOS'!$C$4:$C$501,0)),""))</f>
        <v>MONTE EVENTOS </v>
      </c>
      <c r="D46" s="113" t="str">
        <f t="array" ref="D46">IF(B46="","",IFERROR(INDEX('FUNCIONÁRIOS'!$D$4:$D$501,MATCH(B46,'FUNCIONÁRIOS'!$C$4:$C$501,0)),""))</f>
        <v>MONTADOR</v>
      </c>
      <c r="E46" s="113" t="str">
        <f t="array" ref="E46">IF(B46="","",IFERROR(INDEX('FUNCIONÁRIOS'!$E$4:$E$501,MATCH(B46,'FUNCIONÁRIOS'!$C$4:$C$501,0)),""))</f>
        <v>NÃO</v>
      </c>
      <c r="F46" s="138">
        <v>46161.0</v>
      </c>
      <c r="G46" s="115" t="str">
        <f t="shared" si="5"/>
        <v>✅ 08:00</v>
      </c>
      <c r="H46" s="121">
        <v>0.3333333333333333</v>
      </c>
      <c r="I46" s="117" t="str">
        <f t="shared" si="6"/>
        <v>✅ 18:00</v>
      </c>
      <c r="J46" s="121">
        <v>0.75</v>
      </c>
      <c r="K46" s="126">
        <f t="shared" si="8"/>
        <v>0.4166666667</v>
      </c>
      <c r="L46" s="127" t="str">
        <f t="shared" si="7"/>
        <v>✅ Finalizado</v>
      </c>
      <c r="M46" s="110"/>
      <c r="N46" s="110"/>
    </row>
    <row r="47" ht="21.75" customHeight="1">
      <c r="A47" s="111">
        <f>45</f>
        <v>45</v>
      </c>
      <c r="B47" s="112" t="s">
        <v>118</v>
      </c>
      <c r="C47" s="123" t="str">
        <f t="array" ref="C47">IF(B47="","",IFERROR(INDEX('FUNCIONÁRIOS'!$B$4:$B$501,MATCH(B47,'FUNCIONÁRIOS'!$C$4:$C$501,0)),""))</f>
        <v>MONTE EVENTOS </v>
      </c>
      <c r="D47" s="123" t="str">
        <f t="array" ref="D47">IF(B47="","",IFERROR(INDEX('FUNCIONÁRIOS'!$D$4:$D$501,MATCH(B47,'FUNCIONÁRIOS'!$C$4:$C$501,0)),""))</f>
        <v>MONTADOR</v>
      </c>
      <c r="E47" s="123" t="str">
        <f t="array" ref="E47">IF(B47="","",IFERROR(INDEX('FUNCIONÁRIOS'!$E$4:$E$501,MATCH(B47,'FUNCIONÁRIOS'!$C$4:$C$501,0)),""))</f>
        <v>NÃO</v>
      </c>
      <c r="F47" s="138">
        <v>46161.0</v>
      </c>
      <c r="G47" s="115" t="str">
        <f t="shared" si="5"/>
        <v>✅ 08:00</v>
      </c>
      <c r="H47" s="121">
        <v>0.3333333333333333</v>
      </c>
      <c r="I47" s="117" t="str">
        <f t="shared" si="6"/>
        <v>✅ 18:00</v>
      </c>
      <c r="J47" s="121">
        <v>0.75</v>
      </c>
      <c r="K47" s="126">
        <f t="shared" si="8"/>
        <v>0.4166666667</v>
      </c>
      <c r="L47" s="127" t="str">
        <f t="shared" si="7"/>
        <v>✅ Finalizado</v>
      </c>
      <c r="M47" s="110"/>
      <c r="N47" s="110"/>
    </row>
    <row r="48" ht="21.75" customHeight="1">
      <c r="A48" s="111">
        <f>46</f>
        <v>46</v>
      </c>
      <c r="B48" s="112" t="s">
        <v>124</v>
      </c>
      <c r="C48" s="113" t="str">
        <f t="array" ref="C48">IF(B48="","",IFERROR(INDEX('FUNCIONÁRIOS'!$B$4:$B$501,MATCH(B48,'FUNCIONÁRIOS'!$C$4:$C$501,0)),""))</f>
        <v>MONTE EVENTOS </v>
      </c>
      <c r="D48" s="113" t="str">
        <f t="array" ref="D48">IF(B48="","",IFERROR(INDEX('FUNCIONÁRIOS'!$D$4:$D$501,MATCH(B48,'FUNCIONÁRIOS'!$C$4:$C$501,0)),""))</f>
        <v>MONTADOR</v>
      </c>
      <c r="E48" s="113" t="str">
        <f t="array" ref="E48">IF(B48="","",IFERROR(INDEX('FUNCIONÁRIOS'!$E$4:$E$501,MATCH(B48,'FUNCIONÁRIOS'!$C$4:$C$501,0)),""))</f>
        <v>NÃO</v>
      </c>
      <c r="F48" s="138">
        <v>46161.0</v>
      </c>
      <c r="G48" s="115" t="str">
        <f t="shared" si="5"/>
        <v>✅ 08:00</v>
      </c>
      <c r="H48" s="121">
        <v>0.3333333333333333</v>
      </c>
      <c r="I48" s="117" t="str">
        <f t="shared" si="6"/>
        <v>✅ 18:00</v>
      </c>
      <c r="J48" s="121">
        <v>0.75</v>
      </c>
      <c r="K48" s="126">
        <f t="shared" si="8"/>
        <v>0.4166666667</v>
      </c>
      <c r="L48" s="127" t="str">
        <f t="shared" si="7"/>
        <v>✅ Finalizado</v>
      </c>
      <c r="M48" s="110"/>
      <c r="N48" s="110"/>
    </row>
    <row r="49" ht="21.75" customHeight="1">
      <c r="A49" s="111">
        <f>47</f>
        <v>47</v>
      </c>
      <c r="B49" s="112" t="s">
        <v>111</v>
      </c>
      <c r="C49" s="123" t="str">
        <f t="array" ref="C49">IF(B49="","",IFERROR(INDEX('FUNCIONÁRIOS'!$B$4:$B$501,MATCH(B49,'FUNCIONÁRIOS'!$C$4:$C$501,0)),""))</f>
        <v>MONTE EVENTOS </v>
      </c>
      <c r="D49" s="123" t="str">
        <f t="array" ref="D49">IF(B49="","",IFERROR(INDEX('FUNCIONÁRIOS'!$D$4:$D$501,MATCH(B49,'FUNCIONÁRIOS'!$C$4:$C$501,0)),""))</f>
        <v>MONTADOR</v>
      </c>
      <c r="E49" s="123" t="str">
        <f t="array" ref="E49">IF(B49="","",IFERROR(INDEX('FUNCIONÁRIOS'!$E$4:$E$501,MATCH(B49,'FUNCIONÁRIOS'!$C$4:$C$501,0)),""))</f>
        <v>NÃO</v>
      </c>
      <c r="F49" s="138">
        <v>46161.0</v>
      </c>
      <c r="G49" s="115" t="str">
        <f t="shared" si="5"/>
        <v>✅ 08:00</v>
      </c>
      <c r="H49" s="121">
        <v>0.3333333333333333</v>
      </c>
      <c r="I49" s="117" t="str">
        <f t="shared" si="6"/>
        <v>✅ 18:00</v>
      </c>
      <c r="J49" s="121">
        <v>0.75</v>
      </c>
      <c r="K49" s="126">
        <f t="shared" si="8"/>
        <v>0.4166666667</v>
      </c>
      <c r="L49" s="127" t="str">
        <f t="shared" si="7"/>
        <v>✅ Finalizado</v>
      </c>
      <c r="M49" s="110"/>
      <c r="N49" s="110"/>
    </row>
    <row r="50" ht="21.75" customHeight="1">
      <c r="A50" s="111">
        <f>48</f>
        <v>48</v>
      </c>
      <c r="B50" s="112" t="s">
        <v>123</v>
      </c>
      <c r="C50" s="113" t="str">
        <f t="array" ref="C50">IF(B50="","",IFERROR(INDEX('FUNCIONÁRIOS'!$B$4:$B$501,MATCH(B50,'FUNCIONÁRIOS'!$C$4:$C$501,0)),""))</f>
        <v>MONTE EVENTOS </v>
      </c>
      <c r="D50" s="113" t="str">
        <f t="array" ref="D50">IF(B50="","",IFERROR(INDEX('FUNCIONÁRIOS'!$D$4:$D$501,MATCH(B50,'FUNCIONÁRIOS'!$C$4:$C$501,0)),""))</f>
        <v>MONTADOR</v>
      </c>
      <c r="E50" s="113" t="str">
        <f t="array" ref="E50">IF(B50="","",IFERROR(INDEX('FUNCIONÁRIOS'!$E$4:$E$501,MATCH(B50,'FUNCIONÁRIOS'!$C$4:$C$501,0)),""))</f>
        <v>NÃO</v>
      </c>
      <c r="F50" s="138">
        <v>46161.0</v>
      </c>
      <c r="G50" s="115" t="str">
        <f t="shared" si="5"/>
        <v>✅ 08:00</v>
      </c>
      <c r="H50" s="121">
        <v>0.3333333333333333</v>
      </c>
      <c r="I50" s="117" t="str">
        <f t="shared" si="6"/>
        <v>✅ 18:00</v>
      </c>
      <c r="J50" s="121">
        <v>0.75</v>
      </c>
      <c r="K50" s="126">
        <f t="shared" si="8"/>
        <v>0.4166666667</v>
      </c>
      <c r="L50" s="127" t="str">
        <f t="shared" si="7"/>
        <v>✅ Finalizado</v>
      </c>
      <c r="M50" s="110"/>
      <c r="N50" s="110"/>
    </row>
    <row r="51" ht="21.75" customHeight="1">
      <c r="A51" s="111">
        <f>49</f>
        <v>49</v>
      </c>
      <c r="B51" s="112" t="s">
        <v>122</v>
      </c>
      <c r="C51" s="123" t="str">
        <f t="array" ref="C51">IF(B51="","",IFERROR(INDEX('FUNCIONÁRIOS'!$B$4:$B$501,MATCH(B51,'FUNCIONÁRIOS'!$C$4:$C$501,0)),""))</f>
        <v>MONTE EVENTOS </v>
      </c>
      <c r="D51" s="123" t="str">
        <f t="array" ref="D51">IF(B51="","",IFERROR(INDEX('FUNCIONÁRIOS'!$D$4:$D$501,MATCH(B51,'FUNCIONÁRIOS'!$C$4:$C$501,0)),""))</f>
        <v>MONTADOR</v>
      </c>
      <c r="E51" s="123" t="str">
        <f t="array" ref="E51">IF(B51="","",IFERROR(INDEX('FUNCIONÁRIOS'!$E$4:$E$501,MATCH(B51,'FUNCIONÁRIOS'!$C$4:$C$501,0)),""))</f>
        <v>NÃO</v>
      </c>
      <c r="F51" s="138">
        <v>46161.0</v>
      </c>
      <c r="G51" s="115" t="str">
        <f t="shared" si="5"/>
        <v>✅ 08:00</v>
      </c>
      <c r="H51" s="121">
        <v>0.3333333333333333</v>
      </c>
      <c r="I51" s="117" t="str">
        <f t="shared" si="6"/>
        <v>✅ 18:00</v>
      </c>
      <c r="J51" s="121">
        <v>0.75</v>
      </c>
      <c r="K51" s="126">
        <f t="shared" si="8"/>
        <v>0.4166666667</v>
      </c>
      <c r="L51" s="127" t="str">
        <f t="shared" si="7"/>
        <v>✅ Finalizado</v>
      </c>
      <c r="M51" s="110"/>
      <c r="N51" s="110"/>
    </row>
    <row r="52" ht="21.75" customHeight="1">
      <c r="A52" s="111">
        <f>50</f>
        <v>50</v>
      </c>
      <c r="B52" s="112" t="s">
        <v>103</v>
      </c>
      <c r="C52" s="113" t="str">
        <f t="array" ref="C52">IF(B52="","",IFERROR(INDEX('FUNCIONÁRIOS'!$B$4:$B$501,MATCH(B52,'FUNCIONÁRIOS'!$C$4:$C$501,0)),""))</f>
        <v>MONTE EVENTOS </v>
      </c>
      <c r="D52" s="113" t="str">
        <f t="array" ref="D52">IF(B52="","",IFERROR(INDEX('FUNCIONÁRIOS'!$D$4:$D$501,MATCH(B52,'FUNCIONÁRIOS'!$C$4:$C$501,0)),""))</f>
        <v>MONTADOR</v>
      </c>
      <c r="E52" s="113" t="str">
        <f t="array" ref="E52">IF(B52="","",IFERROR(INDEX('FUNCIONÁRIOS'!$E$4:$E$501,MATCH(B52,'FUNCIONÁRIOS'!$C$4:$C$501,0)),""))</f>
        <v>NÃO</v>
      </c>
      <c r="F52" s="138">
        <v>46161.0</v>
      </c>
      <c r="G52" s="115" t="str">
        <f t="shared" si="5"/>
        <v>✅ 08:00</v>
      </c>
      <c r="H52" s="121">
        <v>0.3333333333333333</v>
      </c>
      <c r="I52" s="117" t="str">
        <f t="shared" si="6"/>
        <v>✅ 18:00</v>
      </c>
      <c r="J52" s="121">
        <v>0.75</v>
      </c>
      <c r="K52" s="126">
        <f t="shared" si="8"/>
        <v>0.4166666667</v>
      </c>
      <c r="L52" s="127" t="str">
        <f t="shared" si="7"/>
        <v>✅ Finalizado</v>
      </c>
      <c r="M52" s="110"/>
      <c r="N52" s="110"/>
    </row>
    <row r="53" ht="21.75" customHeight="1">
      <c r="A53" s="111">
        <f>51</f>
        <v>51</v>
      </c>
      <c r="B53" s="112" t="s">
        <v>105</v>
      </c>
      <c r="C53" s="123" t="str">
        <f t="array" ref="C53">IF(B53="","",IFERROR(INDEX('FUNCIONÁRIOS'!$B$4:$B$501,MATCH(B53,'FUNCIONÁRIOS'!$C$4:$C$501,0)),""))</f>
        <v>MONTE EVENTOS </v>
      </c>
      <c r="D53" s="123" t="str">
        <f t="array" ref="D53">IF(B53="","",IFERROR(INDEX('FUNCIONÁRIOS'!$D$4:$D$501,MATCH(B53,'FUNCIONÁRIOS'!$C$4:$C$501,0)),""))</f>
        <v>MONTADOR</v>
      </c>
      <c r="E53" s="123" t="str">
        <f t="array" ref="E53">IF(B53="","",IFERROR(INDEX('FUNCIONÁRIOS'!$E$4:$E$501,MATCH(B53,'FUNCIONÁRIOS'!$C$4:$C$501,0)),""))</f>
        <v>NÃO</v>
      </c>
      <c r="F53" s="138">
        <v>46161.0</v>
      </c>
      <c r="G53" s="115" t="str">
        <f t="shared" si="5"/>
        <v>✅ 08:00</v>
      </c>
      <c r="H53" s="121">
        <v>0.3333333333333333</v>
      </c>
      <c r="I53" s="117" t="str">
        <f t="shared" si="6"/>
        <v>✅ 18:00</v>
      </c>
      <c r="J53" s="121">
        <v>0.75</v>
      </c>
      <c r="K53" s="126">
        <f t="shared" si="8"/>
        <v>0.4166666667</v>
      </c>
      <c r="L53" s="127" t="str">
        <f t="shared" si="7"/>
        <v>✅ Finalizado</v>
      </c>
      <c r="M53" s="110"/>
      <c r="N53" s="110"/>
    </row>
    <row r="54" ht="21.75" customHeight="1">
      <c r="A54" s="111">
        <f>52</f>
        <v>52</v>
      </c>
      <c r="B54" s="112" t="s">
        <v>128</v>
      </c>
      <c r="C54" s="113" t="str">
        <f t="array" ref="C54">IF(B54="","",IFERROR(INDEX('FUNCIONÁRIOS'!$B$4:$B$501,MATCH(B54,'FUNCIONÁRIOS'!$C$4:$C$501,0)),""))</f>
        <v>MONTE EVENTOS </v>
      </c>
      <c r="D54" s="113" t="str">
        <f t="array" ref="D54">IF(B54="","",IFERROR(INDEX('FUNCIONÁRIOS'!$D$4:$D$501,MATCH(B54,'FUNCIONÁRIOS'!$C$4:$C$501,0)),""))</f>
        <v>MONTADOR</v>
      </c>
      <c r="E54" s="113" t="str">
        <f t="array" ref="E54">IF(B54="","",IFERROR(INDEX('FUNCIONÁRIOS'!$E$4:$E$501,MATCH(B54,'FUNCIONÁRIOS'!$C$4:$C$501,0)),""))</f>
        <v>NÃO</v>
      </c>
      <c r="F54" s="138">
        <v>46161.0</v>
      </c>
      <c r="G54" s="115" t="str">
        <f t="shared" si="5"/>
        <v>✅ 08:00</v>
      </c>
      <c r="H54" s="121">
        <v>0.3333333333333333</v>
      </c>
      <c r="I54" s="117" t="str">
        <f t="shared" si="6"/>
        <v>✅ 18:00</v>
      </c>
      <c r="J54" s="121">
        <v>0.75</v>
      </c>
      <c r="K54" s="126">
        <f t="shared" si="8"/>
        <v>0.4166666667</v>
      </c>
      <c r="L54" s="127" t="str">
        <f t="shared" si="7"/>
        <v>✅ Finalizado</v>
      </c>
      <c r="M54" s="110"/>
      <c r="N54" s="110"/>
    </row>
    <row r="55" ht="21.75" customHeight="1">
      <c r="A55" s="111">
        <f>53</f>
        <v>53</v>
      </c>
      <c r="B55" s="112" t="s">
        <v>112</v>
      </c>
      <c r="C55" s="123" t="str">
        <f t="array" ref="C55">IF(B55="","",IFERROR(INDEX('FUNCIONÁRIOS'!$B$4:$B$501,MATCH(B55,'FUNCIONÁRIOS'!$C$4:$C$501,0)),""))</f>
        <v>MONTE EVENTOS </v>
      </c>
      <c r="D55" s="123" t="str">
        <f t="array" ref="D55">IF(B55="","",IFERROR(INDEX('FUNCIONÁRIOS'!$D$4:$D$501,MATCH(B55,'FUNCIONÁRIOS'!$C$4:$C$501,0)),""))</f>
        <v>MONTADOR</v>
      </c>
      <c r="E55" s="123" t="str">
        <f t="array" ref="E55">IF(B55="","",IFERROR(INDEX('FUNCIONÁRIOS'!$E$4:$E$501,MATCH(B55,'FUNCIONÁRIOS'!$C$4:$C$501,0)),""))</f>
        <v>NÃO</v>
      </c>
      <c r="F55" s="138">
        <v>46161.0</v>
      </c>
      <c r="G55" s="115" t="str">
        <f t="shared" si="5"/>
        <v>✅ 08:00</v>
      </c>
      <c r="H55" s="121">
        <v>0.3333333333333333</v>
      </c>
      <c r="I55" s="117" t="str">
        <f t="shared" si="6"/>
        <v>✅ 18:00</v>
      </c>
      <c r="J55" s="121">
        <v>0.75</v>
      </c>
      <c r="K55" s="126">
        <f t="shared" si="8"/>
        <v>0.4166666667</v>
      </c>
      <c r="L55" s="127" t="str">
        <f t="shared" si="7"/>
        <v>✅ Finalizado</v>
      </c>
      <c r="M55" s="110"/>
      <c r="N55" s="110"/>
    </row>
    <row r="56" ht="21.75" customHeight="1">
      <c r="A56" s="111">
        <f>54</f>
        <v>54</v>
      </c>
      <c r="B56" s="112" t="s">
        <v>133</v>
      </c>
      <c r="C56" s="113" t="str">
        <f t="array" ref="C56">IF(B56="","",IFERROR(INDEX('FUNCIONÁRIOS'!$B$4:$B$501,MATCH(B56,'FUNCIONÁRIOS'!$C$4:$C$501,0)),""))</f>
        <v>FLASH MED</v>
      </c>
      <c r="D56" s="113" t="str">
        <f t="array" ref="D56">IF(B56="","",IFERROR(INDEX('FUNCIONÁRIOS'!$D$4:$D$501,MATCH(B56,'FUNCIONÁRIOS'!$C$4:$C$501,0)),""))</f>
        <v>SOCORRITA</v>
      </c>
      <c r="E56" s="113" t="str">
        <f t="array" ref="E56">IF(B56="","",IFERROR(INDEX('FUNCIONÁRIOS'!$E$4:$E$501,MATCH(B56,'FUNCIONÁRIOS'!$C$4:$C$501,0)),""))</f>
        <v>NÃO</v>
      </c>
      <c r="F56" s="138">
        <v>46161.0</v>
      </c>
      <c r="G56" s="115" t="str">
        <f t="shared" si="5"/>
        <v>✅ 08:00</v>
      </c>
      <c r="H56" s="121">
        <v>0.3333333333333333</v>
      </c>
      <c r="I56" s="117" t="str">
        <f t="shared" si="6"/>
        <v>✅ 18:00</v>
      </c>
      <c r="J56" s="121">
        <v>0.75</v>
      </c>
      <c r="K56" s="126">
        <f t="shared" si="8"/>
        <v>0.4166666667</v>
      </c>
      <c r="L56" s="127" t="str">
        <f t="shared" si="7"/>
        <v>✅ Finalizado</v>
      </c>
      <c r="M56" s="110"/>
      <c r="N56" s="110"/>
    </row>
    <row r="57" ht="21.75" customHeight="1">
      <c r="A57" s="111">
        <f>55</f>
        <v>55</v>
      </c>
      <c r="B57" s="112" t="s">
        <v>187</v>
      </c>
      <c r="C57" s="120" t="s">
        <v>1596</v>
      </c>
      <c r="D57" s="123" t="str">
        <f t="array" ref="D57">IF(B57="","",IFERROR(INDEX('FUNCIONÁRIOS'!$D$4:$D$501,MATCH(B57,'FUNCIONÁRIOS'!$C$4:$C$501,0)),""))</f>
        <v>Socorrista </v>
      </c>
      <c r="E57" s="123" t="str">
        <f t="array" ref="E57">IF(B57="","",IFERROR(INDEX('FUNCIONÁRIOS'!$E$4:$E$501,MATCH(B57,'FUNCIONÁRIOS'!$C$4:$C$501,0)),""))</f>
        <v>NÃO</v>
      </c>
      <c r="F57" s="138">
        <v>46161.0</v>
      </c>
      <c r="G57" s="115" t="str">
        <f t="shared" si="5"/>
        <v>✅ 08:00</v>
      </c>
      <c r="H57" s="121">
        <v>0.3333333333333333</v>
      </c>
      <c r="I57" s="117" t="str">
        <f t="shared" si="6"/>
        <v>✅ 18:00</v>
      </c>
      <c r="J57" s="121">
        <v>0.75</v>
      </c>
      <c r="K57" s="126">
        <f t="shared" si="8"/>
        <v>0.4166666667</v>
      </c>
      <c r="L57" s="127" t="str">
        <f t="shared" si="7"/>
        <v>✅ Finalizado</v>
      </c>
      <c r="M57" s="110"/>
      <c r="N57" s="110"/>
    </row>
    <row r="58" ht="21.75" customHeight="1">
      <c r="A58" s="111">
        <f>56</f>
        <v>56</v>
      </c>
      <c r="B58" s="112" t="s">
        <v>140</v>
      </c>
      <c r="C58" s="113" t="str">
        <f t="array" ref="C58">IF(B58="","",IFERROR(INDEX('FUNCIONÁRIOS'!$B$4:$B$501,MATCH(B58,'FUNCIONÁRIOS'!$C$4:$C$501,0)),""))</f>
        <v>BIGODE </v>
      </c>
      <c r="D58" s="113" t="str">
        <f t="array" ref="D58">IF(B58="","",IFERROR(INDEX('FUNCIONÁRIOS'!$D$4:$D$501,MATCH(B58,'FUNCIONÁRIOS'!$C$4:$C$501,0)),""))</f>
        <v>CONTROLE DE ACESSO</v>
      </c>
      <c r="E58" s="113" t="str">
        <f t="array" ref="E58">IF(B58="","",IFERROR(INDEX('FUNCIONÁRIOS'!$E$4:$E$501,MATCH(B58,'FUNCIONÁRIOS'!$C$4:$C$501,0)),""))</f>
        <v>NÃO</v>
      </c>
      <c r="F58" s="138">
        <v>46161.0</v>
      </c>
      <c r="G58" s="115" t="str">
        <f t="shared" si="5"/>
        <v>✅ 08:00</v>
      </c>
      <c r="H58" s="121">
        <v>0.3333333333333333</v>
      </c>
      <c r="I58" s="117" t="str">
        <f t="shared" si="6"/>
        <v>✅ 18:00</v>
      </c>
      <c r="J58" s="121">
        <v>0.75</v>
      </c>
      <c r="K58" s="126">
        <f t="shared" si="8"/>
        <v>0.4166666667</v>
      </c>
      <c r="L58" s="127" t="str">
        <f t="shared" si="7"/>
        <v>✅ Finalizado</v>
      </c>
      <c r="M58" s="110"/>
      <c r="N58" s="110"/>
    </row>
    <row r="59" ht="21.75" customHeight="1">
      <c r="A59" s="111">
        <f>57</f>
        <v>57</v>
      </c>
      <c r="B59" s="112" t="s">
        <v>142</v>
      </c>
      <c r="C59" s="123" t="str">
        <f t="array" ref="C59">IF(B59="","",IFERROR(INDEX('FUNCIONÁRIOS'!$B$4:$B$501,MATCH(B59,'FUNCIONÁRIOS'!$C$4:$C$501,0)),""))</f>
        <v>BIGODE </v>
      </c>
      <c r="D59" s="123" t="str">
        <f t="array" ref="D59">IF(B59="","",IFERROR(INDEX('FUNCIONÁRIOS'!$D$4:$D$501,MATCH(B59,'FUNCIONÁRIOS'!$C$4:$C$501,0)),""))</f>
        <v>CONTROLE DE ACESSO</v>
      </c>
      <c r="E59" s="123" t="str">
        <f t="array" ref="E59">IF(B59="","",IFERROR(INDEX('FUNCIONÁRIOS'!$E$4:$E$501,MATCH(B59,'FUNCIONÁRIOS'!$C$4:$C$501,0)),""))</f>
        <v>NÃO</v>
      </c>
      <c r="F59" s="138">
        <v>46161.0</v>
      </c>
      <c r="G59" s="115" t="str">
        <f t="shared" si="5"/>
        <v>✅ 08:00</v>
      </c>
      <c r="H59" s="121">
        <v>0.3333333333333333</v>
      </c>
      <c r="I59" s="117" t="str">
        <f t="shared" si="6"/>
        <v>✅ 18:00</v>
      </c>
      <c r="J59" s="121">
        <v>0.75</v>
      </c>
      <c r="K59" s="126">
        <f t="shared" si="8"/>
        <v>0.4166666667</v>
      </c>
      <c r="L59" s="127" t="str">
        <f t="shared" si="7"/>
        <v>✅ Finalizado</v>
      </c>
      <c r="M59" s="110"/>
      <c r="N59" s="110"/>
    </row>
    <row r="60" ht="24.0" customHeight="1">
      <c r="A60" s="111">
        <f>58</f>
        <v>58</v>
      </c>
      <c r="B60" s="112" t="s">
        <v>191</v>
      </c>
      <c r="C60" s="113" t="str">
        <f t="array" ref="C60">IF(B60="","",IFERROR(INDEX('FUNCIONÁRIOS'!$B$4:$B$501,MATCH(B60,'FUNCIONÁRIOS'!$C$4:$C$501,0)),""))</f>
        <v>BIGODE </v>
      </c>
      <c r="D60" s="113" t="str">
        <f t="array" ref="D60">IF(B60="","",IFERROR(INDEX('FUNCIONÁRIOS'!$D$4:$D$501,MATCH(B60,'FUNCIONÁRIOS'!$C$4:$C$501,0)),""))</f>
        <v>CONTROLE DE ACESSO</v>
      </c>
      <c r="E60" s="113" t="str">
        <f t="array" ref="E60">IF(B60="","",IFERROR(INDEX('FUNCIONÁRIOS'!$E$4:$E$501,MATCH(B60,'FUNCIONÁRIOS'!$C$4:$C$501,0)),""))</f>
        <v>NÃO</v>
      </c>
      <c r="F60" s="138">
        <v>46161.0</v>
      </c>
      <c r="G60" s="115" t="str">
        <f t="shared" si="5"/>
        <v>✅ 08:00</v>
      </c>
      <c r="H60" s="121">
        <v>0.3333333333333333</v>
      </c>
      <c r="I60" s="117" t="str">
        <f t="shared" si="6"/>
        <v>✅ 18:00</v>
      </c>
      <c r="J60" s="121">
        <v>0.75</v>
      </c>
      <c r="K60" s="126">
        <f t="shared" si="8"/>
        <v>0.4166666667</v>
      </c>
      <c r="L60" s="127" t="str">
        <f t="shared" si="7"/>
        <v>✅ Finalizado</v>
      </c>
      <c r="M60" s="110"/>
      <c r="N60" s="110"/>
    </row>
    <row r="61" ht="21.75" customHeight="1">
      <c r="A61" s="111">
        <f>59</f>
        <v>59</v>
      </c>
      <c r="B61" s="112" t="s">
        <v>189</v>
      </c>
      <c r="C61" s="123" t="str">
        <f t="array" ref="C61">IF(B61="","",IFERROR(INDEX('FUNCIONÁRIOS'!$B$4:$B$501,MATCH(B61,'FUNCIONÁRIOS'!$C$4:$C$501,0)),""))</f>
        <v>MONTE EVENTOS </v>
      </c>
      <c r="D61" s="123" t="str">
        <f t="array" ref="D61">IF(B61="","",IFERROR(INDEX('FUNCIONÁRIOS'!$D$4:$D$501,MATCH(B61,'FUNCIONÁRIOS'!$C$4:$C$501,0)),""))</f>
        <v>DIRETOR </v>
      </c>
      <c r="E61" s="123" t="str">
        <f t="array" ref="E61">IF(B61="","",IFERROR(INDEX('FUNCIONÁRIOS'!$E$4:$E$501,MATCH(B61,'FUNCIONÁRIOS'!$C$4:$C$501,0)),""))</f>
        <v>SIM</v>
      </c>
      <c r="F61" s="138">
        <v>46161.0</v>
      </c>
      <c r="G61" s="115" t="str">
        <f t="shared" si="5"/>
        <v>✅ 08:20</v>
      </c>
      <c r="H61" s="121">
        <v>0.3472222222222222</v>
      </c>
      <c r="I61" s="117" t="str">
        <f t="shared" si="6"/>
        <v>✅ 12:03</v>
      </c>
      <c r="J61" s="121">
        <v>0.5020833333333333</v>
      </c>
      <c r="K61" s="126">
        <f t="shared" si="8"/>
        <v>0.1548611111</v>
      </c>
      <c r="L61" s="127" t="str">
        <f t="shared" si="7"/>
        <v>✅ Finalizado</v>
      </c>
      <c r="M61" s="110"/>
      <c r="N61" s="110"/>
    </row>
    <row r="62" ht="21.75" customHeight="1">
      <c r="A62" s="111">
        <f>60</f>
        <v>60</v>
      </c>
      <c r="B62" s="112" t="s">
        <v>106</v>
      </c>
      <c r="C62" s="113" t="str">
        <f t="array" ref="C62">IF(B62="","",IFERROR(INDEX('FUNCIONÁRIOS'!$B$4:$B$501,MATCH(B62,'FUNCIONÁRIOS'!$C$4:$C$501,0)),""))</f>
        <v>UP MUSIC </v>
      </c>
      <c r="D62" s="113" t="str">
        <f t="array" ref="D62">IF(B62="","",IFERROR(INDEX('FUNCIONÁRIOS'!$D$4:$D$501,MATCH(B62,'FUNCIONÁRIOS'!$C$4:$C$501,0)),""))</f>
        <v>PRODUTOR DE PALCO</v>
      </c>
      <c r="E62" s="113" t="str">
        <f t="array" ref="E62">IF(B62="","",IFERROR(INDEX('FUNCIONÁRIOS'!$E$4:$E$501,MATCH(B62,'FUNCIONÁRIOS'!$C$4:$C$501,0)),""))</f>
        <v>NÃO</v>
      </c>
      <c r="F62" s="138">
        <v>46161.0</v>
      </c>
      <c r="G62" s="115" t="str">
        <f t="shared" si="5"/>
        <v>✅ 09:33</v>
      </c>
      <c r="H62" s="116" t="s">
        <v>1597</v>
      </c>
      <c r="I62" s="117" t="str">
        <f t="shared" si="6"/>
        <v>✅ 17:00</v>
      </c>
      <c r="J62" s="121">
        <v>0.7083333333333334</v>
      </c>
      <c r="K62" s="121">
        <v>0.3104166666666667</v>
      </c>
      <c r="L62" s="127" t="str">
        <f t="shared" si="7"/>
        <v>✅ Finalizado</v>
      </c>
      <c r="M62" s="110"/>
      <c r="N62" s="110"/>
    </row>
    <row r="63" ht="21.75" customHeight="1">
      <c r="A63" s="111">
        <f>61</f>
        <v>61</v>
      </c>
      <c r="B63" s="112" t="s">
        <v>96</v>
      </c>
      <c r="C63" s="123" t="str">
        <f t="array" ref="C63">IF(B63="","",IFERROR(INDEX('FUNCIONÁRIOS'!$B$4:$B$501,MATCH(B63,'FUNCIONÁRIOS'!$C$4:$C$501,0)),""))</f>
        <v>PONCIANO SOLUÇÕES </v>
      </c>
      <c r="D63" s="123" t="str">
        <f t="array" ref="D63">IF(B63="","",IFERROR(INDEX('FUNCIONÁRIOS'!$D$4:$D$501,MATCH(B63,'FUNCIONÁRIOS'!$C$4:$C$501,0)),""))</f>
        <v>CREDENCIAMENTO</v>
      </c>
      <c r="E63" s="123" t="str">
        <f t="array" ref="E63">IF(B63="","",IFERROR(INDEX('FUNCIONÁRIOS'!$E$4:$E$501,MATCH(B63,'FUNCIONÁRIOS'!$C$4:$C$501,0)),""))</f>
        <v>NÃO</v>
      </c>
      <c r="F63" s="138">
        <v>46161.0</v>
      </c>
      <c r="G63" s="115" t="str">
        <f t="shared" si="5"/>
        <v>✅ 08:00</v>
      </c>
      <c r="H63" s="121">
        <v>0.3333333333333333</v>
      </c>
      <c r="I63" s="117" t="str">
        <f t="shared" si="6"/>
        <v>✅ 18:12</v>
      </c>
      <c r="J63" s="121">
        <v>0.7583333333333333</v>
      </c>
      <c r="K63" s="126">
        <f t="shared" ref="K63:K73" si="9">IF(AND(H63&lt;&gt;"",J63&lt;&gt;""),J63-H63,"")</f>
        <v>0.425</v>
      </c>
      <c r="L63" s="127" t="str">
        <f t="shared" si="7"/>
        <v>✅ Finalizado</v>
      </c>
      <c r="M63" s="110"/>
      <c r="N63" s="110"/>
    </row>
    <row r="64" ht="21.75" customHeight="1">
      <c r="A64" s="111">
        <f>62</f>
        <v>62</v>
      </c>
      <c r="B64" s="112" t="s">
        <v>117</v>
      </c>
      <c r="C64" s="113" t="str">
        <f t="array" ref="C64">IF(B64="","",IFERROR(INDEX('FUNCIONÁRIOS'!$B$4:$B$501,MATCH(B64,'FUNCIONÁRIOS'!$C$4:$C$501,0)),""))</f>
        <v>MONTE EVENTOS </v>
      </c>
      <c r="D64" s="113" t="str">
        <f t="array" ref="D64">IF(B64="","",IFERROR(INDEX('FUNCIONÁRIOS'!$D$4:$D$501,MATCH(B64,'FUNCIONÁRIOS'!$C$4:$C$501,0)),""))</f>
        <v>MONTADOR</v>
      </c>
      <c r="E64" s="113" t="str">
        <f t="array" ref="E64">IF(B64="","",IFERROR(INDEX('FUNCIONÁRIOS'!$E$4:$E$501,MATCH(B64,'FUNCIONÁRIOS'!$C$4:$C$501,0)),""))</f>
        <v>NÃO</v>
      </c>
      <c r="F64" s="138">
        <v>46161.0</v>
      </c>
      <c r="G64" s="115" t="str">
        <f t="shared" si="5"/>
        <v>✅ 13:34</v>
      </c>
      <c r="H64" s="121">
        <v>0.5652777777777778</v>
      </c>
      <c r="I64" s="117" t="str">
        <f t="shared" si="6"/>
        <v>✅ 18:00</v>
      </c>
      <c r="J64" s="121">
        <v>0.75</v>
      </c>
      <c r="K64" s="126">
        <f t="shared" si="9"/>
        <v>0.1847222222</v>
      </c>
      <c r="L64" s="127" t="str">
        <f t="shared" si="7"/>
        <v>✅ Finalizado</v>
      </c>
      <c r="M64" s="110"/>
      <c r="N64" s="110"/>
    </row>
    <row r="65" ht="21.75" customHeight="1">
      <c r="A65" s="111">
        <f>63</f>
        <v>63</v>
      </c>
      <c r="B65" s="112" t="s">
        <v>1598</v>
      </c>
      <c r="C65" s="123" t="str">
        <f t="array" ref="C65">IF(B65="","",IFERROR(INDEX('FUNCIONÁRIOS'!$B$4:$B$501,MATCH(B65,'FUNCIONÁRIOS'!$C$4:$C$501,0)),""))</f>
        <v/>
      </c>
      <c r="D65" s="123" t="str">
        <f t="array" ref="D65">IF(B65="","",IFERROR(INDEX('FUNCIONÁRIOS'!$D$4:$D$501,MATCH(B65,'FUNCIONÁRIOS'!$C$4:$C$501,0)),""))</f>
        <v/>
      </c>
      <c r="E65" s="123" t="str">
        <f t="array" ref="E65">IF(B65="","",IFERROR(INDEX('FUNCIONÁRIOS'!$E$4:$E$501,MATCH(B65,'FUNCIONÁRIOS'!$C$4:$C$501,0)),""))</f>
        <v/>
      </c>
      <c r="F65" s="138">
        <v>46161.0</v>
      </c>
      <c r="G65" s="115" t="str">
        <f t="shared" si="5"/>
        <v>✅ 13:34</v>
      </c>
      <c r="H65" s="121">
        <v>0.5652777777777778</v>
      </c>
      <c r="I65" s="117" t="str">
        <f t="shared" si="6"/>
        <v>✅ 18:00</v>
      </c>
      <c r="J65" s="121">
        <v>0.75</v>
      </c>
      <c r="K65" s="126">
        <f t="shared" si="9"/>
        <v>0.1847222222</v>
      </c>
      <c r="L65" s="127" t="str">
        <f t="shared" si="7"/>
        <v>✅ Finalizado</v>
      </c>
      <c r="M65" s="110"/>
      <c r="N65" s="110"/>
    </row>
    <row r="66" ht="21.75" customHeight="1">
      <c r="A66" s="111">
        <f>64</f>
        <v>64</v>
      </c>
      <c r="B66" s="112" t="s">
        <v>104</v>
      </c>
      <c r="C66" s="113" t="str">
        <f t="array" ref="C66">IF(B66="","",IFERROR(INDEX('FUNCIONÁRIOS'!$B$4:$B$501,MATCH(B66,'FUNCIONÁRIOS'!$C$4:$C$501,0)),""))</f>
        <v>MONTE EVENTOS </v>
      </c>
      <c r="D66" s="113" t="str">
        <f t="array" ref="D66">IF(B66="","",IFERROR(INDEX('FUNCIONÁRIOS'!$D$4:$D$501,MATCH(B66,'FUNCIONÁRIOS'!$C$4:$C$501,0)),""))</f>
        <v>MONTADOR</v>
      </c>
      <c r="E66" s="113" t="str">
        <f t="array" ref="E66">IF(B66="","",IFERROR(INDEX('FUNCIONÁRIOS'!$E$4:$E$501,MATCH(B66,'FUNCIONÁRIOS'!$C$4:$C$501,0)),""))</f>
        <v>NÃO</v>
      </c>
      <c r="F66" s="138">
        <v>46161.0</v>
      </c>
      <c r="G66" s="115" t="str">
        <f t="shared" si="5"/>
        <v>✅ 13:35</v>
      </c>
      <c r="H66" s="121">
        <v>0.5659722222222222</v>
      </c>
      <c r="I66" s="117" t="str">
        <f t="shared" si="6"/>
        <v>✅ 18:00</v>
      </c>
      <c r="J66" s="121">
        <v>0.75</v>
      </c>
      <c r="K66" s="126">
        <f t="shared" si="9"/>
        <v>0.1840277778</v>
      </c>
      <c r="L66" s="127" t="str">
        <f t="shared" si="7"/>
        <v>✅ Finalizado</v>
      </c>
      <c r="M66" s="110"/>
      <c r="N66" s="110"/>
    </row>
    <row r="67" ht="21.75" customHeight="1">
      <c r="A67" s="111">
        <f>65</f>
        <v>65</v>
      </c>
      <c r="B67" s="112" t="s">
        <v>198</v>
      </c>
      <c r="C67" s="123" t="str">
        <f t="array" ref="C67">IF(B67="","",IFERROR(INDEX('FUNCIONÁRIOS'!$B$4:$B$501,MATCH(B67,'FUNCIONÁRIOS'!$C$4:$C$501,0)),""))</f>
        <v/>
      </c>
      <c r="D67" s="123" t="str">
        <f t="array" ref="D67">IF(B67="","",IFERROR(INDEX('FUNCIONÁRIOS'!$D$4:$D$501,MATCH(B67,'FUNCIONÁRIOS'!$C$4:$C$501,0)),""))</f>
        <v>GERENTE </v>
      </c>
      <c r="E67" s="123" t="str">
        <f t="array" ref="E67">IF(B67="","",IFERROR(INDEX('FUNCIONÁRIOS'!$E$4:$E$501,MATCH(B67,'FUNCIONÁRIOS'!$C$4:$C$501,0)),""))</f>
        <v>NÃO</v>
      </c>
      <c r="F67" s="138">
        <v>46161.0</v>
      </c>
      <c r="G67" s="115" t="str">
        <f t="shared" si="5"/>
        <v>✅ 14:15</v>
      </c>
      <c r="H67" s="121">
        <v>0.59375</v>
      </c>
      <c r="I67" s="117" t="str">
        <f t="shared" si="6"/>
        <v>✅ 17:00</v>
      </c>
      <c r="J67" s="121">
        <v>0.7083333333333334</v>
      </c>
      <c r="K67" s="126">
        <f t="shared" si="9"/>
        <v>0.1145833333</v>
      </c>
      <c r="L67" s="127" t="str">
        <f t="shared" si="7"/>
        <v>✅ Finalizado</v>
      </c>
      <c r="M67" s="110"/>
      <c r="N67" s="110"/>
    </row>
    <row r="68" ht="21.75" customHeight="1">
      <c r="A68" s="111">
        <f>66</f>
        <v>66</v>
      </c>
      <c r="B68" s="112" t="s">
        <v>196</v>
      </c>
      <c r="C68" s="113" t="str">
        <f t="array" ref="C68">IF(B68="","",IFERROR(INDEX('FUNCIONÁRIOS'!$B$4:$B$501,MATCH(B68,'FUNCIONÁRIOS'!$C$4:$C$501,0)),""))</f>
        <v>ASSOCIAÇÃO ASSUNÇÃO </v>
      </c>
      <c r="D68" s="113" t="str">
        <f t="array" ref="D68">IF(B68="","",IFERROR(INDEX('FUNCIONÁRIOS'!$D$4:$D$501,MATCH(B68,'FUNCIONÁRIOS'!$C$4:$C$501,0)),""))</f>
        <v>ADMINISTRATIVO </v>
      </c>
      <c r="E68" s="113" t="str">
        <f t="array" ref="E68">IF(B68="","",IFERROR(INDEX('FUNCIONÁRIOS'!$E$4:$E$501,MATCH(B68,'FUNCIONÁRIOS'!$C$4:$C$501,0)),""))</f>
        <v>SIM</v>
      </c>
      <c r="F68" s="138">
        <v>46161.0</v>
      </c>
      <c r="G68" s="115" t="str">
        <f t="shared" si="5"/>
        <v>✅ 15:15</v>
      </c>
      <c r="H68" s="121">
        <v>0.6354166666666666</v>
      </c>
      <c r="I68" s="117" t="str">
        <f t="shared" si="6"/>
        <v>✅ 17:40</v>
      </c>
      <c r="J68" s="121">
        <v>0.7361111111111112</v>
      </c>
      <c r="K68" s="126">
        <f t="shared" si="9"/>
        <v>0.1006944444</v>
      </c>
      <c r="L68" s="127" t="str">
        <f t="shared" si="7"/>
        <v>✅ Finalizado</v>
      </c>
      <c r="M68" s="110"/>
      <c r="N68" s="110"/>
    </row>
    <row r="69" ht="21.75" customHeight="1">
      <c r="A69" s="111">
        <f>67</f>
        <v>67</v>
      </c>
      <c r="B69" s="112" t="s">
        <v>213</v>
      </c>
      <c r="C69" s="123" t="str">
        <f t="array" ref="C69">IF(B69="","",IFERROR(INDEX('FUNCIONÁRIOS'!$B$4:$B$501,MATCH(B69,'FUNCIONÁRIOS'!$C$4:$C$501,0)),""))</f>
        <v>YES </v>
      </c>
      <c r="D69" s="123" t="str">
        <f t="array" ref="D69">IF(B69="","",IFERROR(INDEX('FUNCIONÁRIOS'!$D$4:$D$501,MATCH(B69,'FUNCIONÁRIOS'!$C$4:$C$501,0)),""))</f>
        <v>TEC SEGURANÇA DO TRABALHO </v>
      </c>
      <c r="E69" s="123" t="str">
        <f t="array" ref="E69">IF(B69="","",IFERROR(INDEX('FUNCIONÁRIOS'!$E$4:$E$501,MATCH(B69,'FUNCIONÁRIOS'!$C$4:$C$501,0)),""))</f>
        <v>NÃO</v>
      </c>
      <c r="F69" s="138">
        <v>46161.0</v>
      </c>
      <c r="G69" s="115" t="str">
        <f t="shared" si="5"/>
        <v>✅ 16:58</v>
      </c>
      <c r="H69" s="121">
        <v>0.7069444444444445</v>
      </c>
      <c r="I69" s="117" t="str">
        <f t="shared" si="6"/>
        <v>✅ 17:40</v>
      </c>
      <c r="J69" s="121">
        <v>0.7361111111111112</v>
      </c>
      <c r="K69" s="126">
        <f t="shared" si="9"/>
        <v>0.02916666667</v>
      </c>
      <c r="L69" s="127" t="str">
        <f t="shared" si="7"/>
        <v>✅ Finalizado</v>
      </c>
      <c r="M69" s="110"/>
      <c r="N69" s="110"/>
    </row>
    <row r="70" ht="21.75" customHeight="1">
      <c r="A70" s="111">
        <f>68</f>
        <v>68</v>
      </c>
      <c r="B70" s="112" t="s">
        <v>208</v>
      </c>
      <c r="C70" s="113" t="str">
        <f t="array" ref="C70">IF(B70="","",IFERROR(INDEX('FUNCIONÁRIOS'!$B$4:$B$501,MATCH(B70,'FUNCIONÁRIOS'!$C$4:$C$501,0)),""))</f>
        <v>FABINHO EVENTOS </v>
      </c>
      <c r="D70" s="113" t="str">
        <f t="array" ref="D70">IF(B70="","",IFERROR(INDEX('FUNCIONÁRIOS'!$D$4:$D$501,MATCH(B70,'FUNCIONÁRIOS'!$C$4:$C$501,0)),""))</f>
        <v>PRODUTORA </v>
      </c>
      <c r="E70" s="113" t="str">
        <f t="array" ref="E70">IF(B70="","",IFERROR(INDEX('FUNCIONÁRIOS'!$E$4:$E$501,MATCH(B70,'FUNCIONÁRIOS'!$C$4:$C$501,0)),""))</f>
        <v>NÃO</v>
      </c>
      <c r="F70" s="138">
        <v>46161.0</v>
      </c>
      <c r="G70" s="115" t="str">
        <f t="shared" si="5"/>
        <v>✅ 15:20</v>
      </c>
      <c r="H70" s="121">
        <v>0.6388888888888888</v>
      </c>
      <c r="I70" s="117" t="str">
        <f t="shared" si="6"/>
        <v>✅ 17:41</v>
      </c>
      <c r="J70" s="121">
        <v>0.7368055555555556</v>
      </c>
      <c r="K70" s="126">
        <f t="shared" si="9"/>
        <v>0.09791666667</v>
      </c>
      <c r="L70" s="127" t="str">
        <f t="shared" si="7"/>
        <v>✅ Finalizado</v>
      </c>
      <c r="M70" s="110"/>
      <c r="N70" s="110"/>
    </row>
    <row r="71" ht="21.75" customHeight="1">
      <c r="A71" s="111">
        <f>69</f>
        <v>69</v>
      </c>
      <c r="B71" s="112" t="s">
        <v>212</v>
      </c>
      <c r="C71" s="123" t="str">
        <f t="array" ref="C71">IF(B71="","",IFERROR(INDEX('FUNCIONÁRIOS'!$B$4:$B$501,MATCH(B71,'FUNCIONÁRIOS'!$C$4:$C$501,0)),""))</f>
        <v>LINQ </v>
      </c>
      <c r="D71" s="123" t="str">
        <f t="array" ref="D71">IF(B71="","",IFERROR(INDEX('FUNCIONÁRIOS'!$D$4:$D$501,MATCH(B71,'FUNCIONÁRIOS'!$C$4:$C$501,0)),""))</f>
        <v>SUPERVISOR DE LANÇAMENTO</v>
      </c>
      <c r="E71" s="123" t="str">
        <f t="array" ref="E71">IF(B71="","",IFERROR(INDEX('FUNCIONÁRIOS'!$E$4:$E$501,MATCH(B71,'FUNCIONÁRIOS'!$C$4:$C$501,0)),""))</f>
        <v>NÃO</v>
      </c>
      <c r="F71" s="138">
        <v>46161.0</v>
      </c>
      <c r="G71" s="115" t="str">
        <f t="shared" si="5"/>
        <v>✅ 15:31</v>
      </c>
      <c r="H71" s="121">
        <v>0.6465277777777778</v>
      </c>
      <c r="I71" s="117" t="str">
        <f t="shared" si="6"/>
        <v>✅ 17:00</v>
      </c>
      <c r="J71" s="121">
        <v>0.7083333333333334</v>
      </c>
      <c r="K71" s="126">
        <f t="shared" si="9"/>
        <v>0.06180555556</v>
      </c>
      <c r="L71" s="127" t="str">
        <f t="shared" si="7"/>
        <v>✅ Finalizado</v>
      </c>
      <c r="M71" s="110"/>
      <c r="N71" s="110"/>
    </row>
    <row r="72" ht="21.75" customHeight="1">
      <c r="A72" s="111">
        <f>70</f>
        <v>70</v>
      </c>
      <c r="B72" s="112" t="s">
        <v>210</v>
      </c>
      <c r="C72" s="113" t="str">
        <f t="array" ref="C72">IF(B72="","",IFERROR(INDEX('FUNCIONÁRIOS'!$B$4:$B$501,MATCH(B72,'FUNCIONÁRIOS'!$C$4:$C$501,0)),""))</f>
        <v>LINQ </v>
      </c>
      <c r="D72" s="113" t="str">
        <f t="array" ref="D72">IF(B72="","",IFERROR(INDEX('FUNCIONÁRIOS'!$D$4:$D$501,MATCH(B72,'FUNCIONÁRIOS'!$C$4:$C$501,0)),""))</f>
        <v>SUPERVISOR DE LANÇAMENTO</v>
      </c>
      <c r="E72" s="113" t="str">
        <f t="array" ref="E72">IF(B72="","",IFERROR(INDEX('FUNCIONÁRIOS'!$E$4:$E$501,MATCH(B72,'FUNCIONÁRIOS'!$C$4:$C$501,0)),""))</f>
        <v>SIM</v>
      </c>
      <c r="F72" s="138">
        <v>46161.0</v>
      </c>
      <c r="G72" s="115" t="str">
        <f t="shared" si="5"/>
        <v>✅ 15:31</v>
      </c>
      <c r="H72" s="121">
        <v>0.6465277777777778</v>
      </c>
      <c r="I72" s="117" t="str">
        <f t="shared" si="6"/>
        <v>✅ 17:00</v>
      </c>
      <c r="J72" s="121">
        <v>0.7083333333333334</v>
      </c>
      <c r="K72" s="126">
        <f t="shared" si="9"/>
        <v>0.06180555556</v>
      </c>
      <c r="L72" s="127" t="str">
        <f t="shared" si="7"/>
        <v>✅ Finalizado</v>
      </c>
      <c r="M72" s="110"/>
      <c r="N72" s="110"/>
    </row>
    <row r="73" ht="21.75" customHeight="1">
      <c r="A73" s="111">
        <f>71</f>
        <v>71</v>
      </c>
      <c r="B73" s="112" t="s">
        <v>215</v>
      </c>
      <c r="C73" s="123" t="str">
        <f t="array" ref="C73">IF(B73="","",IFERROR(INDEX('FUNCIONÁRIOS'!$B$4:$B$501,MATCH(B73,'FUNCIONÁRIOS'!$C$4:$C$501,0)),""))</f>
        <v>GO TO </v>
      </c>
      <c r="D73" s="123" t="str">
        <f t="array" ref="D73">IF(B73="","",IFERROR(INDEX('FUNCIONÁRIOS'!$D$4:$D$501,MATCH(B73,'FUNCIONÁRIOS'!$C$4:$C$501,0)),""))</f>
        <v>CENOGRAFIA </v>
      </c>
      <c r="E73" s="123" t="str">
        <f t="array" ref="E73">IF(B73="","",IFERROR(INDEX('FUNCIONÁRIOS'!$E$4:$E$501,MATCH(B73,'FUNCIONÁRIOS'!$C$4:$C$501,0)),""))</f>
        <v>NÃO</v>
      </c>
      <c r="F73" s="138">
        <v>46161.0</v>
      </c>
      <c r="G73" s="115" t="str">
        <f t="shared" si="5"/>
        <v>✅ 16:00</v>
      </c>
      <c r="H73" s="121">
        <v>0.6666666666666666</v>
      </c>
      <c r="I73" s="117" t="str">
        <f t="shared" si="6"/>
        <v>✅ 17:00</v>
      </c>
      <c r="J73" s="121">
        <v>0.7083333333333334</v>
      </c>
      <c r="K73" s="126">
        <f t="shared" si="9"/>
        <v>0.04166666667</v>
      </c>
      <c r="L73" s="127" t="str">
        <f t="shared" si="7"/>
        <v>✅ Finalizado</v>
      </c>
      <c r="M73" s="110"/>
      <c r="N73" s="110"/>
    </row>
    <row r="74" ht="21.75" customHeight="1">
      <c r="A74" s="111"/>
      <c r="B74" s="128"/>
      <c r="C74" s="140"/>
      <c r="D74" s="140"/>
      <c r="E74" s="130"/>
      <c r="F74" s="131"/>
      <c r="G74" s="132"/>
      <c r="H74" s="133"/>
      <c r="I74" s="134"/>
      <c r="J74" s="141"/>
      <c r="K74" s="136"/>
      <c r="L74" s="137"/>
      <c r="M74" s="110"/>
      <c r="N74" s="110"/>
    </row>
    <row r="75" ht="21.75" customHeight="1">
      <c r="A75" s="111">
        <f>72</f>
        <v>72</v>
      </c>
      <c r="B75" s="112" t="s">
        <v>143</v>
      </c>
      <c r="C75" s="113" t="str">
        <f t="array" ref="C75">IF(B75="","",IFERROR(INDEX('FUNCIONÁRIOS'!$B$4:$B$501,MATCH(B75,'FUNCIONÁRIOS'!$C$4:$C$501,0)),""))</f>
        <v/>
      </c>
      <c r="D75" s="113" t="str">
        <f t="array" ref="D75">IF(B75="","",IFERROR(INDEX('FUNCIONÁRIOS'!$D$4:$D$501,MATCH(B75,'FUNCIONÁRIOS'!$C$4:$C$501,0)),""))</f>
        <v>OPERADOR DE EMPILHADEIRA </v>
      </c>
      <c r="E75" s="113" t="str">
        <f t="array" ref="E75">IF(B75="","",IFERROR(INDEX('FUNCIONÁRIOS'!$E$4:$E$501,MATCH(B75,'FUNCIONÁRIOS'!$C$4:$C$501,0)),""))</f>
        <v>NÃO</v>
      </c>
      <c r="F75" s="138">
        <v>46162.0</v>
      </c>
      <c r="G75" s="115" t="str">
        <f t="shared" ref="G75:G112" si="10">IF(H75&lt;&gt;"","✅ "&amp;TEXT(H75,"HH:MM"),"→ Selecione a linha e use o menu ⏱️ Ponto")</f>
        <v>✅ 08:00</v>
      </c>
      <c r="H75" s="116" t="s">
        <v>1587</v>
      </c>
      <c r="I75" s="117" t="str">
        <f t="shared" ref="I75:I112" si="11">IF(J75&lt;&gt;"","✅ "&amp;TEXT(J75,"HH:MM"),"→ Selecione a linha e use o menu ⏱️ Ponto")</f>
        <v>✅ 18:04</v>
      </c>
      <c r="J75" s="116" t="s">
        <v>1599</v>
      </c>
      <c r="K75" s="118">
        <v>0.41944444444444445</v>
      </c>
      <c r="L75" s="127" t="str">
        <f t="shared" ref="L75:L112" si="12">IF(AND(H75&lt;&gt;"",J75=""),"🟢 No Evento",IF(AND(H75&lt;&gt;"",J75&lt;&gt;""),"✅ Finalizado",IF(B75&lt;&gt;"","⏳ Não entrou","")))</f>
        <v>✅ Finalizado</v>
      </c>
      <c r="M75" s="110"/>
      <c r="N75" s="110"/>
    </row>
    <row r="76" ht="21.75" customHeight="1">
      <c r="A76" s="111">
        <f>73</f>
        <v>73</v>
      </c>
      <c r="B76" s="112" t="s">
        <v>142</v>
      </c>
      <c r="C76" s="123" t="str">
        <f t="array" ref="C76">IF(B76="","",IFERROR(INDEX('FUNCIONÁRIOS'!$B$4:$B$501,MATCH(B76,'FUNCIONÁRIOS'!$C$4:$C$501,0)),""))</f>
        <v>BIGODE </v>
      </c>
      <c r="D76" s="123" t="str">
        <f t="array" ref="D76">IF(B76="","",IFERROR(INDEX('FUNCIONÁRIOS'!$D$4:$D$501,MATCH(B76,'FUNCIONÁRIOS'!$C$4:$C$501,0)),""))</f>
        <v>CONTROLE DE ACESSO</v>
      </c>
      <c r="E76" s="123" t="str">
        <f t="array" ref="E76">IF(B76="","",IFERROR(INDEX('FUNCIONÁRIOS'!$E$4:$E$501,MATCH(B76,'FUNCIONÁRIOS'!$C$4:$C$501,0)),""))</f>
        <v>NÃO</v>
      </c>
      <c r="F76" s="138">
        <v>46162.0</v>
      </c>
      <c r="G76" s="115" t="str">
        <f t="shared" si="10"/>
        <v>✅ 08:00</v>
      </c>
      <c r="H76" s="121">
        <v>0.3333333333333333</v>
      </c>
      <c r="I76" s="117" t="str">
        <f t="shared" si="11"/>
        <v>✅ 18:49</v>
      </c>
      <c r="J76" s="116" t="s">
        <v>1600</v>
      </c>
      <c r="K76" s="118">
        <v>0.45069444444444445</v>
      </c>
      <c r="L76" s="127" t="str">
        <f t="shared" si="12"/>
        <v>✅ Finalizado</v>
      </c>
      <c r="M76" s="110"/>
      <c r="N76" s="110"/>
    </row>
    <row r="77" ht="21.75" customHeight="1">
      <c r="A77" s="111">
        <f>74</f>
        <v>74</v>
      </c>
      <c r="B77" s="112" t="s">
        <v>140</v>
      </c>
      <c r="C77" s="113" t="str">
        <f t="array" ref="C77">IF(B77="","",IFERROR(INDEX('FUNCIONÁRIOS'!$B$4:$B$501,MATCH(B77,'FUNCIONÁRIOS'!$C$4:$C$501,0)),""))</f>
        <v>BIGODE </v>
      </c>
      <c r="D77" s="113" t="str">
        <f t="array" ref="D77">IF(B77="","",IFERROR(INDEX('FUNCIONÁRIOS'!$D$4:$D$501,MATCH(B77,'FUNCIONÁRIOS'!$C$4:$C$501,0)),""))</f>
        <v>CONTROLE DE ACESSO</v>
      </c>
      <c r="E77" s="113" t="str">
        <f t="array" ref="E77">IF(B77="","",IFERROR(INDEX('FUNCIONÁRIOS'!$E$4:$E$501,MATCH(B77,'FUNCIONÁRIOS'!$C$4:$C$501,0)),""))</f>
        <v>NÃO</v>
      </c>
      <c r="F77" s="138">
        <v>46162.0</v>
      </c>
      <c r="G77" s="115" t="str">
        <f t="shared" si="10"/>
        <v>✅ 08:00</v>
      </c>
      <c r="H77" s="121">
        <v>0.3333333333333333</v>
      </c>
      <c r="I77" s="117" t="str">
        <f t="shared" si="11"/>
        <v>✅ 18:49</v>
      </c>
      <c r="J77" s="116" t="s">
        <v>1600</v>
      </c>
      <c r="K77" s="118">
        <v>0.45069444444444445</v>
      </c>
      <c r="L77" s="127" t="str">
        <f t="shared" si="12"/>
        <v>✅ Finalizado</v>
      </c>
      <c r="M77" s="110"/>
      <c r="N77" s="110"/>
    </row>
    <row r="78" ht="21.75" customHeight="1">
      <c r="A78" s="111">
        <f>75</f>
        <v>75</v>
      </c>
      <c r="B78" s="112" t="s">
        <v>132</v>
      </c>
      <c r="C78" s="123" t="str">
        <f t="array" ref="C78">IF(B78="","",IFERROR(INDEX('FUNCIONÁRIOS'!$B$4:$B$501,MATCH(B78,'FUNCIONÁRIOS'!$C$4:$C$501,0)),""))</f>
        <v>TJ SERVIÇOS</v>
      </c>
      <c r="D78" s="123" t="str">
        <f t="array" ref="D78">IF(B78="","",IFERROR(INDEX('FUNCIONÁRIOS'!$D$4:$D$501,MATCH(B78,'FUNCIONÁRIOS'!$C$4:$C$501,0)),""))</f>
        <v>BRIGADISTA </v>
      </c>
      <c r="E78" s="123" t="str">
        <f t="array" ref="E78">IF(B78="","",IFERROR(INDEX('FUNCIONÁRIOS'!$E$4:$E$501,MATCH(B78,'FUNCIONÁRIOS'!$C$4:$C$501,0)),""))</f>
        <v>NÃO</v>
      </c>
      <c r="F78" s="138">
        <v>46162.0</v>
      </c>
      <c r="G78" s="115" t="str">
        <f t="shared" si="10"/>
        <v>✅ 08:00</v>
      </c>
      <c r="H78" s="121">
        <v>0.3333333333333333</v>
      </c>
      <c r="I78" s="117" t="str">
        <f t="shared" si="11"/>
        <v>✅ 18:47</v>
      </c>
      <c r="J78" s="116" t="s">
        <v>1601</v>
      </c>
      <c r="K78" s="118">
        <v>0.44930555555555557</v>
      </c>
      <c r="L78" s="127" t="str">
        <f t="shared" si="12"/>
        <v>✅ Finalizado</v>
      </c>
      <c r="M78" s="110"/>
      <c r="N78" s="110"/>
    </row>
    <row r="79" ht="21.75" customHeight="1">
      <c r="A79" s="111">
        <f>76</f>
        <v>76</v>
      </c>
      <c r="B79" s="112" t="s">
        <v>100</v>
      </c>
      <c r="C79" s="113" t="str">
        <f t="array" ref="C79">IF(B79="","",IFERROR(INDEX('FUNCIONÁRIOS'!$B$4:$B$501,MATCH(B79,'FUNCIONÁRIOS'!$C$4:$C$501,0)),""))</f>
        <v>MONTE EVENTOS </v>
      </c>
      <c r="D79" s="113" t="str">
        <f t="array" ref="D79">IF(B79="","",IFERROR(INDEX('FUNCIONÁRIOS'!$D$4:$D$501,MATCH(B79,'FUNCIONÁRIOS'!$C$4:$C$501,0)),""))</f>
        <v>MONTADOR</v>
      </c>
      <c r="E79" s="113" t="str">
        <f t="array" ref="E79">IF(B79="","",IFERROR(INDEX('FUNCIONÁRIOS'!$E$4:$E$501,MATCH(B79,'FUNCIONÁRIOS'!$C$4:$C$501,0)),""))</f>
        <v>NÃO</v>
      </c>
      <c r="F79" s="138">
        <v>46162.0</v>
      </c>
      <c r="G79" s="115" t="str">
        <f t="shared" si="10"/>
        <v>✅ 08:00</v>
      </c>
      <c r="H79" s="121">
        <v>0.3333333333333333</v>
      </c>
      <c r="I79" s="117" t="str">
        <f t="shared" si="11"/>
        <v>✅ 18:51</v>
      </c>
      <c r="J79" s="116" t="s">
        <v>1602</v>
      </c>
      <c r="K79" s="118">
        <v>0.45208333333333334</v>
      </c>
      <c r="L79" s="127" t="str">
        <f t="shared" si="12"/>
        <v>✅ Finalizado</v>
      </c>
      <c r="M79" s="110"/>
      <c r="N79" s="110"/>
    </row>
    <row r="80" ht="21.75" customHeight="1">
      <c r="A80" s="111">
        <f>77</f>
        <v>77</v>
      </c>
      <c r="B80" s="112" t="s">
        <v>118</v>
      </c>
      <c r="C80" s="123" t="str">
        <f t="array" ref="C80">IF(B80="","",IFERROR(INDEX('FUNCIONÁRIOS'!$B$4:$B$501,MATCH(B80,'FUNCIONÁRIOS'!$C$4:$C$501,0)),""))</f>
        <v>MONTE EVENTOS </v>
      </c>
      <c r="D80" s="123" t="str">
        <f t="array" ref="D80">IF(B80="","",IFERROR(INDEX('FUNCIONÁRIOS'!$D$4:$D$501,MATCH(B80,'FUNCIONÁRIOS'!$C$4:$C$501,0)),""))</f>
        <v>MONTADOR</v>
      </c>
      <c r="E80" s="123" t="str">
        <f t="array" ref="E80">IF(B80="","",IFERROR(INDEX('FUNCIONÁRIOS'!$E$4:$E$501,MATCH(B80,'FUNCIONÁRIOS'!$C$4:$C$501,0)),""))</f>
        <v>NÃO</v>
      </c>
      <c r="F80" s="138">
        <v>46162.0</v>
      </c>
      <c r="G80" s="115" t="str">
        <f t="shared" si="10"/>
        <v>✅ 08:00</v>
      </c>
      <c r="H80" s="116" t="s">
        <v>1587</v>
      </c>
      <c r="I80" s="117" t="str">
        <f t="shared" si="11"/>
        <v>✅ 18:51</v>
      </c>
      <c r="J80" s="116" t="s">
        <v>1602</v>
      </c>
      <c r="K80" s="118">
        <v>0.45208333333333334</v>
      </c>
      <c r="L80" s="127" t="str">
        <f t="shared" si="12"/>
        <v>✅ Finalizado</v>
      </c>
      <c r="M80" s="110"/>
      <c r="N80" s="110"/>
    </row>
    <row r="81" ht="21.75" customHeight="1">
      <c r="A81" s="111">
        <f>78</f>
        <v>78</v>
      </c>
      <c r="B81" s="112" t="s">
        <v>123</v>
      </c>
      <c r="C81" s="113" t="str">
        <f t="array" ref="C81">IF(B81="","",IFERROR(INDEX('FUNCIONÁRIOS'!$B$4:$B$501,MATCH(B81,'FUNCIONÁRIOS'!$C$4:$C$501,0)),""))</f>
        <v>MONTE EVENTOS </v>
      </c>
      <c r="D81" s="113" t="str">
        <f t="array" ref="D81">IF(B81="","",IFERROR(INDEX('FUNCIONÁRIOS'!$D$4:$D$501,MATCH(B81,'FUNCIONÁRIOS'!$C$4:$C$501,0)),""))</f>
        <v>MONTADOR</v>
      </c>
      <c r="E81" s="113" t="str">
        <f t="array" ref="E81">IF(B81="","",IFERROR(INDEX('FUNCIONÁRIOS'!$E$4:$E$501,MATCH(B81,'FUNCIONÁRIOS'!$C$4:$C$501,0)),""))</f>
        <v>NÃO</v>
      </c>
      <c r="F81" s="138">
        <v>46162.0</v>
      </c>
      <c r="G81" s="115" t="str">
        <f t="shared" si="10"/>
        <v>✅ 08:00</v>
      </c>
      <c r="H81" s="121">
        <v>0.3333333333333333</v>
      </c>
      <c r="I81" s="117" t="str">
        <f t="shared" si="11"/>
        <v>✅ 18:43</v>
      </c>
      <c r="J81" s="116" t="s">
        <v>1603</v>
      </c>
      <c r="K81" s="118">
        <v>0.4465277777777778</v>
      </c>
      <c r="L81" s="127" t="str">
        <f t="shared" si="12"/>
        <v>✅ Finalizado</v>
      </c>
      <c r="M81" s="110"/>
      <c r="N81" s="110"/>
    </row>
    <row r="82" ht="21.75" customHeight="1">
      <c r="A82" s="111">
        <f>79</f>
        <v>79</v>
      </c>
      <c r="B82" s="112" t="s">
        <v>121</v>
      </c>
      <c r="C82" s="123" t="str">
        <f t="array" ref="C82">IF(B82="","",IFERROR(INDEX('FUNCIONÁRIOS'!$B$4:$B$501,MATCH(B82,'FUNCIONÁRIOS'!$C$4:$C$501,0)),""))</f>
        <v>MONTE EVENTOS </v>
      </c>
      <c r="D82" s="123" t="str">
        <f t="array" ref="D82">IF(B82="","",IFERROR(INDEX('FUNCIONÁRIOS'!$D$4:$D$501,MATCH(B82,'FUNCIONÁRIOS'!$C$4:$C$501,0)),""))</f>
        <v>MONTADOR</v>
      </c>
      <c r="E82" s="123" t="str">
        <f t="array" ref="E82">IF(B82="","",IFERROR(INDEX('FUNCIONÁRIOS'!$E$4:$E$501,MATCH(B82,'FUNCIONÁRIOS'!$C$4:$C$501,0)),""))</f>
        <v>NÃO</v>
      </c>
      <c r="F82" s="138">
        <v>46162.0</v>
      </c>
      <c r="G82" s="115" t="str">
        <f t="shared" si="10"/>
        <v>✅ 08:00</v>
      </c>
      <c r="H82" s="121">
        <v>0.3333333333333333</v>
      </c>
      <c r="I82" s="117" t="str">
        <f t="shared" si="11"/>
        <v>✅ 18:45</v>
      </c>
      <c r="J82" s="116" t="s">
        <v>1604</v>
      </c>
      <c r="K82" s="118">
        <v>0.4479166666666667</v>
      </c>
      <c r="L82" s="127" t="str">
        <f t="shared" si="12"/>
        <v>✅ Finalizado</v>
      </c>
      <c r="M82" s="110"/>
      <c r="N82" s="110"/>
    </row>
    <row r="83" ht="21.75" customHeight="1">
      <c r="A83" s="111">
        <f>80</f>
        <v>80</v>
      </c>
      <c r="B83" s="112" t="s">
        <v>125</v>
      </c>
      <c r="C83" s="113" t="str">
        <f t="array" ref="C83">IF(B83="","",IFERROR(INDEX('FUNCIONÁRIOS'!$B$4:$B$501,MATCH(B83,'FUNCIONÁRIOS'!$C$4:$C$501,0)),""))</f>
        <v>MONTE EVENTOS </v>
      </c>
      <c r="D83" s="113" t="str">
        <f t="array" ref="D83">IF(B83="","",IFERROR(INDEX('FUNCIONÁRIOS'!$D$4:$D$501,MATCH(B83,'FUNCIONÁRIOS'!$C$4:$C$501,0)),""))</f>
        <v>MONTADOR</v>
      </c>
      <c r="E83" s="113" t="str">
        <f t="array" ref="E83">IF(B83="","",IFERROR(INDEX('FUNCIONÁRIOS'!$E$4:$E$501,MATCH(B83,'FUNCIONÁRIOS'!$C$4:$C$501,0)),""))</f>
        <v>NÃO</v>
      </c>
      <c r="F83" s="138">
        <v>46162.0</v>
      </c>
      <c r="G83" s="115" t="str">
        <f t="shared" si="10"/>
        <v>✅ 08:00</v>
      </c>
      <c r="H83" s="121">
        <v>0.3333333333333333</v>
      </c>
      <c r="I83" s="117" t="str">
        <f t="shared" si="11"/>
        <v>✅ 18:43</v>
      </c>
      <c r="J83" s="116" t="s">
        <v>1603</v>
      </c>
      <c r="K83" s="118">
        <v>0.4465277777777778</v>
      </c>
      <c r="L83" s="127" t="str">
        <f t="shared" si="12"/>
        <v>✅ Finalizado</v>
      </c>
      <c r="M83" s="110"/>
      <c r="N83" s="110"/>
    </row>
    <row r="84" ht="21.75" customHeight="1">
      <c r="A84" s="111">
        <f>81</f>
        <v>81</v>
      </c>
      <c r="B84" s="112" t="s">
        <v>122</v>
      </c>
      <c r="C84" s="123" t="str">
        <f t="array" ref="C84">IF(B84="","",IFERROR(INDEX('FUNCIONÁRIOS'!$B$4:$B$501,MATCH(B84,'FUNCIONÁRIOS'!$C$4:$C$501,0)),""))</f>
        <v>MONTE EVENTOS </v>
      </c>
      <c r="D84" s="123" t="str">
        <f t="array" ref="D84">IF(B84="","",IFERROR(INDEX('FUNCIONÁRIOS'!$D$4:$D$501,MATCH(B84,'FUNCIONÁRIOS'!$C$4:$C$501,0)),""))</f>
        <v>MONTADOR</v>
      </c>
      <c r="E84" s="123" t="str">
        <f t="array" ref="E84">IF(B84="","",IFERROR(INDEX('FUNCIONÁRIOS'!$E$4:$E$501,MATCH(B84,'FUNCIONÁRIOS'!$C$4:$C$501,0)),""))</f>
        <v>NÃO</v>
      </c>
      <c r="F84" s="138">
        <v>46162.0</v>
      </c>
      <c r="G84" s="115" t="str">
        <f t="shared" si="10"/>
        <v>✅ 08:00</v>
      </c>
      <c r="H84" s="121">
        <v>0.3333333333333333</v>
      </c>
      <c r="I84" s="117" t="str">
        <f t="shared" si="11"/>
        <v>✅ 18:40</v>
      </c>
      <c r="J84" s="116" t="s">
        <v>1605</v>
      </c>
      <c r="K84" s="118">
        <v>0.4444444444444445</v>
      </c>
      <c r="L84" s="127" t="str">
        <f t="shared" si="12"/>
        <v>✅ Finalizado</v>
      </c>
      <c r="M84" s="110"/>
      <c r="N84" s="110"/>
    </row>
    <row r="85" ht="21.75" customHeight="1">
      <c r="A85" s="111">
        <f>82</f>
        <v>82</v>
      </c>
      <c r="B85" s="112" t="s">
        <v>119</v>
      </c>
      <c r="C85" s="113" t="str">
        <f t="array" ref="C85">IF(B85="","",IFERROR(INDEX('FUNCIONÁRIOS'!$B$4:$B$501,MATCH(B85,'FUNCIONÁRIOS'!$C$4:$C$501,0)),""))</f>
        <v>MONTE EVENTOS </v>
      </c>
      <c r="D85" s="113" t="str">
        <f t="array" ref="D85">IF(B85="","",IFERROR(INDEX('FUNCIONÁRIOS'!$D$4:$D$501,MATCH(B85,'FUNCIONÁRIOS'!$C$4:$C$501,0)),""))</f>
        <v>MONTADOR</v>
      </c>
      <c r="E85" s="113" t="str">
        <f t="array" ref="E85">IF(B85="","",IFERROR(INDEX('FUNCIONÁRIOS'!$E$4:$E$501,MATCH(B85,'FUNCIONÁRIOS'!$C$4:$C$501,0)),""))</f>
        <v>NÃO</v>
      </c>
      <c r="F85" s="138">
        <v>46162.0</v>
      </c>
      <c r="G85" s="115" t="str">
        <f t="shared" si="10"/>
        <v>✅ 08:00</v>
      </c>
      <c r="H85" s="116" t="s">
        <v>1587</v>
      </c>
      <c r="I85" s="117" t="str">
        <f t="shared" si="11"/>
        <v>✅ 18:44</v>
      </c>
      <c r="J85" s="116" t="s">
        <v>1606</v>
      </c>
      <c r="K85" s="118">
        <v>0.44722222222222224</v>
      </c>
      <c r="L85" s="127" t="str">
        <f t="shared" si="12"/>
        <v>✅ Finalizado</v>
      </c>
      <c r="M85" s="110"/>
      <c r="N85" s="110"/>
    </row>
    <row r="86" ht="21.75" customHeight="1">
      <c r="A86" s="111">
        <f>83</f>
        <v>83</v>
      </c>
      <c r="B86" s="112" t="s">
        <v>128</v>
      </c>
      <c r="C86" s="123" t="str">
        <f t="array" ref="C86">IF(B86="","",IFERROR(INDEX('FUNCIONÁRIOS'!$B$4:$B$501,MATCH(B86,'FUNCIONÁRIOS'!$C$4:$C$501,0)),""))</f>
        <v>MONTE EVENTOS </v>
      </c>
      <c r="D86" s="123" t="str">
        <f t="array" ref="D86">IF(B86="","",IFERROR(INDEX('FUNCIONÁRIOS'!$D$4:$D$501,MATCH(B86,'FUNCIONÁRIOS'!$C$4:$C$501,0)),""))</f>
        <v>MONTADOR</v>
      </c>
      <c r="E86" s="123" t="str">
        <f t="array" ref="E86">IF(B86="","",IFERROR(INDEX('FUNCIONÁRIOS'!$E$4:$E$501,MATCH(B86,'FUNCIONÁRIOS'!$C$4:$C$501,0)),""))</f>
        <v>NÃO</v>
      </c>
      <c r="F86" s="138">
        <v>46162.0</v>
      </c>
      <c r="G86" s="115" t="str">
        <f t="shared" si="10"/>
        <v>✅ 08:00</v>
      </c>
      <c r="H86" s="121">
        <v>0.3333333333333333</v>
      </c>
      <c r="I86" s="117" t="str">
        <f t="shared" si="11"/>
        <v>✅ 18:45</v>
      </c>
      <c r="J86" s="116" t="s">
        <v>1604</v>
      </c>
      <c r="K86" s="118">
        <v>0.4479166666666667</v>
      </c>
      <c r="L86" s="127" t="str">
        <f t="shared" si="12"/>
        <v>✅ Finalizado</v>
      </c>
      <c r="M86" s="110"/>
      <c r="N86" s="110"/>
    </row>
    <row r="87" ht="21.75" customHeight="1">
      <c r="A87" s="111">
        <f>84</f>
        <v>84</v>
      </c>
      <c r="B87" s="112" t="s">
        <v>200</v>
      </c>
      <c r="C87" s="113" t="str">
        <f t="array" ref="C87">IF(B87="","",IFERROR(INDEX('FUNCIONÁRIOS'!$B$4:$B$501,MATCH(B87,'FUNCIONÁRIOS'!$C$4:$C$501,0)),""))</f>
        <v>FLASH MED</v>
      </c>
      <c r="D87" s="113" t="str">
        <f t="array" ref="D87">IF(B87="","",IFERROR(INDEX('FUNCIONÁRIOS'!$D$4:$D$501,MATCH(B87,'FUNCIONÁRIOS'!$C$4:$C$501,0)),""))</f>
        <v>ENFERMAGEM </v>
      </c>
      <c r="E87" s="113" t="str">
        <f t="array" ref="E87">IF(B87="","",IFERROR(INDEX('FUNCIONÁRIOS'!$E$4:$E$501,MATCH(B87,'FUNCIONÁRIOS'!$C$4:$C$501,0)),""))</f>
        <v>NÃO</v>
      </c>
      <c r="F87" s="138">
        <v>46162.0</v>
      </c>
      <c r="G87" s="115" t="str">
        <f t="shared" si="10"/>
        <v>✅ 08:00</v>
      </c>
      <c r="H87" s="121">
        <v>0.3333333333333333</v>
      </c>
      <c r="I87" s="117" t="str">
        <f t="shared" si="11"/>
        <v>✅ 18:40</v>
      </c>
      <c r="J87" s="116" t="s">
        <v>1605</v>
      </c>
      <c r="K87" s="118">
        <v>0.4444444444444445</v>
      </c>
      <c r="L87" s="127" t="str">
        <f t="shared" si="12"/>
        <v>✅ Finalizado</v>
      </c>
      <c r="M87" s="110"/>
      <c r="N87" s="110"/>
    </row>
    <row r="88" ht="21.75" customHeight="1">
      <c r="A88" s="111">
        <f>85</f>
        <v>85</v>
      </c>
      <c r="B88" s="112" t="s">
        <v>203</v>
      </c>
      <c r="C88" s="123" t="str">
        <f t="array" ref="C88">IF(B88="","",IFERROR(INDEX('FUNCIONÁRIOS'!$B$4:$B$501,MATCH(B88,'FUNCIONÁRIOS'!$C$4:$C$501,0)),""))</f>
        <v>FLASH MED</v>
      </c>
      <c r="D88" s="123" t="str">
        <f t="array" ref="D88">IF(B88="","",IFERROR(INDEX('FUNCIONÁRIOS'!$D$4:$D$501,MATCH(B88,'FUNCIONÁRIOS'!$C$4:$C$501,0)),""))</f>
        <v>SOCORRISTA </v>
      </c>
      <c r="E88" s="123" t="str">
        <f t="array" ref="E88">IF(B88="","",IFERROR(INDEX('FUNCIONÁRIOS'!$E$4:$E$501,MATCH(B88,'FUNCIONÁRIOS'!$C$4:$C$501,0)),""))</f>
        <v>NÃO</v>
      </c>
      <c r="F88" s="138">
        <v>46162.0</v>
      </c>
      <c r="G88" s="115" t="str">
        <f t="shared" si="10"/>
        <v>✅ 08:00</v>
      </c>
      <c r="H88" s="121">
        <v>0.3333333333333333</v>
      </c>
      <c r="I88" s="117" t="str">
        <f t="shared" si="11"/>
        <v>✅ 18:40</v>
      </c>
      <c r="J88" s="116" t="s">
        <v>1605</v>
      </c>
      <c r="K88" s="118">
        <v>0.4444444444444445</v>
      </c>
      <c r="L88" s="127" t="str">
        <f t="shared" si="12"/>
        <v>✅ Finalizado</v>
      </c>
      <c r="M88" s="110"/>
      <c r="N88" s="110"/>
    </row>
    <row r="89" ht="21.75" customHeight="1">
      <c r="A89" s="111">
        <f>86</f>
        <v>86</v>
      </c>
      <c r="B89" s="112" t="s">
        <v>176</v>
      </c>
      <c r="C89" s="113" t="str">
        <f t="array" ref="C89">IF(B89="","",IFERROR(INDEX('FUNCIONÁRIOS'!$B$4:$B$501,MATCH(B89,'FUNCIONÁRIOS'!$C$4:$C$501,0)),""))</f>
        <v>TJ SERVIÇOS</v>
      </c>
      <c r="D89" s="113" t="str">
        <f t="array" ref="D89">IF(B89="","",IFERROR(INDEX('FUNCIONÁRIOS'!$D$4:$D$501,MATCH(B89,'FUNCIONÁRIOS'!$C$4:$C$501,0)),""))</f>
        <v>BRIGADISTA</v>
      </c>
      <c r="E89" s="113" t="str">
        <f t="array" ref="E89">IF(B89="","",IFERROR(INDEX('FUNCIONÁRIOS'!$E$4:$E$501,MATCH(B89,'FUNCIONÁRIOS'!$C$4:$C$501,0)),""))</f>
        <v>NÃO</v>
      </c>
      <c r="F89" s="138">
        <v>46162.0</v>
      </c>
      <c r="G89" s="115" t="str">
        <f t="shared" si="10"/>
        <v>✅ 08:00</v>
      </c>
      <c r="H89" s="121">
        <v>0.3333333333333333</v>
      </c>
      <c r="I89" s="117" t="str">
        <f t="shared" si="11"/>
        <v>✅ 18:47</v>
      </c>
      <c r="J89" s="116" t="s">
        <v>1601</v>
      </c>
      <c r="K89" s="118">
        <v>0.44930555555555557</v>
      </c>
      <c r="L89" s="127" t="str">
        <f t="shared" si="12"/>
        <v>✅ Finalizado</v>
      </c>
      <c r="M89" s="110"/>
      <c r="N89" s="110"/>
    </row>
    <row r="90" ht="21.75" customHeight="1">
      <c r="A90" s="111">
        <f>87</f>
        <v>87</v>
      </c>
      <c r="B90" s="112" t="s">
        <v>103</v>
      </c>
      <c r="C90" s="123" t="str">
        <f t="array" ref="C90">IF(B90="","",IFERROR(INDEX('FUNCIONÁRIOS'!$B$4:$B$501,MATCH(B90,'FUNCIONÁRIOS'!$C$4:$C$501,0)),""))</f>
        <v>MONTE EVENTOS </v>
      </c>
      <c r="D90" s="123" t="str">
        <f t="array" ref="D90">IF(B90="","",IFERROR(INDEX('FUNCIONÁRIOS'!$D$4:$D$501,MATCH(B90,'FUNCIONÁRIOS'!$C$4:$C$501,0)),""))</f>
        <v>MONTADOR</v>
      </c>
      <c r="E90" s="123" t="str">
        <f t="array" ref="E90">IF(B90="","",IFERROR(INDEX('FUNCIONÁRIOS'!$E$4:$E$501,MATCH(B90,'FUNCIONÁRIOS'!$C$4:$C$501,0)),""))</f>
        <v>NÃO</v>
      </c>
      <c r="F90" s="138">
        <v>46162.0</v>
      </c>
      <c r="G90" s="115" t="str">
        <f t="shared" si="10"/>
        <v>✅ 08:00</v>
      </c>
      <c r="H90" s="116" t="s">
        <v>1587</v>
      </c>
      <c r="I90" s="117" t="str">
        <f t="shared" si="11"/>
        <v>✅ 18:42</v>
      </c>
      <c r="J90" s="116" t="s">
        <v>1607</v>
      </c>
      <c r="K90" s="118">
        <v>0.44583333333333336</v>
      </c>
      <c r="L90" s="127" t="str">
        <f t="shared" si="12"/>
        <v>✅ Finalizado</v>
      </c>
      <c r="M90" s="110"/>
      <c r="N90" s="110"/>
    </row>
    <row r="91" ht="21.75" customHeight="1">
      <c r="A91" s="111">
        <f>88</f>
        <v>88</v>
      </c>
      <c r="B91" s="112" t="s">
        <v>117</v>
      </c>
      <c r="C91" s="113" t="str">
        <f t="array" ref="C91">IF(B91="","",IFERROR(INDEX('FUNCIONÁRIOS'!$B$4:$B$501,MATCH(B91,'FUNCIONÁRIOS'!$C$4:$C$501,0)),""))</f>
        <v>MONTE EVENTOS </v>
      </c>
      <c r="D91" s="113" t="str">
        <f t="array" ref="D91">IF(B91="","",IFERROR(INDEX('FUNCIONÁRIOS'!$D$4:$D$501,MATCH(B91,'FUNCIONÁRIOS'!$C$4:$C$501,0)),""))</f>
        <v>MONTADOR</v>
      </c>
      <c r="E91" s="113" t="str">
        <f t="array" ref="E91">IF(B91="","",IFERROR(INDEX('FUNCIONÁRIOS'!$E$4:$E$501,MATCH(B91,'FUNCIONÁRIOS'!$C$4:$C$501,0)),""))</f>
        <v>NÃO</v>
      </c>
      <c r="F91" s="138">
        <v>46162.0</v>
      </c>
      <c r="G91" s="115" t="str">
        <f t="shared" si="10"/>
        <v>✅ 08:00</v>
      </c>
      <c r="H91" s="121">
        <v>0.3333333333333333</v>
      </c>
      <c r="I91" s="117" t="str">
        <f t="shared" si="11"/>
        <v>✅ 18:44</v>
      </c>
      <c r="J91" s="116" t="s">
        <v>1606</v>
      </c>
      <c r="K91" s="118">
        <v>0.44722222222222224</v>
      </c>
      <c r="L91" s="127" t="str">
        <f t="shared" si="12"/>
        <v>✅ Finalizado</v>
      </c>
      <c r="M91" s="110"/>
      <c r="N91" s="110"/>
    </row>
    <row r="92" ht="21.75" customHeight="1">
      <c r="A92" s="111">
        <f>89</f>
        <v>89</v>
      </c>
      <c r="B92" s="112" t="s">
        <v>105</v>
      </c>
      <c r="C92" s="123" t="str">
        <f t="array" ref="C92">IF(B92="","",IFERROR(INDEX('FUNCIONÁRIOS'!$B$4:$B$501,MATCH(B92,'FUNCIONÁRIOS'!$C$4:$C$501,0)),""))</f>
        <v>MONTE EVENTOS </v>
      </c>
      <c r="D92" s="123" t="str">
        <f t="array" ref="D92">IF(B92="","",IFERROR(INDEX('FUNCIONÁRIOS'!$D$4:$D$501,MATCH(B92,'FUNCIONÁRIOS'!$C$4:$C$501,0)),""))</f>
        <v>MONTADOR</v>
      </c>
      <c r="E92" s="123" t="str">
        <f t="array" ref="E92">IF(B92="","",IFERROR(INDEX('FUNCIONÁRIOS'!$E$4:$E$501,MATCH(B92,'FUNCIONÁRIOS'!$C$4:$C$501,0)),""))</f>
        <v>NÃO</v>
      </c>
      <c r="F92" s="138">
        <v>46162.0</v>
      </c>
      <c r="G92" s="115" t="str">
        <f t="shared" si="10"/>
        <v>✅ 08:00</v>
      </c>
      <c r="H92" s="121">
        <v>0.3333333333333333</v>
      </c>
      <c r="I92" s="117" t="str">
        <f t="shared" si="11"/>
        <v>✅ 18:43</v>
      </c>
      <c r="J92" s="116" t="s">
        <v>1603</v>
      </c>
      <c r="K92" s="118">
        <v>0.4465277777777778</v>
      </c>
      <c r="L92" s="127" t="str">
        <f t="shared" si="12"/>
        <v>✅ Finalizado</v>
      </c>
      <c r="M92" s="110"/>
      <c r="N92" s="110"/>
    </row>
    <row r="93" ht="21.75" customHeight="1">
      <c r="A93" s="111">
        <f>90</f>
        <v>90</v>
      </c>
      <c r="B93" s="112" t="s">
        <v>104</v>
      </c>
      <c r="C93" s="113" t="str">
        <f t="array" ref="C93">IF(B93="","",IFERROR(INDEX('FUNCIONÁRIOS'!$B$4:$B$501,MATCH(B93,'FUNCIONÁRIOS'!$C$4:$C$501,0)),""))</f>
        <v>MONTE EVENTOS </v>
      </c>
      <c r="D93" s="113" t="str">
        <f t="array" ref="D93">IF(B93="","",IFERROR(INDEX('FUNCIONÁRIOS'!$D$4:$D$501,MATCH(B93,'FUNCIONÁRIOS'!$C$4:$C$501,0)),""))</f>
        <v>MONTADOR</v>
      </c>
      <c r="E93" s="113" t="str">
        <f t="array" ref="E93">IF(B93="","",IFERROR(INDEX('FUNCIONÁRIOS'!$E$4:$E$501,MATCH(B93,'FUNCIONÁRIOS'!$C$4:$C$501,0)),""))</f>
        <v>NÃO</v>
      </c>
      <c r="F93" s="138">
        <v>46162.0</v>
      </c>
      <c r="G93" s="115" t="str">
        <f t="shared" si="10"/>
        <v>✅ 08:00</v>
      </c>
      <c r="H93" s="121">
        <v>0.3333333333333333</v>
      </c>
      <c r="I93" s="117" t="str">
        <f t="shared" si="11"/>
        <v>✅ 18:42</v>
      </c>
      <c r="J93" s="116" t="s">
        <v>1607</v>
      </c>
      <c r="K93" s="118">
        <v>0.44583333333333336</v>
      </c>
      <c r="L93" s="127" t="str">
        <f t="shared" si="12"/>
        <v>✅ Finalizado</v>
      </c>
      <c r="M93" s="110"/>
      <c r="N93" s="110"/>
    </row>
    <row r="94" ht="21.75" customHeight="1">
      <c r="A94" s="111">
        <f>91</f>
        <v>91</v>
      </c>
      <c r="B94" s="112" t="s">
        <v>111</v>
      </c>
      <c r="C94" s="123" t="str">
        <f t="array" ref="C94">IF(B94="","",IFERROR(INDEX('FUNCIONÁRIOS'!$B$4:$B$501,MATCH(B94,'FUNCIONÁRIOS'!$C$4:$C$501,0)),""))</f>
        <v>MONTE EVENTOS </v>
      </c>
      <c r="D94" s="123" t="str">
        <f t="array" ref="D94">IF(B94="","",IFERROR(INDEX('FUNCIONÁRIOS'!$D$4:$D$501,MATCH(B94,'FUNCIONÁRIOS'!$C$4:$C$501,0)),""))</f>
        <v>MONTADOR</v>
      </c>
      <c r="E94" s="123" t="str">
        <f t="array" ref="E94">IF(B94="","",IFERROR(INDEX('FUNCIONÁRIOS'!$E$4:$E$501,MATCH(B94,'FUNCIONÁRIOS'!$C$4:$C$501,0)),""))</f>
        <v>NÃO</v>
      </c>
      <c r="F94" s="138">
        <v>46162.0</v>
      </c>
      <c r="G94" s="115" t="str">
        <f t="shared" si="10"/>
        <v>✅ 08:00</v>
      </c>
      <c r="H94" s="121">
        <v>0.3333333333333333</v>
      </c>
      <c r="I94" s="117" t="str">
        <f t="shared" si="11"/>
        <v>✅ 18:45</v>
      </c>
      <c r="J94" s="116" t="s">
        <v>1604</v>
      </c>
      <c r="K94" s="118">
        <v>0.4479166666666667</v>
      </c>
      <c r="L94" s="127" t="str">
        <f t="shared" si="12"/>
        <v>✅ Finalizado</v>
      </c>
      <c r="M94" s="110"/>
      <c r="N94" s="110"/>
    </row>
    <row r="95" ht="21.75" customHeight="1">
      <c r="A95" s="111">
        <f>92</f>
        <v>92</v>
      </c>
      <c r="B95" s="112" t="s">
        <v>185</v>
      </c>
      <c r="C95" s="113" t="str">
        <f t="array" ref="C95">IF(B95="","",IFERROR(INDEX('FUNCIONÁRIOS'!$B$4:$B$501,MATCH(B95,'FUNCIONÁRIOS'!$C$4:$C$501,0)),""))</f>
        <v>MONTE EVENTOS </v>
      </c>
      <c r="D95" s="113" t="str">
        <f t="array" ref="D95">IF(B95="","",IFERROR(INDEX('FUNCIONÁRIOS'!$D$4:$D$501,MATCH(B95,'FUNCIONÁRIOS'!$C$4:$C$501,0)),""))</f>
        <v>montador </v>
      </c>
      <c r="E95" s="113" t="str">
        <f t="array" ref="E95">IF(B95="","",IFERROR(INDEX('FUNCIONÁRIOS'!$E$4:$E$501,MATCH(B95,'FUNCIONÁRIOS'!$C$4:$C$501,0)),""))</f>
        <v>NÃO</v>
      </c>
      <c r="F95" s="138">
        <v>46162.0</v>
      </c>
      <c r="G95" s="115" t="str">
        <f t="shared" si="10"/>
        <v>✅ 08:00</v>
      </c>
      <c r="H95" s="116" t="s">
        <v>1587</v>
      </c>
      <c r="I95" s="117" t="str">
        <f t="shared" si="11"/>
        <v>✅ 18:41</v>
      </c>
      <c r="J95" s="116" t="s">
        <v>1608</v>
      </c>
      <c r="K95" s="118">
        <v>0.4451388888888889</v>
      </c>
      <c r="L95" s="127" t="str">
        <f t="shared" si="12"/>
        <v>✅ Finalizado</v>
      </c>
      <c r="M95" s="110"/>
      <c r="N95" s="110"/>
    </row>
    <row r="96" ht="21.75" customHeight="1">
      <c r="A96" s="111">
        <f>93</f>
        <v>93</v>
      </c>
      <c r="B96" s="112" t="s">
        <v>124</v>
      </c>
      <c r="C96" s="123" t="str">
        <f t="array" ref="C96">IF(B96="","",IFERROR(INDEX('FUNCIONÁRIOS'!$B$4:$B$501,MATCH(B96,'FUNCIONÁRIOS'!$C$4:$C$501,0)),""))</f>
        <v>MONTE EVENTOS </v>
      </c>
      <c r="D96" s="123" t="str">
        <f t="array" ref="D96">IF(B96="","",IFERROR(INDEX('FUNCIONÁRIOS'!$D$4:$D$501,MATCH(B96,'FUNCIONÁRIOS'!$C$4:$C$501,0)),""))</f>
        <v>MONTADOR</v>
      </c>
      <c r="E96" s="123" t="str">
        <f t="array" ref="E96">IF(B96="","",IFERROR(INDEX('FUNCIONÁRIOS'!$E$4:$E$501,MATCH(B96,'FUNCIONÁRIOS'!$C$4:$C$501,0)),""))</f>
        <v>NÃO</v>
      </c>
      <c r="F96" s="138">
        <v>46162.0</v>
      </c>
      <c r="G96" s="115" t="str">
        <f t="shared" si="10"/>
        <v>✅ 08:00</v>
      </c>
      <c r="H96" s="121">
        <v>0.3333333333333333</v>
      </c>
      <c r="I96" s="117" t="str">
        <f t="shared" si="11"/>
        <v>✅ 18:47</v>
      </c>
      <c r="J96" s="116" t="s">
        <v>1601</v>
      </c>
      <c r="K96" s="118">
        <v>0.44930555555555557</v>
      </c>
      <c r="L96" s="127" t="str">
        <f t="shared" si="12"/>
        <v>✅ Finalizado</v>
      </c>
      <c r="M96" s="110"/>
      <c r="N96" s="110"/>
    </row>
    <row r="97" ht="21.75" customHeight="1">
      <c r="A97" s="111">
        <f>94</f>
        <v>94</v>
      </c>
      <c r="B97" s="112" t="s">
        <v>112</v>
      </c>
      <c r="C97" s="113" t="str">
        <f t="array" ref="C97">IF(B97="","",IFERROR(INDEX('FUNCIONÁRIOS'!$B$4:$B$501,MATCH(B97,'FUNCIONÁRIOS'!$C$4:$C$501,0)),""))</f>
        <v>MONTE EVENTOS </v>
      </c>
      <c r="D97" s="113" t="str">
        <f t="array" ref="D97">IF(B97="","",IFERROR(INDEX('FUNCIONÁRIOS'!$D$4:$D$501,MATCH(B97,'FUNCIONÁRIOS'!$C$4:$C$501,0)),""))</f>
        <v>MONTADOR</v>
      </c>
      <c r="E97" s="113" t="str">
        <f t="array" ref="E97">IF(B97="","",IFERROR(INDEX('FUNCIONÁRIOS'!$E$4:$E$501,MATCH(B97,'FUNCIONÁRIOS'!$C$4:$C$501,0)),""))</f>
        <v>NÃO</v>
      </c>
      <c r="F97" s="138">
        <v>46162.0</v>
      </c>
      <c r="G97" s="115" t="str">
        <f t="shared" si="10"/>
        <v>✅ 08:00</v>
      </c>
      <c r="H97" s="121">
        <v>0.3333333333333333</v>
      </c>
      <c r="I97" s="117" t="str">
        <f t="shared" si="11"/>
        <v>✅ 18:46</v>
      </c>
      <c r="J97" s="116" t="s">
        <v>1609</v>
      </c>
      <c r="K97" s="118">
        <v>0.4486111111111111</v>
      </c>
      <c r="L97" s="127" t="str">
        <f t="shared" si="12"/>
        <v>✅ Finalizado</v>
      </c>
      <c r="M97" s="110"/>
      <c r="N97" s="110"/>
    </row>
    <row r="98" ht="21.75" customHeight="1">
      <c r="A98" s="111">
        <f>95</f>
        <v>95</v>
      </c>
      <c r="B98" s="112" t="s">
        <v>126</v>
      </c>
      <c r="C98" s="123" t="str">
        <f t="array" ref="C98">IF(B98="","",IFERROR(INDEX('FUNCIONÁRIOS'!$B$4:$B$501,MATCH(B98,'FUNCIONÁRIOS'!$C$4:$C$501,0)),""))</f>
        <v>MONTE EVENTOS </v>
      </c>
      <c r="D98" s="123" t="str">
        <f t="array" ref="D98">IF(B98="","",IFERROR(INDEX('FUNCIONÁRIOS'!$D$4:$D$501,MATCH(B98,'FUNCIONÁRIOS'!$C$4:$C$501,0)),""))</f>
        <v>MONTADOR</v>
      </c>
      <c r="E98" s="123" t="str">
        <f t="array" ref="E98">IF(B98="","",IFERROR(INDEX('FUNCIONÁRIOS'!$E$4:$E$501,MATCH(B98,'FUNCIONÁRIOS'!$C$4:$C$501,0)),""))</f>
        <v>NÃO</v>
      </c>
      <c r="F98" s="138">
        <v>46162.0</v>
      </c>
      <c r="G98" s="115" t="str">
        <f t="shared" si="10"/>
        <v>✅ 08:00</v>
      </c>
      <c r="H98" s="121">
        <v>0.3333333333333333</v>
      </c>
      <c r="I98" s="117" t="str">
        <f t="shared" si="11"/>
        <v>✅ 18:47</v>
      </c>
      <c r="J98" s="116" t="s">
        <v>1601</v>
      </c>
      <c r="K98" s="118">
        <v>0.44930555555555557</v>
      </c>
      <c r="L98" s="127" t="str">
        <f t="shared" si="12"/>
        <v>✅ Finalizado</v>
      </c>
      <c r="M98" s="110"/>
      <c r="N98" s="110"/>
    </row>
    <row r="99" ht="21.75" customHeight="1">
      <c r="A99" s="111">
        <f>96</f>
        <v>96</v>
      </c>
      <c r="B99" s="112" t="s">
        <v>113</v>
      </c>
      <c r="C99" s="113" t="str">
        <f t="array" ref="C99">IF(B99="","",IFERROR(INDEX('FUNCIONÁRIOS'!$B$4:$B$501,MATCH(B99,'FUNCIONÁRIOS'!$C$4:$C$501,0)),""))</f>
        <v>MONTE EVENTOS </v>
      </c>
      <c r="D99" s="113" t="str">
        <f t="array" ref="D99">IF(B99="","",IFERROR(INDEX('FUNCIONÁRIOS'!$D$4:$D$501,MATCH(B99,'FUNCIONÁRIOS'!$C$4:$C$501,0)),""))</f>
        <v>COORDENADOR/CEO</v>
      </c>
      <c r="E99" s="113" t="str">
        <f t="array" ref="E99">IF(B99="","",IFERROR(INDEX('FUNCIONÁRIOS'!$E$4:$E$501,MATCH(B99,'FUNCIONÁRIOS'!$C$4:$C$501,0)),""))</f>
        <v>SIM</v>
      </c>
      <c r="F99" s="138">
        <v>46162.0</v>
      </c>
      <c r="G99" s="115" t="str">
        <f t="shared" si="10"/>
        <v>✅ 08:00</v>
      </c>
      <c r="H99" s="121">
        <v>0.3333333333333333</v>
      </c>
      <c r="I99" s="117" t="str">
        <f t="shared" si="11"/>
        <v>✅ 18:41</v>
      </c>
      <c r="J99" s="116" t="s">
        <v>1608</v>
      </c>
      <c r="K99" s="118">
        <v>0.4451388888888889</v>
      </c>
      <c r="L99" s="127" t="str">
        <f t="shared" si="12"/>
        <v>✅ Finalizado</v>
      </c>
      <c r="M99" s="110"/>
      <c r="N99" s="110"/>
    </row>
    <row r="100" ht="21.75" customHeight="1">
      <c r="A100" s="111">
        <f>97</f>
        <v>97</v>
      </c>
      <c r="B100" s="112" t="s">
        <v>110</v>
      </c>
      <c r="C100" s="123" t="str">
        <f t="array" ref="C100">IF(B100="","",IFERROR(INDEX('FUNCIONÁRIOS'!$B$4:$B$501,MATCH(B100,'FUNCIONÁRIOS'!$C$4:$C$501,0)),""))</f>
        <v>MONTE EVENTOS </v>
      </c>
      <c r="D100" s="123" t="str">
        <f t="array" ref="D100">IF(B100="","",IFERROR(INDEX('FUNCIONÁRIOS'!$D$4:$D$501,MATCH(B100,'FUNCIONÁRIOS'!$C$4:$C$501,0)),""))</f>
        <v>MONTADOR</v>
      </c>
      <c r="E100" s="123" t="str">
        <f t="array" ref="E100">IF(B100="","",IFERROR(INDEX('FUNCIONÁRIOS'!$E$4:$E$501,MATCH(B100,'FUNCIONÁRIOS'!$C$4:$C$501,0)),""))</f>
        <v>NÃO</v>
      </c>
      <c r="F100" s="138">
        <v>46162.0</v>
      </c>
      <c r="G100" s="115" t="str">
        <f t="shared" si="10"/>
        <v>✅ 08:00</v>
      </c>
      <c r="H100" s="116" t="s">
        <v>1587</v>
      </c>
      <c r="I100" s="117" t="str">
        <f t="shared" si="11"/>
        <v>✅ 18:44</v>
      </c>
      <c r="J100" s="116" t="s">
        <v>1606</v>
      </c>
      <c r="K100" s="118">
        <v>0.44722222222222224</v>
      </c>
      <c r="L100" s="127" t="str">
        <f t="shared" si="12"/>
        <v>✅ Finalizado</v>
      </c>
      <c r="M100" s="110"/>
      <c r="N100" s="110"/>
    </row>
    <row r="101" ht="21.75" customHeight="1">
      <c r="A101" s="111">
        <f>98</f>
        <v>98</v>
      </c>
      <c r="B101" s="112" t="s">
        <v>96</v>
      </c>
      <c r="C101" s="113" t="str">
        <f t="array" ref="C101">IF(B101="","",IFERROR(INDEX('FUNCIONÁRIOS'!$B$4:$B$501,MATCH(B101,'FUNCIONÁRIOS'!$C$4:$C$501,0)),""))</f>
        <v>PONCIANO SOLUÇÕES </v>
      </c>
      <c r="D101" s="113" t="str">
        <f t="array" ref="D101">IF(B101="","",IFERROR(INDEX('FUNCIONÁRIOS'!$D$4:$D$501,MATCH(B101,'FUNCIONÁRIOS'!$C$4:$C$501,0)),""))</f>
        <v>CREDENCIAMENTO</v>
      </c>
      <c r="E101" s="113" t="str">
        <f t="array" ref="E101">IF(B101="","",IFERROR(INDEX('FUNCIONÁRIOS'!$E$4:$E$501,MATCH(B101,'FUNCIONÁRIOS'!$C$4:$C$501,0)),""))</f>
        <v>NÃO</v>
      </c>
      <c r="F101" s="138">
        <v>45797.0</v>
      </c>
      <c r="G101" s="115" t="str">
        <f t="shared" si="10"/>
        <v>✅ 08:00</v>
      </c>
      <c r="H101" s="121">
        <v>0.3333333333333333</v>
      </c>
      <c r="I101" s="117" t="str">
        <f t="shared" si="11"/>
        <v>✅ 18:50</v>
      </c>
      <c r="J101" s="121">
        <v>0.7847222222222222</v>
      </c>
      <c r="K101" s="126">
        <f>IF(AND(H101&lt;&gt;"",J101&lt;&gt;""),J101-H101,"")</f>
        <v>0.4513888889</v>
      </c>
      <c r="L101" s="127" t="str">
        <f t="shared" si="12"/>
        <v>✅ Finalizado</v>
      </c>
      <c r="M101" s="110"/>
      <c r="N101" s="110"/>
    </row>
    <row r="102" ht="26.25" customHeight="1">
      <c r="A102" s="111">
        <f>99</f>
        <v>99</v>
      </c>
      <c r="B102" s="112" t="s">
        <v>213</v>
      </c>
      <c r="C102" s="123" t="str">
        <f t="array" ref="C102">IF(B102="","",IFERROR(INDEX('FUNCIONÁRIOS'!$B$4:$B$501,MATCH(B102,'FUNCIONÁRIOS'!$C$4:$C$501,0)),""))</f>
        <v>YES </v>
      </c>
      <c r="D102" s="123" t="str">
        <f t="array" ref="D102">IF(B102="","",IFERROR(INDEX('FUNCIONÁRIOS'!$D$4:$D$501,MATCH(B102,'FUNCIONÁRIOS'!$C$4:$C$501,0)),""))</f>
        <v>TEC SEGURANÇA DO TRABALHO </v>
      </c>
      <c r="E102" s="123" t="str">
        <f t="array" ref="E102">IF(B102="","",IFERROR(INDEX('FUNCIONÁRIOS'!$E$4:$E$501,MATCH(B102,'FUNCIONÁRIOS'!$C$4:$C$501,0)),""))</f>
        <v>NÃO</v>
      </c>
      <c r="F102" s="142">
        <v>45797.0</v>
      </c>
      <c r="G102" s="115" t="str">
        <f t="shared" si="10"/>
        <v>✅ 08:38</v>
      </c>
      <c r="H102" s="121">
        <v>0.3597222222222222</v>
      </c>
      <c r="I102" s="117" t="str">
        <f t="shared" si="11"/>
        <v>✅ 18:41</v>
      </c>
      <c r="J102" s="116" t="s">
        <v>1608</v>
      </c>
      <c r="K102" s="118">
        <v>0.41875</v>
      </c>
      <c r="L102" s="127" t="str">
        <f t="shared" si="12"/>
        <v>✅ Finalizado</v>
      </c>
      <c r="M102" s="110"/>
      <c r="N102" s="110"/>
    </row>
    <row r="103" ht="21.75" customHeight="1">
      <c r="A103" s="111">
        <f>100</f>
        <v>100</v>
      </c>
      <c r="B103" s="112" t="s">
        <v>138</v>
      </c>
      <c r="C103" s="113" t="str">
        <f t="array" ref="C103">IF(B103="","",IFERROR(INDEX('FUNCIONÁRIOS'!$B$4:$B$501,MATCH(B103,'FUNCIONÁRIOS'!$C$4:$C$501,0)),""))</f>
        <v>UP MUSIC </v>
      </c>
      <c r="D103" s="113" t="str">
        <f t="array" ref="D103">IF(B103="","",IFERROR(INDEX('FUNCIONÁRIOS'!$D$4:$D$501,MATCH(B103,'FUNCIONÁRIOS'!$C$4:$C$501,0)),""))</f>
        <v>PRODUTOR </v>
      </c>
      <c r="E103" s="113" t="str">
        <f t="array" ref="E103">IF(B103="","",IFERROR(INDEX('FUNCIONÁRIOS'!$E$4:$E$501,MATCH(B103,'FUNCIONÁRIOS'!$C$4:$C$501,0)),""))</f>
        <v>NÃO</v>
      </c>
      <c r="F103" s="142">
        <v>45797.0</v>
      </c>
      <c r="G103" s="115" t="str">
        <f t="shared" si="10"/>
        <v>✅ 09:27</v>
      </c>
      <c r="H103" s="116" t="s">
        <v>1610</v>
      </c>
      <c r="I103" s="117" t="str">
        <f t="shared" si="11"/>
        <v>✅ 18:51</v>
      </c>
      <c r="J103" s="116" t="s">
        <v>1602</v>
      </c>
      <c r="K103" s="118">
        <v>0.39166666666666666</v>
      </c>
      <c r="L103" s="127" t="str">
        <f t="shared" si="12"/>
        <v>✅ Finalizado</v>
      </c>
      <c r="M103" s="110"/>
      <c r="N103" s="110"/>
    </row>
    <row r="104" ht="21.75" customHeight="1">
      <c r="A104" s="111">
        <f>101</f>
        <v>101</v>
      </c>
      <c r="B104" s="112" t="s">
        <v>217</v>
      </c>
      <c r="C104" s="123" t="str">
        <f t="array" ref="C104">IF(B104="","",IFERROR(INDEX('FUNCIONÁRIOS'!$B$4:$B$501,MATCH(B104,'FUNCIONÁRIOS'!$C$4:$C$501,0)),""))</f>
        <v>FLASH MED</v>
      </c>
      <c r="D104" s="123" t="str">
        <f t="array" ref="D104">IF(B104="","",IFERROR(INDEX('FUNCIONÁRIOS'!$D$4:$D$501,MATCH(B104,'FUNCIONÁRIOS'!$C$4:$C$501,0)),""))</f>
        <v>PROPRIETÁRIO </v>
      </c>
      <c r="E104" s="123" t="str">
        <f t="array" ref="E104">IF(B104="","",IFERROR(INDEX('FUNCIONÁRIOS'!$E$4:$E$501,MATCH(B104,'FUNCIONÁRIOS'!$C$4:$C$501,0)),""))</f>
        <v>SIM</v>
      </c>
      <c r="F104" s="142">
        <v>45797.0</v>
      </c>
      <c r="G104" s="115" t="str">
        <f t="shared" si="10"/>
        <v>✅ 09:52</v>
      </c>
      <c r="H104" s="116" t="s">
        <v>1611</v>
      </c>
      <c r="I104" s="117" t="str">
        <f t="shared" si="11"/>
        <v>✅ 10:38</v>
      </c>
      <c r="J104" s="116" t="s">
        <v>1612</v>
      </c>
      <c r="K104" s="118">
        <v>0.03194444444444444</v>
      </c>
      <c r="L104" s="127" t="str">
        <f t="shared" si="12"/>
        <v>✅ Finalizado</v>
      </c>
      <c r="M104" s="110"/>
      <c r="N104" s="110"/>
    </row>
    <row r="105" ht="21.75" customHeight="1">
      <c r="A105" s="111">
        <f>102</f>
        <v>102</v>
      </c>
      <c r="B105" s="112" t="s">
        <v>219</v>
      </c>
      <c r="C105" s="113" t="str">
        <f t="array" ref="C105">IF(B105="","",IFERROR(INDEX('FUNCIONÁRIOS'!$B$4:$B$501,MATCH(B105,'FUNCIONÁRIOS'!$C$4:$C$501,0)),""))</f>
        <v>FLASH MED</v>
      </c>
      <c r="D105" s="113" t="str">
        <f t="array" ref="D105">IF(B105="","",IFERROR(INDEX('FUNCIONÁRIOS'!$D$4:$D$501,MATCH(B105,'FUNCIONÁRIOS'!$C$4:$C$501,0)),""))</f>
        <v>PROPRIETÁRIO </v>
      </c>
      <c r="E105" s="113" t="str">
        <f t="array" ref="E105">IF(B105="","",IFERROR(INDEX('FUNCIONÁRIOS'!$E$4:$E$501,MATCH(B105,'FUNCIONÁRIOS'!$C$4:$C$501,0)),""))</f>
        <v>SIM</v>
      </c>
      <c r="F105" s="142">
        <v>45797.0</v>
      </c>
      <c r="G105" s="115" t="str">
        <f t="shared" si="10"/>
        <v>✅ 09:54</v>
      </c>
      <c r="H105" s="116" t="s">
        <v>1613</v>
      </c>
      <c r="I105" s="117" t="str">
        <f t="shared" si="11"/>
        <v>✅ 10:38</v>
      </c>
      <c r="J105" s="116" t="s">
        <v>1612</v>
      </c>
      <c r="K105" s="118">
        <v>0.030555555555555558</v>
      </c>
      <c r="L105" s="127" t="str">
        <f t="shared" si="12"/>
        <v>✅ Finalizado</v>
      </c>
      <c r="M105" s="110"/>
      <c r="N105" s="110"/>
    </row>
    <row r="106" ht="21.75" customHeight="1">
      <c r="A106" s="111">
        <f>103</f>
        <v>103</v>
      </c>
      <c r="B106" s="112" t="s">
        <v>220</v>
      </c>
      <c r="C106" s="123" t="str">
        <f t="array" ref="C106">IF(B106="","",IFERROR(INDEX('FUNCIONÁRIOS'!$B$4:$B$501,MATCH(B106,'FUNCIONÁRIOS'!$C$4:$C$501,0)),""))</f>
        <v>ELEMENT </v>
      </c>
      <c r="D106" s="123" t="str">
        <f t="array" ref="D106">IF(B106="","",IFERROR(INDEX('FUNCIONÁRIOS'!$D$4:$D$501,MATCH(B106,'FUNCIONÁRIOS'!$C$4:$C$501,0)),""))</f>
        <v>PRODUÇÃO </v>
      </c>
      <c r="E106" s="123" t="str">
        <f t="array" ref="E106">IF(B106="","",IFERROR(INDEX('FUNCIONÁRIOS'!$E$4:$E$501,MATCH(B106,'FUNCIONÁRIOS'!$C$4:$C$501,0)),""))</f>
        <v>NÃO</v>
      </c>
      <c r="F106" s="142">
        <v>45797.0</v>
      </c>
      <c r="G106" s="115" t="str">
        <f t="shared" si="10"/>
        <v>✅ 11:53</v>
      </c>
      <c r="H106" s="116" t="s">
        <v>1614</v>
      </c>
      <c r="I106" s="117" t="str">
        <f t="shared" si="11"/>
        <v>✅ 17:00</v>
      </c>
      <c r="J106" s="121">
        <v>0.7083333333333334</v>
      </c>
      <c r="K106" s="139"/>
      <c r="L106" s="127" t="str">
        <f t="shared" si="12"/>
        <v>✅ Finalizado</v>
      </c>
      <c r="M106" s="110"/>
      <c r="N106" s="110"/>
    </row>
    <row r="107" ht="21.75" customHeight="1">
      <c r="A107" s="111">
        <f>104</f>
        <v>104</v>
      </c>
      <c r="B107" s="112" t="s">
        <v>227</v>
      </c>
      <c r="C107" s="143" t="str">
        <f t="array" ref="C107">IF(B107="","",IFERROR(INDEX('FUNCIONÁRIOS'!$B$4:$B$501,MATCH(B107,'FUNCIONÁRIOS'!$C$4:$C$501,0)),""))</f>
        <v>MIX GERADORES</v>
      </c>
      <c r="D107" s="143" t="str">
        <f t="array" ref="D107">IF(B107="","",IFERROR(INDEX('FUNCIONÁRIOS'!$D$4:$D$501,MATCH(B107,'FUNCIONÁRIOS'!$C$4:$C$501,0)),""))</f>
        <v>SUPERVISOR </v>
      </c>
      <c r="E107" s="113" t="str">
        <f t="array" ref="E107">IF(B107="","",IFERROR(INDEX('FUNCIONÁRIOS'!$E$4:$E$501,MATCH(B107,'FUNCIONÁRIOS'!$C$4:$C$501,0)),""))</f>
        <v>SIM</v>
      </c>
      <c r="F107" s="142">
        <v>45797.0</v>
      </c>
      <c r="G107" s="115" t="str">
        <f t="shared" si="10"/>
        <v>✅ 15:10</v>
      </c>
      <c r="H107" s="116" t="s">
        <v>1615</v>
      </c>
      <c r="I107" s="117" t="str">
        <f t="shared" si="11"/>
        <v>✅ 15:37</v>
      </c>
      <c r="J107" s="116" t="s">
        <v>1616</v>
      </c>
      <c r="K107" s="118">
        <v>0.018750000000000044</v>
      </c>
      <c r="L107" s="127" t="str">
        <f t="shared" si="12"/>
        <v>✅ Finalizado</v>
      </c>
      <c r="M107" s="110"/>
      <c r="N107" s="110"/>
    </row>
    <row r="108" ht="21.75" customHeight="1">
      <c r="A108" s="111">
        <f>105</f>
        <v>105</v>
      </c>
      <c r="B108" s="112" t="s">
        <v>196</v>
      </c>
      <c r="C108" s="144" t="str">
        <f t="array" ref="C108">IF(B108="","",IFERROR(INDEX('FUNCIONÁRIOS'!$B$4:$B$501,MATCH(B108,'FUNCIONÁRIOS'!$C$4:$C$501,0)),""))</f>
        <v>ASSOCIAÇÃO ASSUNÇÃO </v>
      </c>
      <c r="D108" s="144" t="str">
        <f t="array" ref="D108">IF(B108="","",IFERROR(INDEX('FUNCIONÁRIOS'!$D$4:$D$501,MATCH(B108,'FUNCIONÁRIOS'!$C$4:$C$501,0)),""))</f>
        <v>ADMINISTRATIVO </v>
      </c>
      <c r="E108" s="123" t="str">
        <f t="array" ref="E108">IF(B108="","",IFERROR(INDEX('FUNCIONÁRIOS'!$E$4:$E$501,MATCH(B108,'FUNCIONÁRIOS'!$C$4:$C$501,0)),""))</f>
        <v>SIM</v>
      </c>
      <c r="F108" s="142">
        <v>45797.0</v>
      </c>
      <c r="G108" s="115" t="str">
        <f t="shared" si="10"/>
        <v>✅ 15:30</v>
      </c>
      <c r="H108" s="116" t="s">
        <v>1617</v>
      </c>
      <c r="I108" s="117" t="str">
        <f t="shared" si="11"/>
        <v>✅ 16:22</v>
      </c>
      <c r="J108" s="116" t="s">
        <v>1618</v>
      </c>
      <c r="K108" s="118">
        <v>0.036111111111111094</v>
      </c>
      <c r="L108" s="127" t="str">
        <f t="shared" si="12"/>
        <v>✅ Finalizado</v>
      </c>
      <c r="M108" s="110"/>
      <c r="N108" s="110"/>
    </row>
    <row r="109" ht="21.75" customHeight="1">
      <c r="A109" s="111">
        <f>106</f>
        <v>106</v>
      </c>
      <c r="B109" s="112" t="s">
        <v>229</v>
      </c>
      <c r="C109" s="143" t="str">
        <f t="array" ref="C109">IF(B109="","",IFERROR(INDEX('FUNCIONÁRIOS'!$B$4:$B$501,MATCH(B109,'FUNCIONÁRIOS'!$C$4:$C$501,0)),""))</f>
        <v>ASSOCIAÇÃO ASSUNÇÃO </v>
      </c>
      <c r="D109" s="143" t="str">
        <f t="array" ref="D109">IF(B109="","",IFERROR(INDEX('FUNCIONÁRIOS'!$D$4:$D$501,MATCH(B109,'FUNCIONÁRIOS'!$C$4:$C$501,0)),""))</f>
        <v>GERENTE </v>
      </c>
      <c r="E109" s="113" t="str">
        <f t="array" ref="E109">IF(B109="","",IFERROR(INDEX('FUNCIONÁRIOS'!$E$4:$E$501,MATCH(B109,'FUNCIONÁRIOS'!$C$4:$C$501,0)),""))</f>
        <v>NÃO</v>
      </c>
      <c r="F109" s="142">
        <v>45797.0</v>
      </c>
      <c r="G109" s="115" t="str">
        <f t="shared" si="10"/>
        <v>✅ 15:30</v>
      </c>
      <c r="H109" s="121">
        <v>0.6458333333333334</v>
      </c>
      <c r="I109" s="117" t="str">
        <f t="shared" si="11"/>
        <v>✅ 16:22</v>
      </c>
      <c r="J109" s="116" t="s">
        <v>1618</v>
      </c>
      <c r="K109" s="118">
        <v>0.036111111111111094</v>
      </c>
      <c r="L109" s="127" t="str">
        <f t="shared" si="12"/>
        <v>✅ Finalizado</v>
      </c>
      <c r="M109" s="110"/>
      <c r="N109" s="110"/>
    </row>
    <row r="110" ht="21.75" customHeight="1">
      <c r="A110" s="111">
        <f>107</f>
        <v>107</v>
      </c>
      <c r="B110" s="112" t="s">
        <v>230</v>
      </c>
      <c r="C110" s="144" t="str">
        <f t="array" ref="C110">IF(B110="","",IFERROR(INDEX('FUNCIONÁRIOS'!$B$4:$B$501,MATCH(B110,'FUNCIONÁRIOS'!$C$4:$C$501,0)),""))</f>
        <v>ASSOCIAÇÃO ASSUNÇÃO </v>
      </c>
      <c r="D110" s="144" t="str">
        <f t="array" ref="D110">IF(B110="","",IFERROR(INDEX('FUNCIONÁRIOS'!$D$4:$D$501,MATCH(B110,'FUNCIONÁRIOS'!$C$4:$C$501,0)),""))</f>
        <v>VIE PRESIDENTE </v>
      </c>
      <c r="E110" s="123" t="str">
        <f t="array" ref="E110">IF(B110="","",IFERROR(INDEX('FUNCIONÁRIOS'!$E$4:$E$501,MATCH(B110,'FUNCIONÁRIOS'!$C$4:$C$501,0)),""))</f>
        <v>NÃO</v>
      </c>
      <c r="F110" s="142">
        <v>45797.0</v>
      </c>
      <c r="G110" s="115" t="str">
        <f t="shared" si="10"/>
        <v>✅ 15:30</v>
      </c>
      <c r="H110" s="121">
        <v>0.6458333333333334</v>
      </c>
      <c r="I110" s="117" t="str">
        <f t="shared" si="11"/>
        <v>✅ 16:07</v>
      </c>
      <c r="J110" s="121">
        <v>0.6715277777777777</v>
      </c>
      <c r="K110" s="126">
        <f>IF(AND(H110&lt;&gt;"",J110&lt;&gt;""),J110-H110,"")</f>
        <v>0.02569444444</v>
      </c>
      <c r="L110" s="127" t="str">
        <f t="shared" si="12"/>
        <v>✅ Finalizado</v>
      </c>
      <c r="M110" s="110"/>
      <c r="N110" s="110"/>
    </row>
    <row r="111" ht="21.75" customHeight="1">
      <c r="A111" s="111">
        <f>108</f>
        <v>108</v>
      </c>
      <c r="B111" s="112" t="s">
        <v>180</v>
      </c>
      <c r="C111" s="143" t="str">
        <f t="array" ref="C111">IF(B111="","",IFERROR(INDEX('FUNCIONÁRIOS'!$B$4:$B$501,MATCH(B111,'FUNCIONÁRIOS'!$C$4:$C$501,0)),""))</f>
        <v>TJ SERVIÇOS</v>
      </c>
      <c r="D111" s="143" t="str">
        <f t="array" ref="D111">IF(B111="","",IFERROR(INDEX('FUNCIONÁRIOS'!$D$4:$D$501,MATCH(B111,'FUNCIONÁRIOS'!$C$4:$C$501,0)),""))</f>
        <v>COORDENADOR/CEO</v>
      </c>
      <c r="E111" s="113" t="str">
        <f t="array" ref="E111">IF(B111="","",IFERROR(INDEX('FUNCIONÁRIOS'!$E$4:$E$501,MATCH(B111,'FUNCIONÁRIOS'!$C$4:$C$501,0)),""))</f>
        <v>SIM</v>
      </c>
      <c r="F111" s="142">
        <v>45797.0</v>
      </c>
      <c r="G111" s="115" t="str">
        <f t="shared" si="10"/>
        <v>✅ 15:34</v>
      </c>
      <c r="H111" s="116" t="s">
        <v>1619</v>
      </c>
      <c r="I111" s="117" t="str">
        <f t="shared" si="11"/>
        <v>✅ 16:07</v>
      </c>
      <c r="J111" s="116" t="s">
        <v>1620</v>
      </c>
      <c r="K111" s="118">
        <v>0.022916666666666585</v>
      </c>
      <c r="L111" s="127" t="str">
        <f t="shared" si="12"/>
        <v>✅ Finalizado</v>
      </c>
      <c r="M111" s="110"/>
      <c r="N111" s="110"/>
    </row>
    <row r="112" ht="21.75" customHeight="1">
      <c r="A112" s="111">
        <f>109</f>
        <v>109</v>
      </c>
      <c r="B112" s="112" t="s">
        <v>182</v>
      </c>
      <c r="C112" s="144" t="str">
        <f t="array" ref="C112">IF(B112="","",IFERROR(INDEX('FUNCIONÁRIOS'!$B$4:$B$501,MATCH(B112,'FUNCIONÁRIOS'!$C$4:$C$501,0)),""))</f>
        <v>TJ SERVIÇOS</v>
      </c>
      <c r="D112" s="144" t="str">
        <f t="array" ref="D112">IF(B112="","",IFERROR(INDEX('FUNCIONÁRIOS'!$D$4:$D$501,MATCH(B112,'FUNCIONÁRIOS'!$C$4:$C$501,0)),""))</f>
        <v>COORDENADOR/CEO</v>
      </c>
      <c r="E112" s="123" t="str">
        <f t="array" ref="E112">IF(B112="","",IFERROR(INDEX('FUNCIONÁRIOS'!$E$4:$E$501,MATCH(B112,'FUNCIONÁRIOS'!$C$4:$C$501,0)),""))</f>
        <v>SIM</v>
      </c>
      <c r="F112" s="142">
        <v>45797.0</v>
      </c>
      <c r="G112" s="115" t="str">
        <f t="shared" si="10"/>
        <v>✅ 15:34</v>
      </c>
      <c r="H112" s="116" t="s">
        <v>1619</v>
      </c>
      <c r="I112" s="117" t="str">
        <f t="shared" si="11"/>
        <v>✅ 16:07</v>
      </c>
      <c r="J112" s="121">
        <v>0.6715277777777777</v>
      </c>
      <c r="K112" s="139"/>
      <c r="L112" s="127" t="str">
        <f t="shared" si="12"/>
        <v>✅ Finalizado</v>
      </c>
      <c r="M112" s="110"/>
      <c r="N112" s="110"/>
    </row>
    <row r="113" ht="21.75" customHeight="1">
      <c r="A113" s="111"/>
      <c r="B113" s="145"/>
      <c r="C113" s="140"/>
      <c r="D113" s="140"/>
      <c r="E113" s="130"/>
      <c r="F113" s="146"/>
      <c r="G113" s="132"/>
      <c r="H113" s="141"/>
      <c r="I113" s="134"/>
      <c r="J113" s="141"/>
      <c r="K113" s="147"/>
      <c r="L113" s="137"/>
      <c r="M113" s="110"/>
      <c r="N113" s="110"/>
    </row>
    <row r="114" ht="21.75" customHeight="1">
      <c r="A114" s="111"/>
      <c r="B114" s="112" t="s">
        <v>96</v>
      </c>
      <c r="C114" s="113" t="str">
        <f t="array" ref="C114">IF(B114="","",IFERROR(INDEX('FUNCIONÁRIOS'!$B$4:$B$501,MATCH(B114,'FUNCIONÁRIOS'!$C$4:$C$501,0)),""))</f>
        <v>PONCIANO SOLUÇÕES </v>
      </c>
      <c r="D114" s="113" t="str">
        <f t="array" ref="D114">IF(B114="","",IFERROR(INDEX('FUNCIONÁRIOS'!$D$4:$D$501,MATCH(B114,'FUNCIONÁRIOS'!$C$4:$C$501,0)),""))</f>
        <v>CREDENCIAMENTO</v>
      </c>
      <c r="E114" s="113" t="str">
        <f t="array" ref="E114">IF(B114="","",IFERROR(INDEX('FUNCIONÁRIOS'!$E$4:$E$501,MATCH(B114,'FUNCIONÁRIOS'!$C$4:$C$501,0)),""))</f>
        <v>NÃO</v>
      </c>
      <c r="F114" s="138">
        <v>46163.0</v>
      </c>
      <c r="G114" s="115" t="str">
        <f t="shared" ref="G114:G222" si="13">IF(H114&lt;&gt;"","✅ "&amp;TEXT(H114,"HH:MM"),"→ Selecione a linha e use o menu ⏱️ Ponto")</f>
        <v>✅ 07:50</v>
      </c>
      <c r="H114" s="121">
        <v>0.3263888888888889</v>
      </c>
      <c r="I114" s="117" t="str">
        <f t="shared" ref="I114:I222" si="14">IF(J114&lt;&gt;"","✅ "&amp;TEXT(J114,"HH:MM"),"→ Selecione a linha e use o menu ⏱️ Ponto")</f>
        <v>✅ 18:25</v>
      </c>
      <c r="J114" s="121">
        <v>0.7673611111111112</v>
      </c>
      <c r="K114" s="126">
        <f>IF(AND(H114&lt;&gt;"",J114&lt;&gt;""),J114-H114,"")</f>
        <v>0.4409722222</v>
      </c>
      <c r="L114" s="127" t="str">
        <f t="shared" ref="L114:L222" si="15">IF(AND(H114&lt;&gt;"",J114=""),"🟢 No Evento",IF(AND(H114&lt;&gt;"",J114&lt;&gt;""),"✅ Finalizado",IF(B114&lt;&gt;"","⏳ Não entrou","")))</f>
        <v>✅ Finalizado</v>
      </c>
      <c r="M114" s="110"/>
      <c r="N114" s="110"/>
    </row>
    <row r="115" ht="21.75" customHeight="1">
      <c r="A115" s="111">
        <f>110</f>
        <v>110</v>
      </c>
      <c r="B115" s="112" t="s">
        <v>140</v>
      </c>
      <c r="C115" s="113" t="str">
        <f t="array" ref="C115">IF(B115="","",IFERROR(INDEX('FUNCIONÁRIOS'!$B$4:$B$501,MATCH(B115,'FUNCIONÁRIOS'!$C$4:$C$501,0)),""))</f>
        <v>BIGODE </v>
      </c>
      <c r="D115" s="113" t="str">
        <f t="array" ref="D115">IF(B115="","",IFERROR(INDEX('FUNCIONÁRIOS'!$D$4:$D$501,MATCH(B115,'FUNCIONÁRIOS'!$C$4:$C$501,0)),""))</f>
        <v>CONTROLE DE ACESSO</v>
      </c>
      <c r="E115" s="113" t="str">
        <f t="array" ref="E115">IF(B115="","",IFERROR(INDEX('FUNCIONÁRIOS'!$E$4:$E$501,MATCH(B115,'FUNCIONÁRIOS'!$C$4:$C$501,0)),""))</f>
        <v>NÃO</v>
      </c>
      <c r="F115" s="138">
        <v>46163.0</v>
      </c>
      <c r="G115" s="115" t="str">
        <f t="shared" si="13"/>
        <v>✅ 08:03</v>
      </c>
      <c r="H115" s="116" t="s">
        <v>1621</v>
      </c>
      <c r="I115" s="117" t="str">
        <f t="shared" si="14"/>
        <v>✅ 18:25</v>
      </c>
      <c r="J115" s="121">
        <v>0.7673611111111112</v>
      </c>
      <c r="K115" s="148"/>
      <c r="L115" s="127" t="str">
        <f t="shared" si="15"/>
        <v>✅ Finalizado</v>
      </c>
      <c r="M115" s="110"/>
      <c r="N115" s="110"/>
    </row>
    <row r="116" ht="21.75" customHeight="1">
      <c r="A116" s="111">
        <f>111</f>
        <v>111</v>
      </c>
      <c r="B116" s="112" t="s">
        <v>142</v>
      </c>
      <c r="C116" s="123" t="str">
        <f t="array" ref="C116">IF(B116="","",IFERROR(INDEX('FUNCIONÁRIOS'!$B$4:$B$501,MATCH(B116,'FUNCIONÁRIOS'!$C$4:$C$501,0)),""))</f>
        <v>BIGODE </v>
      </c>
      <c r="D116" s="123" t="str">
        <f t="array" ref="D116">IF(B116="","",IFERROR(INDEX('FUNCIONÁRIOS'!$D$4:$D$501,MATCH(B116,'FUNCIONÁRIOS'!$C$4:$C$501,0)),""))</f>
        <v>CONTROLE DE ACESSO</v>
      </c>
      <c r="E116" s="123" t="str">
        <f t="array" ref="E116">IF(B116="","",IFERROR(INDEX('FUNCIONÁRIOS'!$E$4:$E$501,MATCH(B116,'FUNCIONÁRIOS'!$C$4:$C$501,0)),""))</f>
        <v>NÃO</v>
      </c>
      <c r="F116" s="138">
        <v>46163.0</v>
      </c>
      <c r="G116" s="115" t="str">
        <f t="shared" si="13"/>
        <v>✅ 08:03</v>
      </c>
      <c r="H116" s="116" t="s">
        <v>1621</v>
      </c>
      <c r="I116" s="117" t="str">
        <f t="shared" si="14"/>
        <v>✅ 18:25</v>
      </c>
      <c r="J116" s="121">
        <v>0.7673611111111112</v>
      </c>
      <c r="K116" s="148"/>
      <c r="L116" s="127" t="str">
        <f t="shared" si="15"/>
        <v>✅ Finalizado</v>
      </c>
      <c r="M116" s="110"/>
      <c r="N116" s="110"/>
    </row>
    <row r="117" ht="21.75" customHeight="1">
      <c r="A117" s="111">
        <f>112</f>
        <v>112</v>
      </c>
      <c r="B117" s="112" t="s">
        <v>185</v>
      </c>
      <c r="C117" s="113" t="str">
        <f t="array" ref="C117">IF(B117="","",IFERROR(INDEX('FUNCIONÁRIOS'!$B$4:$B$501,MATCH(B117,'FUNCIONÁRIOS'!$C$4:$C$501,0)),""))</f>
        <v>MONTE EVENTOS </v>
      </c>
      <c r="D117" s="113" t="str">
        <f t="array" ref="D117">IF(B117="","",IFERROR(INDEX('FUNCIONÁRIOS'!$D$4:$D$501,MATCH(B117,'FUNCIONÁRIOS'!$C$4:$C$501,0)),""))</f>
        <v>montador </v>
      </c>
      <c r="E117" s="113" t="str">
        <f t="array" ref="E117">IF(B117="","",IFERROR(INDEX('FUNCIONÁRIOS'!$E$4:$E$501,MATCH(B117,'FUNCIONÁRIOS'!$C$4:$C$501,0)),""))</f>
        <v>NÃO</v>
      </c>
      <c r="F117" s="138">
        <v>46163.0</v>
      </c>
      <c r="G117" s="115" t="str">
        <f t="shared" si="13"/>
        <v>✅ 08:06</v>
      </c>
      <c r="H117" s="116" t="s">
        <v>1622</v>
      </c>
      <c r="I117" s="117" t="str">
        <f t="shared" si="14"/>
        <v>✅ 18:25</v>
      </c>
      <c r="J117" s="121">
        <v>0.7673611111111112</v>
      </c>
      <c r="K117" s="148"/>
      <c r="L117" s="127" t="str">
        <f t="shared" si="15"/>
        <v>✅ Finalizado</v>
      </c>
      <c r="M117" s="110"/>
      <c r="N117" s="110"/>
    </row>
    <row r="118" ht="21.75" customHeight="1">
      <c r="A118" s="111">
        <f>113</f>
        <v>113</v>
      </c>
      <c r="B118" s="112" t="s">
        <v>118</v>
      </c>
      <c r="C118" s="123" t="str">
        <f t="array" ref="C118">IF(B118="","",IFERROR(INDEX('FUNCIONÁRIOS'!$B$4:$B$501,MATCH(B118,'FUNCIONÁRIOS'!$C$4:$C$501,0)),""))</f>
        <v>MONTE EVENTOS </v>
      </c>
      <c r="D118" s="123" t="str">
        <f t="array" ref="D118">IF(B118="","",IFERROR(INDEX('FUNCIONÁRIOS'!$D$4:$D$501,MATCH(B118,'FUNCIONÁRIOS'!$C$4:$C$501,0)),""))</f>
        <v>MONTADOR</v>
      </c>
      <c r="E118" s="123" t="str">
        <f t="array" ref="E118">IF(B118="","",IFERROR(INDEX('FUNCIONÁRIOS'!$E$4:$E$501,MATCH(B118,'FUNCIONÁRIOS'!$C$4:$C$501,0)),""))</f>
        <v>NÃO</v>
      </c>
      <c r="F118" s="138">
        <v>46163.0</v>
      </c>
      <c r="G118" s="115" t="str">
        <f t="shared" si="13"/>
        <v>✅ 08:06</v>
      </c>
      <c r="H118" s="116" t="s">
        <v>1622</v>
      </c>
      <c r="I118" s="117" t="str">
        <f t="shared" si="14"/>
        <v>✅ 18:25</v>
      </c>
      <c r="J118" s="121">
        <v>0.7673611111111112</v>
      </c>
      <c r="K118" s="148"/>
      <c r="L118" s="127" t="str">
        <f t="shared" si="15"/>
        <v>✅ Finalizado</v>
      </c>
      <c r="M118" s="110"/>
      <c r="N118" s="110"/>
    </row>
    <row r="119" ht="21.75" customHeight="1">
      <c r="A119" s="111">
        <f>114</f>
        <v>114</v>
      </c>
      <c r="B119" s="112" t="s">
        <v>100</v>
      </c>
      <c r="C119" s="113" t="str">
        <f t="array" ref="C119">IF(B119="","",IFERROR(INDEX('FUNCIONÁRIOS'!$B$4:$B$501,MATCH(B119,'FUNCIONÁRIOS'!$C$4:$C$501,0)),""))</f>
        <v>MONTE EVENTOS </v>
      </c>
      <c r="D119" s="113" t="str">
        <f t="array" ref="D119">IF(B119="","",IFERROR(INDEX('FUNCIONÁRIOS'!$D$4:$D$501,MATCH(B119,'FUNCIONÁRIOS'!$C$4:$C$501,0)),""))</f>
        <v>MONTADOR</v>
      </c>
      <c r="E119" s="113" t="str">
        <f t="array" ref="E119">IF(B119="","",IFERROR(INDEX('FUNCIONÁRIOS'!$E$4:$E$501,MATCH(B119,'FUNCIONÁRIOS'!$C$4:$C$501,0)),""))</f>
        <v>NÃO</v>
      </c>
      <c r="F119" s="138">
        <v>46163.0</v>
      </c>
      <c r="G119" s="115" t="str">
        <f t="shared" si="13"/>
        <v>✅ 08:06</v>
      </c>
      <c r="H119" s="116" t="s">
        <v>1622</v>
      </c>
      <c r="I119" s="117" t="str">
        <f t="shared" si="14"/>
        <v>✅ 18:25</v>
      </c>
      <c r="J119" s="121">
        <v>0.7673611111111112</v>
      </c>
      <c r="K119" s="149"/>
      <c r="L119" s="127" t="str">
        <f t="shared" si="15"/>
        <v>✅ Finalizado</v>
      </c>
      <c r="M119" s="110"/>
      <c r="N119" s="110"/>
    </row>
    <row r="120" ht="21.75" customHeight="1">
      <c r="A120" s="111">
        <f>115</f>
        <v>115</v>
      </c>
      <c r="B120" s="112" t="s">
        <v>124</v>
      </c>
      <c r="C120" s="123" t="str">
        <f t="array" ref="C120">IF(B120="","",IFERROR(INDEX('FUNCIONÁRIOS'!$B$4:$B$501,MATCH(B120,'FUNCIONÁRIOS'!$C$4:$C$501,0)),""))</f>
        <v>MONTE EVENTOS </v>
      </c>
      <c r="D120" s="123" t="str">
        <f t="array" ref="D120">IF(B120="","",IFERROR(INDEX('FUNCIONÁRIOS'!$D$4:$D$501,MATCH(B120,'FUNCIONÁRIOS'!$C$4:$C$501,0)),""))</f>
        <v>MONTADOR</v>
      </c>
      <c r="E120" s="123" t="str">
        <f t="array" ref="E120">IF(B120="","",IFERROR(INDEX('FUNCIONÁRIOS'!$E$4:$E$501,MATCH(B120,'FUNCIONÁRIOS'!$C$4:$C$501,0)),""))</f>
        <v>NÃO</v>
      </c>
      <c r="F120" s="138">
        <v>46163.0</v>
      </c>
      <c r="G120" s="115" t="str">
        <f t="shared" si="13"/>
        <v>✅ 08:07</v>
      </c>
      <c r="H120" s="116" t="s">
        <v>1623</v>
      </c>
      <c r="I120" s="117" t="str">
        <f t="shared" si="14"/>
        <v>✅ 18:25</v>
      </c>
      <c r="J120" s="121">
        <v>0.7673611111111112</v>
      </c>
      <c r="K120" s="149"/>
      <c r="L120" s="127" t="str">
        <f t="shared" si="15"/>
        <v>✅ Finalizado</v>
      </c>
      <c r="M120" s="110"/>
      <c r="N120" s="110"/>
    </row>
    <row r="121" ht="21.75" customHeight="1">
      <c r="A121" s="111">
        <f>116</f>
        <v>116</v>
      </c>
      <c r="B121" s="112" t="s">
        <v>232</v>
      </c>
      <c r="C121" s="113" t="str">
        <f t="array" ref="C121">IF(B121="","",IFERROR(INDEX('FUNCIONÁRIOS'!$B$4:$B$501,MATCH(B121,'FUNCIONÁRIOS'!$C$4:$C$501,0)),""))</f>
        <v>UP MUSIC </v>
      </c>
      <c r="D121" s="113" t="str">
        <f t="array" ref="D121">IF(B121="","",IFERROR(INDEX('FUNCIONÁRIOS'!$D$4:$D$501,MATCH(B121,'FUNCIONÁRIOS'!$C$4:$C$501,0)),""))</f>
        <v>PRODUTOR GERAL </v>
      </c>
      <c r="E121" s="113" t="str">
        <f t="array" ref="E121">IF(B121="","",IFERROR(INDEX('FUNCIONÁRIOS'!$E$4:$E$501,MATCH(B121,'FUNCIONÁRIOS'!$C$4:$C$501,0)),""))</f>
        <v>SIM</v>
      </c>
      <c r="F121" s="138">
        <v>46163.0</v>
      </c>
      <c r="G121" s="115" t="str">
        <f t="shared" si="13"/>
        <v>✅ 08:08</v>
      </c>
      <c r="H121" s="116" t="s">
        <v>1624</v>
      </c>
      <c r="I121" s="117" t="str">
        <f t="shared" si="14"/>
        <v>✅ 18:25</v>
      </c>
      <c r="J121" s="121">
        <v>0.7673611111111112</v>
      </c>
      <c r="K121" s="149">
        <f t="shared" ref="K121:K125" si="16">IF(AND(H121&lt;&gt;"",J121&lt;&gt;""),J121-H121,"")</f>
        <v>0.4284722222</v>
      </c>
      <c r="L121" s="127" t="str">
        <f t="shared" si="15"/>
        <v>✅ Finalizado</v>
      </c>
      <c r="M121" s="110"/>
      <c r="N121" s="110"/>
    </row>
    <row r="122" ht="21.75" customHeight="1">
      <c r="A122" s="111">
        <f>117</f>
        <v>117</v>
      </c>
      <c r="B122" s="112" t="s">
        <v>143</v>
      </c>
      <c r="C122" s="123" t="str">
        <f t="array" ref="C122">IF(B122="","",IFERROR(INDEX('FUNCIONÁRIOS'!$B$4:$B$501,MATCH(B122,'FUNCIONÁRIOS'!$C$4:$C$501,0)),""))</f>
        <v/>
      </c>
      <c r="D122" s="123" t="str">
        <f t="array" ref="D122">IF(B122="","",IFERROR(INDEX('FUNCIONÁRIOS'!$D$4:$D$501,MATCH(B122,'FUNCIONÁRIOS'!$C$4:$C$501,0)),""))</f>
        <v>OPERADOR DE EMPILHADEIRA </v>
      </c>
      <c r="E122" s="123" t="str">
        <f t="array" ref="E122">IF(B122="","",IFERROR(INDEX('FUNCIONÁRIOS'!$E$4:$E$501,MATCH(B122,'FUNCIONÁRIOS'!$C$4:$C$501,0)),""))</f>
        <v>NÃO</v>
      </c>
      <c r="F122" s="138">
        <v>46163.0</v>
      </c>
      <c r="G122" s="115" t="str">
        <f t="shared" si="13"/>
        <v>✅ 08:09</v>
      </c>
      <c r="H122" s="116" t="s">
        <v>1625</v>
      </c>
      <c r="I122" s="117" t="str">
        <f t="shared" si="14"/>
        <v>✅ 18:25</v>
      </c>
      <c r="J122" s="121">
        <v>0.7673611111111112</v>
      </c>
      <c r="K122" s="149">
        <f t="shared" si="16"/>
        <v>0.4277777778</v>
      </c>
      <c r="L122" s="127" t="str">
        <f t="shared" si="15"/>
        <v>✅ Finalizado</v>
      </c>
      <c r="M122" s="110"/>
      <c r="N122" s="110"/>
    </row>
    <row r="123" ht="21.75" customHeight="1">
      <c r="A123" s="111">
        <f>118</f>
        <v>118</v>
      </c>
      <c r="B123" s="112" t="s">
        <v>220</v>
      </c>
      <c r="C123" s="113" t="str">
        <f t="array" ref="C123">IF(B123="","",IFERROR(INDEX('FUNCIONÁRIOS'!$B$4:$B$501,MATCH(B123,'FUNCIONÁRIOS'!$C$4:$C$501,0)),""))</f>
        <v>ELEMENT </v>
      </c>
      <c r="D123" s="113" t="str">
        <f t="array" ref="D123">IF(B123="","",IFERROR(INDEX('FUNCIONÁRIOS'!$D$4:$D$501,MATCH(B123,'FUNCIONÁRIOS'!$C$4:$C$501,0)),""))</f>
        <v>PRODUÇÃO </v>
      </c>
      <c r="E123" s="113" t="str">
        <f t="array" ref="E123">IF(B123="","",IFERROR(INDEX('FUNCIONÁRIOS'!$E$4:$E$501,MATCH(B123,'FUNCIONÁRIOS'!$C$4:$C$501,0)),""))</f>
        <v>NÃO</v>
      </c>
      <c r="F123" s="138">
        <v>46163.0</v>
      </c>
      <c r="G123" s="115" t="str">
        <f t="shared" si="13"/>
        <v>✅ 08:09</v>
      </c>
      <c r="H123" s="116" t="s">
        <v>1625</v>
      </c>
      <c r="I123" s="117" t="str">
        <f t="shared" si="14"/>
        <v>✅ 18:25</v>
      </c>
      <c r="J123" s="121">
        <v>0.7673611111111112</v>
      </c>
      <c r="K123" s="149">
        <f t="shared" si="16"/>
        <v>0.4277777778</v>
      </c>
      <c r="L123" s="127" t="str">
        <f t="shared" si="15"/>
        <v>✅ Finalizado</v>
      </c>
      <c r="M123" s="110"/>
      <c r="N123" s="110"/>
    </row>
    <row r="124" ht="21.75" customHeight="1">
      <c r="A124" s="111">
        <f>119</f>
        <v>119</v>
      </c>
      <c r="B124" s="112" t="s">
        <v>200</v>
      </c>
      <c r="C124" s="123" t="str">
        <f t="array" ref="C124">IF(B124="","",IFERROR(INDEX('FUNCIONÁRIOS'!$B$4:$B$501,MATCH(B124,'FUNCIONÁRIOS'!$C$4:$C$501,0)),""))</f>
        <v>FLASH MED</v>
      </c>
      <c r="D124" s="123" t="str">
        <f t="array" ref="D124">IF(B124="","",IFERROR(INDEX('FUNCIONÁRIOS'!$D$4:$D$501,MATCH(B124,'FUNCIONÁRIOS'!$C$4:$C$501,0)),""))</f>
        <v>ENFERMAGEM </v>
      </c>
      <c r="E124" s="123" t="str">
        <f t="array" ref="E124">IF(B124="","",IFERROR(INDEX('FUNCIONÁRIOS'!$E$4:$E$501,MATCH(B124,'FUNCIONÁRIOS'!$C$4:$C$501,0)),""))</f>
        <v>NÃO</v>
      </c>
      <c r="F124" s="138">
        <v>46163.0</v>
      </c>
      <c r="G124" s="115" t="str">
        <f t="shared" si="13"/>
        <v>✅ 08:09</v>
      </c>
      <c r="H124" s="116" t="s">
        <v>1625</v>
      </c>
      <c r="I124" s="117" t="str">
        <f t="shared" si="14"/>
        <v>✅ 18:25</v>
      </c>
      <c r="J124" s="121">
        <v>0.7673611111111112</v>
      </c>
      <c r="K124" s="149">
        <f t="shared" si="16"/>
        <v>0.4277777778</v>
      </c>
      <c r="L124" s="127" t="str">
        <f t="shared" si="15"/>
        <v>✅ Finalizado</v>
      </c>
      <c r="M124" s="110"/>
      <c r="N124" s="110"/>
    </row>
    <row r="125" ht="21.75" customHeight="1">
      <c r="A125" s="111">
        <f>120</f>
        <v>120</v>
      </c>
      <c r="B125" s="112" t="s">
        <v>206</v>
      </c>
      <c r="C125" s="113" t="str">
        <f t="array" ref="C125">IF(B125="","",IFERROR(INDEX('FUNCIONÁRIOS'!$B$4:$B$501,MATCH(B125,'FUNCIONÁRIOS'!$C$4:$C$501,0)),""))</f>
        <v>FLASH MED</v>
      </c>
      <c r="D125" s="113" t="str">
        <f t="array" ref="D125">IF(B125="","",IFERROR(INDEX('FUNCIONÁRIOS'!$D$4:$D$501,MATCH(B125,'FUNCIONÁRIOS'!$C$4:$C$501,0)),""))</f>
        <v>SOCORRISTA </v>
      </c>
      <c r="E125" s="113" t="str">
        <f t="array" ref="E125">IF(B125="","",IFERROR(INDEX('FUNCIONÁRIOS'!$E$4:$E$501,MATCH(B125,'FUNCIONÁRIOS'!$C$4:$C$501,0)),""))</f>
        <v>NÃO</v>
      </c>
      <c r="F125" s="138">
        <v>46163.0</v>
      </c>
      <c r="G125" s="115" t="str">
        <f t="shared" si="13"/>
        <v>✅ 08:10</v>
      </c>
      <c r="H125" s="116" t="s">
        <v>1626</v>
      </c>
      <c r="I125" s="117" t="str">
        <f t="shared" si="14"/>
        <v>✅ 18:25</v>
      </c>
      <c r="J125" s="121">
        <v>0.7673611111111112</v>
      </c>
      <c r="K125" s="149">
        <f t="shared" si="16"/>
        <v>0.4270833333</v>
      </c>
      <c r="L125" s="127" t="str">
        <f t="shared" si="15"/>
        <v>✅ Finalizado</v>
      </c>
      <c r="M125" s="110"/>
      <c r="N125" s="110"/>
    </row>
    <row r="126" ht="21.75" customHeight="1">
      <c r="A126" s="111">
        <f>121</f>
        <v>121</v>
      </c>
      <c r="B126" s="112" t="s">
        <v>123</v>
      </c>
      <c r="C126" s="123" t="str">
        <f t="array" ref="C126">IF(B126="","",IFERROR(INDEX('FUNCIONÁRIOS'!$B$4:$B$501,MATCH(B126,'FUNCIONÁRIOS'!$C$4:$C$501,0)),""))</f>
        <v>MONTE EVENTOS </v>
      </c>
      <c r="D126" s="123" t="str">
        <f t="array" ref="D126">IF(B126="","",IFERROR(INDEX('FUNCIONÁRIOS'!$D$4:$D$501,MATCH(B126,'FUNCIONÁRIOS'!$C$4:$C$501,0)),""))</f>
        <v>MONTADOR</v>
      </c>
      <c r="E126" s="123" t="str">
        <f t="array" ref="E126">IF(B126="","",IFERROR(INDEX('FUNCIONÁRIOS'!$E$4:$E$501,MATCH(B126,'FUNCIONÁRIOS'!$C$4:$C$501,0)),""))</f>
        <v>NÃO</v>
      </c>
      <c r="F126" s="138">
        <v>46163.0</v>
      </c>
      <c r="G126" s="115" t="str">
        <f t="shared" si="13"/>
        <v>✅ 08:10</v>
      </c>
      <c r="H126" s="116" t="s">
        <v>1626</v>
      </c>
      <c r="I126" s="117" t="str">
        <f t="shared" si="14"/>
        <v>✅ 18:25</v>
      </c>
      <c r="J126" s="121">
        <v>0.7673611111111112</v>
      </c>
      <c r="K126" s="139"/>
      <c r="L126" s="127" t="str">
        <f t="shared" si="15"/>
        <v>✅ Finalizado</v>
      </c>
      <c r="M126" s="110"/>
      <c r="N126" s="110"/>
    </row>
    <row r="127" ht="21.75" customHeight="1">
      <c r="A127" s="111">
        <f>122</f>
        <v>122</v>
      </c>
      <c r="B127" s="112" t="s">
        <v>119</v>
      </c>
      <c r="C127" s="113" t="str">
        <f t="array" ref="C127">IF(B127="","",IFERROR(INDEX('FUNCIONÁRIOS'!$B$4:$B$501,MATCH(B127,'FUNCIONÁRIOS'!$C$4:$C$501,0)),""))</f>
        <v>MONTE EVENTOS </v>
      </c>
      <c r="D127" s="113" t="str">
        <f t="array" ref="D127">IF(B127="","",IFERROR(INDEX('FUNCIONÁRIOS'!$D$4:$D$501,MATCH(B127,'FUNCIONÁRIOS'!$C$4:$C$501,0)),""))</f>
        <v>MONTADOR</v>
      </c>
      <c r="E127" s="113" t="str">
        <f t="array" ref="E127">IF(B127="","",IFERROR(INDEX('FUNCIONÁRIOS'!$E$4:$E$501,MATCH(B127,'FUNCIONÁRIOS'!$C$4:$C$501,0)),""))</f>
        <v>NÃO</v>
      </c>
      <c r="F127" s="138">
        <v>46163.0</v>
      </c>
      <c r="G127" s="115" t="str">
        <f t="shared" si="13"/>
        <v>✅ 08:11</v>
      </c>
      <c r="H127" s="116" t="s">
        <v>1627</v>
      </c>
      <c r="I127" s="117" t="str">
        <f t="shared" si="14"/>
        <v>✅ 18:25</v>
      </c>
      <c r="J127" s="121">
        <v>0.7673611111111112</v>
      </c>
      <c r="K127" s="139"/>
      <c r="L127" s="127" t="str">
        <f t="shared" si="15"/>
        <v>✅ Finalizado</v>
      </c>
      <c r="M127" s="110"/>
      <c r="N127" s="110"/>
    </row>
    <row r="128" ht="21.75" customHeight="1">
      <c r="A128" s="111">
        <f>123</f>
        <v>123</v>
      </c>
      <c r="B128" s="112" t="s">
        <v>125</v>
      </c>
      <c r="C128" s="123" t="str">
        <f t="array" ref="C128">IF(B128="","",IFERROR(INDEX('FUNCIONÁRIOS'!$B$4:$B$501,MATCH(B128,'FUNCIONÁRIOS'!$C$4:$C$501,0)),""))</f>
        <v>MONTE EVENTOS </v>
      </c>
      <c r="D128" s="123" t="str">
        <f t="array" ref="D128">IF(B128="","",IFERROR(INDEX('FUNCIONÁRIOS'!$D$4:$D$501,MATCH(B128,'FUNCIONÁRIOS'!$C$4:$C$501,0)),""))</f>
        <v>MONTADOR</v>
      </c>
      <c r="E128" s="123" t="str">
        <f t="array" ref="E128">IF(B128="","",IFERROR(INDEX('FUNCIONÁRIOS'!$E$4:$E$501,MATCH(B128,'FUNCIONÁRIOS'!$C$4:$C$501,0)),""))</f>
        <v>NÃO</v>
      </c>
      <c r="F128" s="138">
        <v>46163.0</v>
      </c>
      <c r="G128" s="115" t="str">
        <f t="shared" si="13"/>
        <v>✅ 08:11</v>
      </c>
      <c r="H128" s="116" t="s">
        <v>1627</v>
      </c>
      <c r="I128" s="117" t="str">
        <f t="shared" si="14"/>
        <v>✅ 18;25</v>
      </c>
      <c r="J128" s="150" t="s">
        <v>1628</v>
      </c>
      <c r="K128" s="139"/>
      <c r="L128" s="127" t="str">
        <f t="shared" si="15"/>
        <v>✅ Finalizado</v>
      </c>
      <c r="M128" s="110"/>
      <c r="N128" s="110"/>
    </row>
    <row r="129" ht="21.75" customHeight="1">
      <c r="A129" s="111">
        <f>124</f>
        <v>124</v>
      </c>
      <c r="B129" s="112" t="s">
        <v>122</v>
      </c>
      <c r="C129" s="113" t="str">
        <f t="array" ref="C129">IF(B129="","",IFERROR(INDEX('FUNCIONÁRIOS'!$B$4:$B$501,MATCH(B129,'FUNCIONÁRIOS'!$C$4:$C$501,0)),""))</f>
        <v>MONTE EVENTOS </v>
      </c>
      <c r="D129" s="113" t="str">
        <f t="array" ref="D129">IF(B129="","",IFERROR(INDEX('FUNCIONÁRIOS'!$D$4:$D$501,MATCH(B129,'FUNCIONÁRIOS'!$C$4:$C$501,0)),""))</f>
        <v>MONTADOR</v>
      </c>
      <c r="E129" s="113" t="str">
        <f t="array" ref="E129">IF(B129="","",IFERROR(INDEX('FUNCIONÁRIOS'!$E$4:$E$501,MATCH(B129,'FUNCIONÁRIOS'!$C$4:$C$501,0)),""))</f>
        <v>NÃO</v>
      </c>
      <c r="F129" s="138">
        <v>46163.0</v>
      </c>
      <c r="G129" s="115" t="str">
        <f t="shared" si="13"/>
        <v>✅ 08:11</v>
      </c>
      <c r="H129" s="116" t="s">
        <v>1627</v>
      </c>
      <c r="I129" s="117" t="str">
        <f t="shared" si="14"/>
        <v>✅ 18:25</v>
      </c>
      <c r="J129" s="121">
        <v>0.7673611111111112</v>
      </c>
      <c r="K129" s="139"/>
      <c r="L129" s="127" t="str">
        <f t="shared" si="15"/>
        <v>✅ Finalizado</v>
      </c>
      <c r="M129" s="110"/>
      <c r="N129" s="110"/>
    </row>
    <row r="130" ht="21.75" customHeight="1">
      <c r="A130" s="111">
        <f>125</f>
        <v>125</v>
      </c>
      <c r="B130" s="112" t="s">
        <v>126</v>
      </c>
      <c r="C130" s="123" t="str">
        <f t="array" ref="C130">IF(B130="","",IFERROR(INDEX('FUNCIONÁRIOS'!$B$4:$B$501,MATCH(B130,'FUNCIONÁRIOS'!$C$4:$C$501,0)),""))</f>
        <v>MONTE EVENTOS </v>
      </c>
      <c r="D130" s="123" t="str">
        <f t="array" ref="D130">IF(B130="","",IFERROR(INDEX('FUNCIONÁRIOS'!$D$4:$D$501,MATCH(B130,'FUNCIONÁRIOS'!$C$4:$C$501,0)),""))</f>
        <v>MONTADOR</v>
      </c>
      <c r="E130" s="123" t="str">
        <f t="array" ref="E130">IF(B130="","",IFERROR(INDEX('FUNCIONÁRIOS'!$E$4:$E$501,MATCH(B130,'FUNCIONÁRIOS'!$C$4:$C$501,0)),""))</f>
        <v>NÃO</v>
      </c>
      <c r="F130" s="138">
        <v>46163.0</v>
      </c>
      <c r="G130" s="115" t="str">
        <f t="shared" si="13"/>
        <v>✅ 08:12</v>
      </c>
      <c r="H130" s="116" t="s">
        <v>1629</v>
      </c>
      <c r="I130" s="117" t="str">
        <f t="shared" si="14"/>
        <v>✅ 18:25</v>
      </c>
      <c r="J130" s="121">
        <v>0.7673611111111112</v>
      </c>
      <c r="K130" s="139"/>
      <c r="L130" s="127" t="str">
        <f t="shared" si="15"/>
        <v>✅ Finalizado</v>
      </c>
      <c r="M130" s="110"/>
      <c r="N130" s="110"/>
    </row>
    <row r="131" ht="21.75" customHeight="1">
      <c r="A131" s="111">
        <f>126</f>
        <v>126</v>
      </c>
      <c r="B131" s="112" t="s">
        <v>128</v>
      </c>
      <c r="C131" s="113" t="str">
        <f t="array" ref="C131">IF(B131="","",IFERROR(INDEX('FUNCIONÁRIOS'!$B$4:$B$501,MATCH(B131,'FUNCIONÁRIOS'!$C$4:$C$501,0)),""))</f>
        <v>MONTE EVENTOS </v>
      </c>
      <c r="D131" s="113" t="str">
        <f t="array" ref="D131">IF(B131="","",IFERROR(INDEX('FUNCIONÁRIOS'!$D$4:$D$501,MATCH(B131,'FUNCIONÁRIOS'!$C$4:$C$501,0)),""))</f>
        <v>MONTADOR</v>
      </c>
      <c r="E131" s="113" t="str">
        <f t="array" ref="E131">IF(B131="","",IFERROR(INDEX('FUNCIONÁRIOS'!$E$4:$E$501,MATCH(B131,'FUNCIONÁRIOS'!$C$4:$C$501,0)),""))</f>
        <v>NÃO</v>
      </c>
      <c r="F131" s="138">
        <v>46163.0</v>
      </c>
      <c r="G131" s="115" t="str">
        <f t="shared" si="13"/>
        <v>✅ 08:12</v>
      </c>
      <c r="H131" s="116" t="s">
        <v>1629</v>
      </c>
      <c r="I131" s="117" t="str">
        <f t="shared" si="14"/>
        <v>✅ 18:25</v>
      </c>
      <c r="J131" s="121">
        <v>0.7673611111111112</v>
      </c>
      <c r="K131" s="139"/>
      <c r="L131" s="127" t="str">
        <f t="shared" si="15"/>
        <v>✅ Finalizado</v>
      </c>
      <c r="M131" s="110"/>
      <c r="N131" s="110"/>
    </row>
    <row r="132" ht="21.75" customHeight="1">
      <c r="A132" s="111">
        <f>127</f>
        <v>127</v>
      </c>
      <c r="B132" s="112" t="s">
        <v>103</v>
      </c>
      <c r="C132" s="123" t="str">
        <f t="array" ref="C132">IF(B132="","",IFERROR(INDEX('FUNCIONÁRIOS'!$B$4:$B$501,MATCH(B132,'FUNCIONÁRIOS'!$C$4:$C$501,0)),""))</f>
        <v>MONTE EVENTOS </v>
      </c>
      <c r="D132" s="123" t="str">
        <f t="array" ref="D132">IF(B132="","",IFERROR(INDEX('FUNCIONÁRIOS'!$D$4:$D$501,MATCH(B132,'FUNCIONÁRIOS'!$C$4:$C$501,0)),""))</f>
        <v>MONTADOR</v>
      </c>
      <c r="E132" s="123" t="str">
        <f t="array" ref="E132">IF(B132="","",IFERROR(INDEX('FUNCIONÁRIOS'!$E$4:$E$501,MATCH(B132,'FUNCIONÁRIOS'!$C$4:$C$501,0)),""))</f>
        <v>NÃO</v>
      </c>
      <c r="F132" s="138">
        <v>46163.0</v>
      </c>
      <c r="G132" s="115" t="str">
        <f t="shared" si="13"/>
        <v>✅ 08:13</v>
      </c>
      <c r="H132" s="116" t="s">
        <v>1630</v>
      </c>
      <c r="I132" s="117" t="str">
        <f t="shared" si="14"/>
        <v>✅ 18:25</v>
      </c>
      <c r="J132" s="121">
        <v>0.7673611111111112</v>
      </c>
      <c r="K132" s="139"/>
      <c r="L132" s="127" t="str">
        <f t="shared" si="15"/>
        <v>✅ Finalizado</v>
      </c>
      <c r="M132" s="110"/>
      <c r="N132" s="110"/>
    </row>
    <row r="133" ht="21.75" customHeight="1">
      <c r="A133" s="111">
        <f>128</f>
        <v>128</v>
      </c>
      <c r="B133" s="112" t="s">
        <v>121</v>
      </c>
      <c r="C133" s="113" t="str">
        <f t="array" ref="C133">IF(B133="","",IFERROR(INDEX('FUNCIONÁRIOS'!$B$4:$B$501,MATCH(B133,'FUNCIONÁRIOS'!$C$4:$C$501,0)),""))</f>
        <v>MONTE EVENTOS </v>
      </c>
      <c r="D133" s="113" t="str">
        <f t="array" ref="D133">IF(B133="","",IFERROR(INDEX('FUNCIONÁRIOS'!$D$4:$D$501,MATCH(B133,'FUNCIONÁRIOS'!$C$4:$C$501,0)),""))</f>
        <v>MONTADOR</v>
      </c>
      <c r="E133" s="113" t="str">
        <f t="array" ref="E133">IF(B133="","",IFERROR(INDEX('FUNCIONÁRIOS'!$E$4:$E$501,MATCH(B133,'FUNCIONÁRIOS'!$C$4:$C$501,0)),""))</f>
        <v>NÃO</v>
      </c>
      <c r="F133" s="138">
        <v>46163.0</v>
      </c>
      <c r="G133" s="115" t="str">
        <f t="shared" si="13"/>
        <v>✅ 08:13</v>
      </c>
      <c r="H133" s="116" t="s">
        <v>1630</v>
      </c>
      <c r="I133" s="117" t="str">
        <f t="shared" si="14"/>
        <v>✅ 18;25</v>
      </c>
      <c r="J133" s="150" t="s">
        <v>1628</v>
      </c>
      <c r="K133" s="139"/>
      <c r="L133" s="127" t="str">
        <f t="shared" si="15"/>
        <v>✅ Finalizado</v>
      </c>
      <c r="M133" s="110"/>
      <c r="N133" s="110"/>
    </row>
    <row r="134" ht="21.75" customHeight="1">
      <c r="A134" s="111">
        <f>129</f>
        <v>129</v>
      </c>
      <c r="B134" s="112" t="s">
        <v>105</v>
      </c>
      <c r="C134" s="123" t="str">
        <f t="array" ref="C134">IF(B134="","",IFERROR(INDEX('FUNCIONÁRIOS'!$B$4:$B$501,MATCH(B134,'FUNCIONÁRIOS'!$C$4:$C$501,0)),""))</f>
        <v>MONTE EVENTOS </v>
      </c>
      <c r="D134" s="123" t="str">
        <f t="array" ref="D134">IF(B134="","",IFERROR(INDEX('FUNCIONÁRIOS'!$D$4:$D$501,MATCH(B134,'FUNCIONÁRIOS'!$C$4:$C$501,0)),""))</f>
        <v>MONTADOR</v>
      </c>
      <c r="E134" s="123" t="str">
        <f t="array" ref="E134">IF(B134="","",IFERROR(INDEX('FUNCIONÁRIOS'!$E$4:$E$501,MATCH(B134,'FUNCIONÁRIOS'!$C$4:$C$501,0)),""))</f>
        <v>NÃO</v>
      </c>
      <c r="F134" s="138">
        <v>46163.0</v>
      </c>
      <c r="G134" s="115" t="str">
        <f t="shared" si="13"/>
        <v>✅ 08:14</v>
      </c>
      <c r="H134" s="116" t="s">
        <v>1631</v>
      </c>
      <c r="I134" s="117" t="str">
        <f t="shared" si="14"/>
        <v>✅ 18;25</v>
      </c>
      <c r="J134" s="150" t="s">
        <v>1628</v>
      </c>
      <c r="K134" s="139"/>
      <c r="L134" s="127" t="str">
        <f t="shared" si="15"/>
        <v>✅ Finalizado</v>
      </c>
      <c r="M134" s="110"/>
      <c r="N134" s="110"/>
    </row>
    <row r="135" ht="21.75" customHeight="1">
      <c r="A135" s="111">
        <f>130</f>
        <v>130</v>
      </c>
      <c r="B135" s="112" t="s">
        <v>110</v>
      </c>
      <c r="C135" s="113" t="str">
        <f t="array" ref="C135">IF(B135="","",IFERROR(INDEX('FUNCIONÁRIOS'!$B$4:$B$501,MATCH(B135,'FUNCIONÁRIOS'!$C$4:$C$501,0)),""))</f>
        <v>MONTE EVENTOS </v>
      </c>
      <c r="D135" s="113" t="str">
        <f t="array" ref="D135">IF(B135="","",IFERROR(INDEX('FUNCIONÁRIOS'!$D$4:$D$501,MATCH(B135,'FUNCIONÁRIOS'!$C$4:$C$501,0)),""))</f>
        <v>MONTADOR</v>
      </c>
      <c r="E135" s="113" t="str">
        <f t="array" ref="E135">IF(B135="","",IFERROR(INDEX('FUNCIONÁRIOS'!$E$4:$E$501,MATCH(B135,'FUNCIONÁRIOS'!$C$4:$C$501,0)),""))</f>
        <v>NÃO</v>
      </c>
      <c r="F135" s="138">
        <v>46163.0</v>
      </c>
      <c r="G135" s="115" t="str">
        <f t="shared" si="13"/>
        <v>✅ 08:14</v>
      </c>
      <c r="H135" s="116" t="s">
        <v>1631</v>
      </c>
      <c r="I135" s="117" t="str">
        <f t="shared" si="14"/>
        <v>✅ 18:25</v>
      </c>
      <c r="J135" s="121">
        <v>0.7673611111111112</v>
      </c>
      <c r="K135" s="139"/>
      <c r="L135" s="127" t="str">
        <f t="shared" si="15"/>
        <v>✅ Finalizado</v>
      </c>
      <c r="M135" s="110"/>
      <c r="N135" s="110"/>
    </row>
    <row r="136" ht="21.75" customHeight="1">
      <c r="A136" s="111">
        <f>131</f>
        <v>131</v>
      </c>
      <c r="B136" s="112" t="s">
        <v>117</v>
      </c>
      <c r="C136" s="123" t="str">
        <f t="array" ref="C136">IF(B136="","",IFERROR(INDEX('FUNCIONÁRIOS'!$B$4:$B$501,MATCH(B136,'FUNCIONÁRIOS'!$C$4:$C$501,0)),""))</f>
        <v>MONTE EVENTOS </v>
      </c>
      <c r="D136" s="123" t="str">
        <f t="array" ref="D136">IF(B136="","",IFERROR(INDEX('FUNCIONÁRIOS'!$D$4:$D$501,MATCH(B136,'FUNCIONÁRIOS'!$C$4:$C$501,0)),""))</f>
        <v>MONTADOR</v>
      </c>
      <c r="E136" s="123" t="str">
        <f t="array" ref="E136">IF(B136="","",IFERROR(INDEX('FUNCIONÁRIOS'!$E$4:$E$501,MATCH(B136,'FUNCIONÁRIOS'!$C$4:$C$501,0)),""))</f>
        <v>NÃO</v>
      </c>
      <c r="F136" s="138">
        <v>46163.0</v>
      </c>
      <c r="G136" s="115" t="str">
        <f t="shared" si="13"/>
        <v>✅ 08:14</v>
      </c>
      <c r="H136" s="116" t="s">
        <v>1631</v>
      </c>
      <c r="I136" s="117" t="str">
        <f t="shared" si="14"/>
        <v>✅ 18:25</v>
      </c>
      <c r="J136" s="121">
        <v>0.7673611111111112</v>
      </c>
      <c r="K136" s="139"/>
      <c r="L136" s="127" t="str">
        <f t="shared" si="15"/>
        <v>✅ Finalizado</v>
      </c>
      <c r="M136" s="110"/>
      <c r="N136" s="110"/>
    </row>
    <row r="137" ht="21.75" customHeight="1">
      <c r="A137" s="111">
        <f>132</f>
        <v>132</v>
      </c>
      <c r="B137" s="112" t="s">
        <v>104</v>
      </c>
      <c r="C137" s="113" t="str">
        <f t="array" ref="C137">IF(B137="","",IFERROR(INDEX('FUNCIONÁRIOS'!$B$4:$B$501,MATCH(B137,'FUNCIONÁRIOS'!$C$4:$C$501,0)),""))</f>
        <v>MONTE EVENTOS </v>
      </c>
      <c r="D137" s="113" t="str">
        <f t="array" ref="D137">IF(B137="","",IFERROR(INDEX('FUNCIONÁRIOS'!$D$4:$D$501,MATCH(B137,'FUNCIONÁRIOS'!$C$4:$C$501,0)),""))</f>
        <v>MONTADOR</v>
      </c>
      <c r="E137" s="113" t="str">
        <f t="array" ref="E137">IF(B137="","",IFERROR(INDEX('FUNCIONÁRIOS'!$E$4:$E$501,MATCH(B137,'FUNCIONÁRIOS'!$C$4:$C$501,0)),""))</f>
        <v>NÃO</v>
      </c>
      <c r="F137" s="138">
        <v>46163.0</v>
      </c>
      <c r="G137" s="115" t="str">
        <f t="shared" si="13"/>
        <v>✅ 08:15</v>
      </c>
      <c r="H137" s="116" t="s">
        <v>1632</v>
      </c>
      <c r="I137" s="117" t="str">
        <f t="shared" si="14"/>
        <v>✅ 18:25</v>
      </c>
      <c r="J137" s="121">
        <v>0.7673611111111112</v>
      </c>
      <c r="K137" s="139"/>
      <c r="L137" s="127" t="str">
        <f t="shared" si="15"/>
        <v>✅ Finalizado</v>
      </c>
      <c r="M137" s="110"/>
      <c r="N137" s="110"/>
    </row>
    <row r="138" ht="21.75" customHeight="1">
      <c r="A138" s="111">
        <f>133</f>
        <v>133</v>
      </c>
      <c r="B138" s="112" t="s">
        <v>213</v>
      </c>
      <c r="C138" s="123" t="str">
        <f t="array" ref="C138">IF(B138="","",IFERROR(INDEX('FUNCIONÁRIOS'!$B$4:$B$501,MATCH(B138,'FUNCIONÁRIOS'!$C$4:$C$501,0)),""))</f>
        <v>YES </v>
      </c>
      <c r="D138" s="123" t="str">
        <f t="array" ref="D138">IF(B138="","",IFERROR(INDEX('FUNCIONÁRIOS'!$D$4:$D$501,MATCH(B138,'FUNCIONÁRIOS'!$C$4:$C$501,0)),""))</f>
        <v>TEC SEGURANÇA DO TRABALHO </v>
      </c>
      <c r="E138" s="123" t="str">
        <f t="array" ref="E138">IF(B138="","",IFERROR(INDEX('FUNCIONÁRIOS'!$E$4:$E$501,MATCH(B138,'FUNCIONÁRIOS'!$C$4:$C$501,0)),""))</f>
        <v>NÃO</v>
      </c>
      <c r="F138" s="138">
        <v>46163.0</v>
      </c>
      <c r="G138" s="115" t="str">
        <f t="shared" si="13"/>
        <v>✅ 08:15</v>
      </c>
      <c r="H138" s="116" t="s">
        <v>1632</v>
      </c>
      <c r="I138" s="117" t="str">
        <f t="shared" si="14"/>
        <v>✅ 18:25</v>
      </c>
      <c r="J138" s="121">
        <v>0.7673611111111112</v>
      </c>
      <c r="K138" s="139"/>
      <c r="L138" s="127" t="str">
        <f t="shared" si="15"/>
        <v>✅ Finalizado</v>
      </c>
      <c r="M138" s="110"/>
      <c r="N138" s="110"/>
    </row>
    <row r="139" ht="21.75" customHeight="1">
      <c r="A139" s="111">
        <f>134</f>
        <v>134</v>
      </c>
      <c r="B139" s="112" t="s">
        <v>111</v>
      </c>
      <c r="C139" s="113" t="str">
        <f t="array" ref="C139">IF(B139="","",IFERROR(INDEX('FUNCIONÁRIOS'!$B$4:$B$501,MATCH(B139,'FUNCIONÁRIOS'!$C$4:$C$501,0)),""))</f>
        <v>MONTE EVENTOS </v>
      </c>
      <c r="D139" s="113" t="str">
        <f t="array" ref="D139">IF(B139="","",IFERROR(INDEX('FUNCIONÁRIOS'!$D$4:$D$501,MATCH(B139,'FUNCIONÁRIOS'!$C$4:$C$501,0)),""))</f>
        <v>MONTADOR</v>
      </c>
      <c r="E139" s="113" t="str">
        <f t="array" ref="E139">IF(B139="","",IFERROR(INDEX('FUNCIONÁRIOS'!$E$4:$E$501,MATCH(B139,'FUNCIONÁRIOS'!$C$4:$C$501,0)),""))</f>
        <v>NÃO</v>
      </c>
      <c r="F139" s="138">
        <v>46163.0</v>
      </c>
      <c r="G139" s="115" t="str">
        <f t="shared" si="13"/>
        <v>✅ 08:15</v>
      </c>
      <c r="H139" s="116" t="s">
        <v>1632</v>
      </c>
      <c r="I139" s="117" t="str">
        <f t="shared" si="14"/>
        <v>✅ 18;25</v>
      </c>
      <c r="J139" s="150" t="s">
        <v>1628</v>
      </c>
      <c r="K139" s="139"/>
      <c r="L139" s="127" t="str">
        <f t="shared" si="15"/>
        <v>✅ Finalizado</v>
      </c>
      <c r="M139" s="110"/>
      <c r="N139" s="110"/>
    </row>
    <row r="140" ht="21.75" customHeight="1">
      <c r="A140" s="111">
        <f>135</f>
        <v>135</v>
      </c>
      <c r="B140" s="112" t="s">
        <v>113</v>
      </c>
      <c r="C140" s="123" t="str">
        <f t="array" ref="C140">IF(B140="","",IFERROR(INDEX('FUNCIONÁRIOS'!$B$4:$B$501,MATCH(B140,'FUNCIONÁRIOS'!$C$4:$C$501,0)),""))</f>
        <v>MONTE EVENTOS </v>
      </c>
      <c r="D140" s="123" t="str">
        <f t="array" ref="D140">IF(B140="","",IFERROR(INDEX('FUNCIONÁRIOS'!$D$4:$D$501,MATCH(B140,'FUNCIONÁRIOS'!$C$4:$C$501,0)),""))</f>
        <v>COORDENADOR/CEO</v>
      </c>
      <c r="E140" s="123" t="str">
        <f t="array" ref="E140">IF(B140="","",IFERROR(INDEX('FUNCIONÁRIOS'!$E$4:$E$501,MATCH(B140,'FUNCIONÁRIOS'!$C$4:$C$501,0)),""))</f>
        <v>SIM</v>
      </c>
      <c r="F140" s="138">
        <v>46163.0</v>
      </c>
      <c r="G140" s="115" t="str">
        <f t="shared" si="13"/>
        <v>✅ 08:16</v>
      </c>
      <c r="H140" s="116" t="s">
        <v>1633</v>
      </c>
      <c r="I140" s="117" t="str">
        <f t="shared" si="14"/>
        <v>✅ 18;25</v>
      </c>
      <c r="J140" s="150" t="s">
        <v>1628</v>
      </c>
      <c r="K140" s="139"/>
      <c r="L140" s="127" t="str">
        <f t="shared" si="15"/>
        <v>✅ Finalizado</v>
      </c>
      <c r="M140" s="110"/>
      <c r="N140" s="110"/>
    </row>
    <row r="141" ht="21.75" customHeight="1">
      <c r="A141" s="111">
        <f>136</f>
        <v>136</v>
      </c>
      <c r="B141" s="112" t="s">
        <v>112</v>
      </c>
      <c r="C141" s="113" t="str">
        <f t="array" ref="C141">IF(B141="","",IFERROR(INDEX('FUNCIONÁRIOS'!$B$4:$B$501,MATCH(B141,'FUNCIONÁRIOS'!$C$4:$C$501,0)),""))</f>
        <v>MONTE EVENTOS </v>
      </c>
      <c r="D141" s="113" t="str">
        <f t="array" ref="D141">IF(B141="","",IFERROR(INDEX('FUNCIONÁRIOS'!$D$4:$D$501,MATCH(B141,'FUNCIONÁRIOS'!$C$4:$C$501,0)),""))</f>
        <v>MONTADOR</v>
      </c>
      <c r="E141" s="113" t="str">
        <f t="array" ref="E141">IF(B141="","",IFERROR(INDEX('FUNCIONÁRIOS'!$E$4:$E$501,MATCH(B141,'FUNCIONÁRIOS'!$C$4:$C$501,0)),""))</f>
        <v>NÃO</v>
      </c>
      <c r="F141" s="138">
        <v>46163.0</v>
      </c>
      <c r="G141" s="115" t="str">
        <f t="shared" si="13"/>
        <v>✅ 08:17</v>
      </c>
      <c r="H141" s="116" t="s">
        <v>1634</v>
      </c>
      <c r="I141" s="117" t="str">
        <f t="shared" si="14"/>
        <v>✅ 18:25</v>
      </c>
      <c r="J141" s="121">
        <v>0.7673611111111112</v>
      </c>
      <c r="K141" s="139"/>
      <c r="L141" s="127" t="str">
        <f t="shared" si="15"/>
        <v>✅ Finalizado</v>
      </c>
      <c r="M141" s="110"/>
      <c r="N141" s="110"/>
    </row>
    <row r="142" ht="21.75" customHeight="1">
      <c r="A142" s="111">
        <f>137</f>
        <v>137</v>
      </c>
      <c r="B142" s="112" t="s">
        <v>176</v>
      </c>
      <c r="C142" s="123" t="str">
        <f t="array" ref="C142">IF(B142="","",IFERROR(INDEX('FUNCIONÁRIOS'!$B$4:$B$501,MATCH(B142,'FUNCIONÁRIOS'!$C$4:$C$501,0)),""))</f>
        <v>TJ SERVIÇOS</v>
      </c>
      <c r="D142" s="123" t="str">
        <f t="array" ref="D142">IF(B142="","",IFERROR(INDEX('FUNCIONÁRIOS'!$D$4:$D$501,MATCH(B142,'FUNCIONÁRIOS'!$C$4:$C$501,0)),""))</f>
        <v>BRIGADISTA</v>
      </c>
      <c r="E142" s="123" t="str">
        <f t="array" ref="E142">IF(B142="","",IFERROR(INDEX('FUNCIONÁRIOS'!$E$4:$E$501,MATCH(B142,'FUNCIONÁRIOS'!$C$4:$C$501,0)),""))</f>
        <v>NÃO</v>
      </c>
      <c r="F142" s="138">
        <v>46163.0</v>
      </c>
      <c r="G142" s="115" t="str">
        <f t="shared" si="13"/>
        <v>✅ 08:29</v>
      </c>
      <c r="H142" s="116" t="s">
        <v>1635</v>
      </c>
      <c r="I142" s="117" t="str">
        <f t="shared" si="14"/>
        <v>✅ 18:25</v>
      </c>
      <c r="J142" s="121">
        <v>0.7673611111111112</v>
      </c>
      <c r="K142" s="139"/>
      <c r="L142" s="127" t="str">
        <f t="shared" si="15"/>
        <v>✅ Finalizado</v>
      </c>
      <c r="M142" s="110"/>
      <c r="N142" s="110"/>
    </row>
    <row r="143" ht="21.75" customHeight="1">
      <c r="A143" s="111">
        <f>138</f>
        <v>138</v>
      </c>
      <c r="B143" s="112" t="s">
        <v>129</v>
      </c>
      <c r="C143" s="124" t="s">
        <v>18</v>
      </c>
      <c r="D143" s="113" t="str">
        <f t="array" ref="D143">IF(B143="","",IFERROR(INDEX('FUNCIONÁRIOS'!$D$4:$D$501,MATCH(B143,'FUNCIONÁRIOS'!$C$4:$C$501,0)),""))</f>
        <v>BRIGADISTA </v>
      </c>
      <c r="E143" s="113" t="str">
        <f t="array" ref="E143">IF(B143="","",IFERROR(INDEX('FUNCIONÁRIOS'!$E$4:$E$501,MATCH(B143,'FUNCIONÁRIOS'!$C$4:$C$501,0)),""))</f>
        <v>NÃO</v>
      </c>
      <c r="F143" s="138">
        <v>46163.0</v>
      </c>
      <c r="G143" s="115" t="str">
        <f t="shared" si="13"/>
        <v>✅ 08:29</v>
      </c>
      <c r="H143" s="116" t="s">
        <v>1635</v>
      </c>
      <c r="I143" s="117" t="str">
        <f t="shared" si="14"/>
        <v>✅ 18:25</v>
      </c>
      <c r="J143" s="121">
        <v>0.7673611111111112</v>
      </c>
      <c r="K143" s="139"/>
      <c r="L143" s="127" t="str">
        <f t="shared" si="15"/>
        <v>✅ Finalizado</v>
      </c>
      <c r="M143" s="110"/>
      <c r="N143" s="110"/>
    </row>
    <row r="144" ht="21.75" customHeight="1">
      <c r="A144" s="111">
        <f>139</f>
        <v>139</v>
      </c>
      <c r="B144" s="112" t="s">
        <v>234</v>
      </c>
      <c r="C144" s="123" t="str">
        <f t="array" ref="C144">IF(B144="","",IFERROR(INDEX('FUNCIONÁRIOS'!$B$4:$B$501,MATCH(B144,'FUNCIONÁRIOS'!$C$4:$C$501,0)),""))</f>
        <v>EL SHADDAI</v>
      </c>
      <c r="D144" s="123" t="str">
        <f t="array" ref="D144">IF(B144="","",IFERROR(INDEX('FUNCIONÁRIOS'!$D$4:$D$501,MATCH(B144,'FUNCIONÁRIOS'!$C$4:$C$501,0)),""))</f>
        <v>ENGENHARIA DE PRODUÇÃO </v>
      </c>
      <c r="E144" s="123" t="str">
        <f t="array" ref="E144">IF(B144="","",IFERROR(INDEX('FUNCIONÁRIOS'!$E$4:$E$501,MATCH(B144,'FUNCIONÁRIOS'!$C$4:$C$501,0)),""))</f>
        <v>NÃO</v>
      </c>
      <c r="F144" s="138">
        <v>46163.0</v>
      </c>
      <c r="G144" s="115" t="str">
        <f t="shared" si="13"/>
        <v>✅ 09:20</v>
      </c>
      <c r="H144" s="121">
        <v>0.3888888888888889</v>
      </c>
      <c r="I144" s="117" t="str">
        <f t="shared" si="14"/>
        <v>✅ 10:03</v>
      </c>
      <c r="J144" s="116" t="s">
        <v>1636</v>
      </c>
      <c r="K144" s="118">
        <v>0.029861111111111116</v>
      </c>
      <c r="L144" s="127" t="str">
        <f t="shared" si="15"/>
        <v>✅ Finalizado</v>
      </c>
      <c r="M144" s="110"/>
      <c r="N144" s="110"/>
    </row>
    <row r="145" ht="21.75" customHeight="1">
      <c r="A145" s="111">
        <f>140</f>
        <v>140</v>
      </c>
      <c r="B145" s="16" t="s">
        <v>236</v>
      </c>
      <c r="C145" s="113" t="str">
        <f t="array" ref="C145">IF(B145="","",IFERROR(INDEX('FUNCIONÁRIOS'!$B$4:$B$501,MATCH(B145,'FUNCIONÁRIOS'!$C$4:$C$501,0)),""))</f>
        <v>EL SHADDAI</v>
      </c>
      <c r="D145" s="113" t="str">
        <f t="array" ref="D145">IF(B145="","",IFERROR(INDEX('FUNCIONÁRIOS'!$D$4:$D$501,MATCH(B145,'FUNCIONÁRIOS'!$C$4:$C$501,0)),""))</f>
        <v>SOLDADOR </v>
      </c>
      <c r="E145" s="113" t="str">
        <f t="array" ref="E145">IF(B145="","",IFERROR(INDEX('FUNCIONÁRIOS'!$E$4:$E$501,MATCH(B145,'FUNCIONÁRIOS'!$C$4:$C$501,0)),""))</f>
        <v>NÃO</v>
      </c>
      <c r="F145" s="138">
        <v>46163.0</v>
      </c>
      <c r="G145" s="115" t="str">
        <f t="shared" si="13"/>
        <v>✅ 09:20</v>
      </c>
      <c r="H145" s="121">
        <v>0.3888888888888889</v>
      </c>
      <c r="I145" s="117" t="str">
        <f t="shared" si="14"/>
        <v>✅ 10:04</v>
      </c>
      <c r="J145" s="116" t="s">
        <v>1637</v>
      </c>
      <c r="K145" s="118">
        <v>0.030555555555555558</v>
      </c>
      <c r="L145" s="127" t="str">
        <f t="shared" si="15"/>
        <v>✅ Finalizado</v>
      </c>
      <c r="M145" s="110"/>
      <c r="N145" s="110"/>
    </row>
    <row r="146" ht="21.75" customHeight="1">
      <c r="A146" s="111">
        <f>141</f>
        <v>141</v>
      </c>
      <c r="B146" s="16" t="s">
        <v>238</v>
      </c>
      <c r="C146" s="113" t="str">
        <f t="array" ref="C146">IF(B146="","",IFERROR(INDEX('FUNCIONÁRIOS'!$B$4:$B$501,MATCH(B146,'FUNCIONÁRIOS'!$C$4:$C$501,0)),""))</f>
        <v>EL SHADDAI</v>
      </c>
      <c r="D146" s="123" t="str">
        <f t="array" ref="D146">IF(B146="","",IFERROR(INDEX('FUNCIONÁRIOS'!$D$4:$D$501,MATCH(B146,'FUNCIONÁRIOS'!$C$4:$C$501,0)),""))</f>
        <v>PROPRIETÁRIO </v>
      </c>
      <c r="E146" s="123" t="str">
        <f t="array" ref="E146">IF(B146="","",IFERROR(INDEX('FUNCIONÁRIOS'!$E$4:$E$501,MATCH(B146,'FUNCIONÁRIOS'!$C$4:$C$501,0)),""))</f>
        <v>NÃO</v>
      </c>
      <c r="F146" s="138">
        <v>46163.0</v>
      </c>
      <c r="G146" s="115" t="str">
        <f t="shared" si="13"/>
        <v>✅ 09:20</v>
      </c>
      <c r="H146" s="121">
        <v>0.3888888888888889</v>
      </c>
      <c r="I146" s="117" t="str">
        <f t="shared" si="14"/>
        <v>✅ 10:04</v>
      </c>
      <c r="J146" s="116" t="s">
        <v>1637</v>
      </c>
      <c r="K146" s="118">
        <v>0.030555555555555558</v>
      </c>
      <c r="L146" s="127" t="str">
        <f t="shared" si="15"/>
        <v>✅ Finalizado</v>
      </c>
      <c r="M146" s="110"/>
      <c r="N146" s="110"/>
    </row>
    <row r="147" ht="21.75" customHeight="1">
      <c r="A147" s="111">
        <f>142</f>
        <v>142</v>
      </c>
      <c r="B147" s="16" t="s">
        <v>239</v>
      </c>
      <c r="C147" s="113" t="str">
        <f t="array" ref="C147">IF(B147="","",IFERROR(INDEX('FUNCIONÁRIOS'!$B$4:$B$501,MATCH(B147,'FUNCIONÁRIOS'!$C$4:$C$501,0)),""))</f>
        <v>EL SHADDAI</v>
      </c>
      <c r="D147" s="113" t="str">
        <f t="array" ref="D147">IF(B147="","",IFERROR(INDEX('FUNCIONÁRIOS'!$D$4:$D$501,MATCH(B147,'FUNCIONÁRIOS'!$C$4:$C$501,0)),""))</f>
        <v>GERENTE </v>
      </c>
      <c r="E147" s="113" t="str">
        <f t="array" ref="E147">IF(B147="","",IFERROR(INDEX('FUNCIONÁRIOS'!$E$4:$E$501,MATCH(B147,'FUNCIONÁRIOS'!$C$4:$C$501,0)),""))</f>
        <v>SIM</v>
      </c>
      <c r="F147" s="138">
        <v>46163.0</v>
      </c>
      <c r="G147" s="115" t="str">
        <f t="shared" si="13"/>
        <v>✅ 09:20</v>
      </c>
      <c r="H147" s="121">
        <v>0.3888888888888889</v>
      </c>
      <c r="I147" s="117" t="str">
        <f t="shared" si="14"/>
        <v>✅ 10:04</v>
      </c>
      <c r="J147" s="116" t="s">
        <v>1637</v>
      </c>
      <c r="K147" s="118">
        <v>0.030555555555555558</v>
      </c>
      <c r="L147" s="127" t="str">
        <f t="shared" si="15"/>
        <v>✅ Finalizado</v>
      </c>
      <c r="M147" s="110"/>
      <c r="N147" s="110"/>
    </row>
    <row r="148" ht="21.75" customHeight="1">
      <c r="A148" s="111">
        <f>143</f>
        <v>143</v>
      </c>
      <c r="B148" s="16" t="s">
        <v>240</v>
      </c>
      <c r="C148" s="123" t="str">
        <f t="array" ref="C148">IF(B148="","",IFERROR(INDEX('FUNCIONÁRIOS'!$B$4:$B$501,MATCH(B148,'FUNCIONÁRIOS'!$C$4:$C$501,0)),""))</f>
        <v>REISFORT</v>
      </c>
      <c r="D148" s="123" t="str">
        <f t="array" ref="D148">IF(B148="","",IFERROR(INDEX('FUNCIONÁRIOS'!$D$4:$D$501,MATCH(B148,'FUNCIONÁRIOS'!$C$4:$C$501,0)),""))</f>
        <v>MONTADOR </v>
      </c>
      <c r="E148" s="123" t="str">
        <f t="array" ref="E148">IF(B148="","",IFERROR(INDEX('FUNCIONÁRIOS'!$E$4:$E$501,MATCH(B148,'FUNCIONÁRIOS'!$C$4:$C$501,0)),""))</f>
        <v>NÃO</v>
      </c>
      <c r="F148" s="138">
        <v>46163.0</v>
      </c>
      <c r="G148" s="115" t="str">
        <f t="shared" si="13"/>
        <v>✅ 09:30</v>
      </c>
      <c r="H148" s="121">
        <v>0.3958333333333333</v>
      </c>
      <c r="I148" s="117" t="str">
        <f t="shared" si="14"/>
        <v>✅ 18:25</v>
      </c>
      <c r="J148" s="121">
        <v>0.7673611111111112</v>
      </c>
      <c r="K148" s="126">
        <f t="shared" ref="K148:K155" si="17">IF(AND(H148&lt;&gt;"",J148&lt;&gt;""),J148-H148,"")</f>
        <v>0.3715277778</v>
      </c>
      <c r="L148" s="127" t="str">
        <f t="shared" si="15"/>
        <v>✅ Finalizado</v>
      </c>
      <c r="M148" s="110"/>
      <c r="N148" s="110"/>
    </row>
    <row r="149" ht="21.75" customHeight="1">
      <c r="A149" s="111">
        <f>144</f>
        <v>144</v>
      </c>
      <c r="B149" s="16" t="s">
        <v>242</v>
      </c>
      <c r="C149" s="113" t="str">
        <f t="array" ref="C149">IF(B149="","",IFERROR(INDEX('FUNCIONÁRIOS'!$B$4:$B$501,MATCH(B149,'FUNCIONÁRIOS'!$C$4:$C$501,0)),""))</f>
        <v>REISFORT</v>
      </c>
      <c r="D149" s="113" t="str">
        <f t="array" ref="D149">IF(B149="","",IFERROR(INDEX('FUNCIONÁRIOS'!$D$4:$D$501,MATCH(B149,'FUNCIONÁRIOS'!$C$4:$C$501,0)),""))</f>
        <v>MONTADOR </v>
      </c>
      <c r="E149" s="113" t="str">
        <f t="array" ref="E149">IF(B149="","",IFERROR(INDEX('FUNCIONÁRIOS'!$E$4:$E$501,MATCH(B149,'FUNCIONÁRIOS'!$C$4:$C$501,0)),""))</f>
        <v>NÃO</v>
      </c>
      <c r="F149" s="138">
        <v>46163.0</v>
      </c>
      <c r="G149" s="115" t="str">
        <f t="shared" si="13"/>
        <v>✅ 09:30</v>
      </c>
      <c r="H149" s="121">
        <v>0.3958333333333333</v>
      </c>
      <c r="I149" s="117" t="str">
        <f t="shared" si="14"/>
        <v>✅ 18:25</v>
      </c>
      <c r="J149" s="121">
        <v>0.7673611111111112</v>
      </c>
      <c r="K149" s="126">
        <f t="shared" si="17"/>
        <v>0.3715277778</v>
      </c>
      <c r="L149" s="127" t="str">
        <f t="shared" si="15"/>
        <v>✅ Finalizado</v>
      </c>
      <c r="M149" s="110"/>
      <c r="N149" s="110"/>
    </row>
    <row r="150" ht="21.75" customHeight="1">
      <c r="A150" s="111">
        <f>145</f>
        <v>145</v>
      </c>
      <c r="B150" s="16" t="s">
        <v>243</v>
      </c>
      <c r="C150" s="123" t="str">
        <f t="array" ref="C150">IF(B150="","",IFERROR(INDEX('FUNCIONÁRIOS'!$B$4:$B$501,MATCH(B150,'FUNCIONÁRIOS'!$C$4:$C$501,0)),""))</f>
        <v>REISFORT</v>
      </c>
      <c r="D150" s="123" t="str">
        <f t="array" ref="D150">IF(B150="","",IFERROR(INDEX('FUNCIONÁRIOS'!$D$4:$D$501,MATCH(B150,'FUNCIONÁRIOS'!$C$4:$C$501,0)),""))</f>
        <v>MONTADOR </v>
      </c>
      <c r="E150" s="123" t="str">
        <f t="array" ref="E150">IF(B150="","",IFERROR(INDEX('FUNCIONÁRIOS'!$E$4:$E$501,MATCH(B150,'FUNCIONÁRIOS'!$C$4:$C$501,0)),""))</f>
        <v>NÃO</v>
      </c>
      <c r="F150" s="138">
        <v>46163.0</v>
      </c>
      <c r="G150" s="115" t="str">
        <f t="shared" si="13"/>
        <v>✅ 09:30</v>
      </c>
      <c r="H150" s="121">
        <v>0.3958333333333333</v>
      </c>
      <c r="I150" s="117" t="str">
        <f t="shared" si="14"/>
        <v>✅ 18:25</v>
      </c>
      <c r="J150" s="121">
        <v>0.7673611111111112</v>
      </c>
      <c r="K150" s="126">
        <f t="shared" si="17"/>
        <v>0.3715277778</v>
      </c>
      <c r="L150" s="127" t="str">
        <f t="shared" si="15"/>
        <v>✅ Finalizado</v>
      </c>
      <c r="M150" s="110"/>
      <c r="N150" s="110"/>
    </row>
    <row r="151" ht="21.75" customHeight="1">
      <c r="A151" s="111">
        <f>146</f>
        <v>146</v>
      </c>
      <c r="B151" s="16" t="s">
        <v>244</v>
      </c>
      <c r="C151" s="113" t="str">
        <f t="array" ref="C151">IF(B151="","",IFERROR(INDEX('FUNCIONÁRIOS'!$B$4:$B$501,MATCH(B151,'FUNCIONÁRIOS'!$C$4:$C$501,0)),""))</f>
        <v>REISFORT</v>
      </c>
      <c r="D151" s="113" t="str">
        <f t="array" ref="D151">IF(B151="","",IFERROR(INDEX('FUNCIONÁRIOS'!$D$4:$D$501,MATCH(B151,'FUNCIONÁRIOS'!$C$4:$C$501,0)),""))</f>
        <v>MONTADOR </v>
      </c>
      <c r="E151" s="113" t="str">
        <f t="array" ref="E151">IF(B151="","",IFERROR(INDEX('FUNCIONÁRIOS'!$E$4:$E$501,MATCH(B151,'FUNCIONÁRIOS'!$C$4:$C$501,0)),""))</f>
        <v>NÃO</v>
      </c>
      <c r="F151" s="138">
        <v>46163.0</v>
      </c>
      <c r="G151" s="115" t="str">
        <f t="shared" si="13"/>
        <v>✅ 09:30</v>
      </c>
      <c r="H151" s="121">
        <v>0.3958333333333333</v>
      </c>
      <c r="I151" s="117" t="str">
        <f t="shared" si="14"/>
        <v>✅ 18:25</v>
      </c>
      <c r="J151" s="121">
        <v>0.7673611111111112</v>
      </c>
      <c r="K151" s="126">
        <f t="shared" si="17"/>
        <v>0.3715277778</v>
      </c>
      <c r="L151" s="127" t="str">
        <f t="shared" si="15"/>
        <v>✅ Finalizado</v>
      </c>
      <c r="M151" s="110"/>
      <c r="N151" s="110"/>
    </row>
    <row r="152" ht="21.75" customHeight="1">
      <c r="A152" s="111">
        <f>147</f>
        <v>147</v>
      </c>
      <c r="B152" s="16" t="s">
        <v>245</v>
      </c>
      <c r="C152" s="123" t="str">
        <f t="array" ref="C152">IF(B152="","",IFERROR(INDEX('FUNCIONÁRIOS'!$B$4:$B$501,MATCH(B152,'FUNCIONÁRIOS'!$C$4:$C$501,0)),""))</f>
        <v>MONTE EVENTOS </v>
      </c>
      <c r="D152" s="123" t="str">
        <f t="array" ref="D152">IF(B152="","",IFERROR(INDEX('FUNCIONÁRIOS'!$D$4:$D$501,MATCH(B152,'FUNCIONÁRIOS'!$C$4:$C$501,0)),""))</f>
        <v>MONTADOR </v>
      </c>
      <c r="E152" s="123" t="str">
        <f t="array" ref="E152">IF(B152="","",IFERROR(INDEX('FUNCIONÁRIOS'!$E$4:$E$501,MATCH(B152,'FUNCIONÁRIOS'!$C$4:$C$501,0)),""))</f>
        <v>NÃO</v>
      </c>
      <c r="F152" s="138">
        <v>46163.0</v>
      </c>
      <c r="G152" s="115" t="str">
        <f t="shared" si="13"/>
        <v>✅ 09:45</v>
      </c>
      <c r="H152" s="121">
        <v>0.40625</v>
      </c>
      <c r="I152" s="117" t="str">
        <f t="shared" si="14"/>
        <v>✅ 18:25</v>
      </c>
      <c r="J152" s="121">
        <v>0.7673611111111112</v>
      </c>
      <c r="K152" s="126">
        <f t="shared" si="17"/>
        <v>0.3611111111</v>
      </c>
      <c r="L152" s="127" t="str">
        <f t="shared" si="15"/>
        <v>✅ Finalizado</v>
      </c>
      <c r="M152" s="110"/>
      <c r="N152" s="110"/>
    </row>
    <row r="153" ht="21.75" customHeight="1">
      <c r="A153" s="111">
        <f>148</f>
        <v>148</v>
      </c>
      <c r="B153" s="16" t="s">
        <v>246</v>
      </c>
      <c r="C153" s="113" t="str">
        <f t="array" ref="C153">IF(B153="","",IFERROR(INDEX('FUNCIONÁRIOS'!$B$4:$B$501,MATCH(B153,'FUNCIONÁRIOS'!$C$4:$C$501,0)),""))</f>
        <v>MONTE EVENTOS </v>
      </c>
      <c r="D153" s="113" t="str">
        <f t="array" ref="D153">IF(B153="","",IFERROR(INDEX('FUNCIONÁRIOS'!$D$4:$D$501,MATCH(B153,'FUNCIONÁRIOS'!$C$4:$C$501,0)),""))</f>
        <v>MONTADOR </v>
      </c>
      <c r="E153" s="113" t="str">
        <f t="array" ref="E153">IF(B153="","",IFERROR(INDEX('FUNCIONÁRIOS'!$E$4:$E$501,MATCH(B153,'FUNCIONÁRIOS'!$C$4:$C$501,0)),""))</f>
        <v>NÃO</v>
      </c>
      <c r="F153" s="138">
        <v>46163.0</v>
      </c>
      <c r="G153" s="115" t="str">
        <f t="shared" si="13"/>
        <v>✅ 09:45</v>
      </c>
      <c r="H153" s="121">
        <v>0.40625</v>
      </c>
      <c r="I153" s="117" t="str">
        <f t="shared" si="14"/>
        <v>✅ 18:25</v>
      </c>
      <c r="J153" s="121">
        <v>0.7673611111111112</v>
      </c>
      <c r="K153" s="126">
        <f t="shared" si="17"/>
        <v>0.3611111111</v>
      </c>
      <c r="L153" s="127" t="str">
        <f t="shared" si="15"/>
        <v>✅ Finalizado</v>
      </c>
      <c r="M153" s="110"/>
      <c r="N153" s="110"/>
    </row>
    <row r="154" ht="21.75" customHeight="1">
      <c r="A154" s="111">
        <f>149</f>
        <v>149</v>
      </c>
      <c r="B154" s="16" t="s">
        <v>247</v>
      </c>
      <c r="C154" s="123" t="str">
        <f t="array" ref="C154">IF(B154="","",IFERROR(INDEX('FUNCIONÁRIOS'!$B$4:$B$501,MATCH(B154,'FUNCIONÁRIOS'!$C$4:$C$501,0)),""))</f>
        <v>MONTE EVENTOS </v>
      </c>
      <c r="D154" s="123" t="str">
        <f t="array" ref="D154">IF(B154="","",IFERROR(INDEX('FUNCIONÁRIOS'!$D$4:$D$501,MATCH(B154,'FUNCIONÁRIOS'!$C$4:$C$501,0)),""))</f>
        <v>MONTADOR </v>
      </c>
      <c r="E154" s="123" t="str">
        <f t="array" ref="E154">IF(B154="","",IFERROR(INDEX('FUNCIONÁRIOS'!$E$4:$E$501,MATCH(B154,'FUNCIONÁRIOS'!$C$4:$C$501,0)),""))</f>
        <v>NÃO</v>
      </c>
      <c r="F154" s="138">
        <v>46163.0</v>
      </c>
      <c r="G154" s="115" t="str">
        <f t="shared" si="13"/>
        <v>✅ 09:45</v>
      </c>
      <c r="H154" s="121">
        <v>0.40625</v>
      </c>
      <c r="I154" s="117" t="str">
        <f t="shared" si="14"/>
        <v>✅ 18:25</v>
      </c>
      <c r="J154" s="121">
        <v>0.7673611111111112</v>
      </c>
      <c r="K154" s="126">
        <f t="shared" si="17"/>
        <v>0.3611111111</v>
      </c>
      <c r="L154" s="127" t="str">
        <f t="shared" si="15"/>
        <v>✅ Finalizado</v>
      </c>
      <c r="M154" s="110"/>
      <c r="N154" s="110"/>
    </row>
    <row r="155" ht="21.75" customHeight="1">
      <c r="A155" s="111">
        <f>150</f>
        <v>150</v>
      </c>
      <c r="B155" s="16" t="s">
        <v>248</v>
      </c>
      <c r="C155" s="113" t="str">
        <f t="array" ref="C155">IF(B155="","",IFERROR(INDEX('FUNCIONÁRIOS'!$B$4:$B$501,MATCH(B155,'FUNCIONÁRIOS'!$C$4:$C$501,0)),""))</f>
        <v>MONTE EVENTOS </v>
      </c>
      <c r="D155" s="113" t="str">
        <f t="array" ref="D155">IF(B155="","",IFERROR(INDEX('FUNCIONÁRIOS'!$D$4:$D$501,MATCH(B155,'FUNCIONÁRIOS'!$C$4:$C$501,0)),""))</f>
        <v>MONTADOR </v>
      </c>
      <c r="E155" s="113" t="str">
        <f t="array" ref="E155">IF(B155="","",IFERROR(INDEX('FUNCIONÁRIOS'!$E$4:$E$501,MATCH(B155,'FUNCIONÁRIOS'!$C$4:$C$501,0)),""))</f>
        <v>NÃO</v>
      </c>
      <c r="F155" s="138">
        <v>46163.0</v>
      </c>
      <c r="G155" s="115" t="str">
        <f t="shared" si="13"/>
        <v>✅ 09:45</v>
      </c>
      <c r="H155" s="121">
        <v>0.40625</v>
      </c>
      <c r="I155" s="117" t="str">
        <f t="shared" si="14"/>
        <v>✅ 18:25</v>
      </c>
      <c r="J155" s="121">
        <v>0.7673611111111112</v>
      </c>
      <c r="K155" s="126">
        <f t="shared" si="17"/>
        <v>0.3611111111</v>
      </c>
      <c r="L155" s="127" t="str">
        <f t="shared" si="15"/>
        <v>✅ Finalizado</v>
      </c>
      <c r="M155" s="110"/>
      <c r="N155" s="110"/>
    </row>
    <row r="156" ht="27.75" customHeight="1">
      <c r="A156" s="111">
        <f>151</f>
        <v>151</v>
      </c>
      <c r="B156" s="112" t="s">
        <v>249</v>
      </c>
      <c r="C156" s="123" t="str">
        <f t="array" ref="C156">IF(B156="","",IFERROR(INDEX('FUNCIONÁRIOS'!$B$4:$B$501,MATCH(B156,'FUNCIONÁRIOS'!$C$4:$C$501,0)),""))</f>
        <v>REISFORT</v>
      </c>
      <c r="D156" s="123" t="str">
        <f t="array" ref="D156">IF(B156="","",IFERROR(INDEX('FUNCIONÁRIOS'!$D$4:$D$501,MATCH(B156,'FUNCIONÁRIOS'!$C$4:$C$501,0)),""))</f>
        <v>MOTORISTA </v>
      </c>
      <c r="E156" s="120" t="s">
        <v>98</v>
      </c>
      <c r="F156" s="138">
        <v>46163.0</v>
      </c>
      <c r="G156" s="115" t="str">
        <f t="shared" si="13"/>
        <v>✅ 10:05</v>
      </c>
      <c r="H156" s="116" t="s">
        <v>1638</v>
      </c>
      <c r="I156" s="117" t="str">
        <f t="shared" si="14"/>
        <v>✅ 18:25</v>
      </c>
      <c r="J156" s="121">
        <v>0.7673611111111112</v>
      </c>
      <c r="K156" s="139"/>
      <c r="L156" s="127" t="str">
        <f t="shared" si="15"/>
        <v>✅ Finalizado</v>
      </c>
      <c r="M156" s="110"/>
      <c r="N156" s="110"/>
    </row>
    <row r="157" ht="21.75" customHeight="1">
      <c r="A157" s="111">
        <f>152</f>
        <v>152</v>
      </c>
      <c r="B157" s="112" t="s">
        <v>251</v>
      </c>
      <c r="C157" s="113" t="str">
        <f t="array" ref="C157">IF(B157="","",IFERROR(INDEX('FUNCIONÁRIOS'!$B$4:$B$501,MATCH(B157,'FUNCIONÁRIOS'!$C$4:$C$501,0)),""))</f>
        <v>GO TO </v>
      </c>
      <c r="D157" s="113" t="str">
        <f t="array" ref="D157">IF(B157="","",IFERROR(INDEX('FUNCIONÁRIOS'!$D$4:$D$501,MATCH(B157,'FUNCIONÁRIOS'!$C$4:$C$501,0)),""))</f>
        <v>CENOTECNICO </v>
      </c>
      <c r="E157" s="124" t="s">
        <v>98</v>
      </c>
      <c r="F157" s="138">
        <v>46163.0</v>
      </c>
      <c r="G157" s="115" t="str">
        <f t="shared" si="13"/>
        <v>✅ 13:45</v>
      </c>
      <c r="H157" s="116" t="s">
        <v>1639</v>
      </c>
      <c r="I157" s="117" t="str">
        <f t="shared" si="14"/>
        <v>✅ 18:25</v>
      </c>
      <c r="J157" s="121">
        <v>0.7673611111111112</v>
      </c>
      <c r="K157" s="139"/>
      <c r="L157" s="127" t="str">
        <f t="shared" si="15"/>
        <v>✅ Finalizado</v>
      </c>
      <c r="M157" s="110"/>
      <c r="N157" s="110"/>
    </row>
    <row r="158" ht="21.75" customHeight="1">
      <c r="A158" s="111">
        <f>153</f>
        <v>153</v>
      </c>
      <c r="B158" s="112" t="s">
        <v>215</v>
      </c>
      <c r="C158" s="123" t="str">
        <f t="array" ref="C158">IF(B158="","",IFERROR(INDEX('FUNCIONÁRIOS'!$B$4:$B$501,MATCH(B158,'FUNCIONÁRIOS'!$C$4:$C$501,0)),""))</f>
        <v>GO TO </v>
      </c>
      <c r="D158" s="123" t="str">
        <f t="array" ref="D158">IF(B158="","",IFERROR(INDEX('FUNCIONÁRIOS'!$D$4:$D$501,MATCH(B158,'FUNCIONÁRIOS'!$C$4:$C$501,0)),""))</f>
        <v>CENOGRAFIA </v>
      </c>
      <c r="E158" s="123" t="str">
        <f t="array" ref="E158">IF(B158="","",IFERROR(INDEX('FUNCIONÁRIOS'!$E$4:$E$501,MATCH(B158,'FUNCIONÁRIOS'!$C$4:$C$501,0)),""))</f>
        <v>NÃO</v>
      </c>
      <c r="F158" s="138">
        <v>46163.0</v>
      </c>
      <c r="G158" s="115" t="str">
        <f t="shared" si="13"/>
        <v>✅ 13:45</v>
      </c>
      <c r="H158" s="116" t="s">
        <v>1639</v>
      </c>
      <c r="I158" s="117" t="str">
        <f t="shared" si="14"/>
        <v>→ Selecione a linha e use o menu ⏱️ Ponto</v>
      </c>
      <c r="J158" s="151"/>
      <c r="K158" s="139"/>
      <c r="L158" s="127" t="str">
        <f t="shared" si="15"/>
        <v>🟢 No Evento</v>
      </c>
      <c r="M158" s="110"/>
      <c r="N158" s="110"/>
    </row>
    <row r="159" ht="21.75" customHeight="1">
      <c r="A159" s="111">
        <f>154</f>
        <v>154</v>
      </c>
      <c r="B159" s="112" t="s">
        <v>253</v>
      </c>
      <c r="C159" s="113" t="str">
        <f t="array" ref="C159">IF(B159="","",IFERROR(INDEX('FUNCIONÁRIOS'!$B$4:$B$501,MATCH(B159,'FUNCIONÁRIOS'!$C$4:$C$501,0)),""))</f>
        <v>BIGODE </v>
      </c>
      <c r="D159" s="113" t="str">
        <f t="array" ref="D159">IF(B159="","",IFERROR(INDEX('FUNCIONÁRIOS'!$D$4:$D$501,MATCH(B159,'FUNCIONÁRIOS'!$C$4:$C$501,0)),""))</f>
        <v>CONTROLE DE ACESSO</v>
      </c>
      <c r="E159" s="113" t="str">
        <f t="array" ref="E159">IF(B159="","",IFERROR(INDEX('FUNCIONÁRIOS'!$E$4:$E$501,MATCH(B159,'FUNCIONÁRIOS'!$C$4:$C$501,0)),""))</f>
        <v>NÃO</v>
      </c>
      <c r="F159" s="138">
        <v>46163.0</v>
      </c>
      <c r="G159" s="115" t="str">
        <f t="shared" si="13"/>
        <v>✅ 13:47</v>
      </c>
      <c r="H159" s="116" t="s">
        <v>1640</v>
      </c>
      <c r="I159" s="117" t="str">
        <f t="shared" si="14"/>
        <v>→ Selecione a linha e use o menu ⏱️ Ponto</v>
      </c>
      <c r="J159" s="151"/>
      <c r="K159" s="139"/>
      <c r="L159" s="127" t="str">
        <f t="shared" si="15"/>
        <v>🟢 No Evento</v>
      </c>
      <c r="M159" s="110"/>
      <c r="N159" s="110"/>
    </row>
    <row r="160" ht="21.75" customHeight="1">
      <c r="A160" s="111">
        <f>155</f>
        <v>155</v>
      </c>
      <c r="B160" s="112" t="s">
        <v>254</v>
      </c>
      <c r="C160" s="123" t="str">
        <f t="array" ref="C160">IF(B160="","",IFERROR(INDEX('FUNCIONÁRIOS'!$B$4:$B$501,MATCH(B160,'FUNCIONÁRIOS'!$C$4:$C$501,0)),""))</f>
        <v>GO TO </v>
      </c>
      <c r="D160" s="123" t="str">
        <f t="array" ref="D160">IF(B160="","",IFERROR(INDEX('FUNCIONÁRIOS'!$D$4:$D$501,MATCH(B160,'FUNCIONÁRIOS'!$C$4:$C$501,0)),""))</f>
        <v>DIRETOR </v>
      </c>
      <c r="E160" s="123" t="str">
        <f t="array" ref="E160">IF(B160="","",IFERROR(INDEX('FUNCIONÁRIOS'!$E$4:$E$501,MATCH(B160,'FUNCIONÁRIOS'!$C$4:$C$501,0)),""))</f>
        <v>NÃO</v>
      </c>
      <c r="F160" s="138">
        <v>46163.0</v>
      </c>
      <c r="G160" s="115" t="str">
        <f t="shared" si="13"/>
        <v>✅ 14:30</v>
      </c>
      <c r="H160" s="116" t="s">
        <v>1641</v>
      </c>
      <c r="I160" s="117" t="str">
        <f t="shared" si="14"/>
        <v>✅ 18:00</v>
      </c>
      <c r="J160" s="121">
        <v>0.75</v>
      </c>
      <c r="K160" s="139"/>
      <c r="L160" s="127" t="str">
        <f t="shared" si="15"/>
        <v>✅ Finalizado</v>
      </c>
      <c r="M160" s="110"/>
      <c r="N160" s="110"/>
    </row>
    <row r="161" ht="21.75" customHeight="1">
      <c r="A161" s="111">
        <f>156</f>
        <v>156</v>
      </c>
      <c r="B161" s="112" t="s">
        <v>255</v>
      </c>
      <c r="C161" s="113" t="str">
        <f t="array" ref="C161">IF(B161="","",IFERROR(INDEX('FUNCIONÁRIOS'!$B$4:$B$501,MATCH(B161,'FUNCIONÁRIOS'!$C$4:$C$501,0)),""))</f>
        <v>GO TO </v>
      </c>
      <c r="D161" s="113" t="str">
        <f t="array" ref="D161">IF(B161="","",IFERROR(INDEX('FUNCIONÁRIOS'!$D$4:$D$501,MATCH(B161,'FUNCIONÁRIOS'!$C$4:$C$501,0)),""))</f>
        <v>ARQUITETO </v>
      </c>
      <c r="E161" s="113" t="str">
        <f t="array" ref="E161">IF(B161="","",IFERROR(INDEX('FUNCIONÁRIOS'!$E$4:$E$501,MATCH(B161,'FUNCIONÁRIOS'!$C$4:$C$501,0)),""))</f>
        <v>NÃO</v>
      </c>
      <c r="F161" s="138">
        <v>46163.0</v>
      </c>
      <c r="G161" s="115" t="str">
        <f t="shared" si="13"/>
        <v>✅ 14:34</v>
      </c>
      <c r="H161" s="116" t="s">
        <v>1642</v>
      </c>
      <c r="I161" s="117" t="str">
        <f t="shared" si="14"/>
        <v>✅ 18:00</v>
      </c>
      <c r="J161" s="121">
        <v>0.75</v>
      </c>
      <c r="K161" s="139"/>
      <c r="L161" s="127" t="str">
        <f t="shared" si="15"/>
        <v>✅ Finalizado</v>
      </c>
      <c r="M161" s="110"/>
      <c r="N161" s="110"/>
    </row>
    <row r="162" ht="21.75" customHeight="1">
      <c r="A162" s="111">
        <f>157</f>
        <v>157</v>
      </c>
      <c r="B162" s="112" t="s">
        <v>257</v>
      </c>
      <c r="C162" s="123" t="str">
        <f t="array" ref="C162">IF(B162="","",IFERROR(INDEX('FUNCIONÁRIOS'!$B$4:$B$501,MATCH(B162,'FUNCIONÁRIOS'!$C$4:$C$501,0)),""))</f>
        <v>LINE TAPE </v>
      </c>
      <c r="D162" s="123" t="str">
        <f t="array" ref="D162">IF(B162="","",IFERROR(INDEX('FUNCIONÁRIOS'!$D$4:$D$501,MATCH(B162,'FUNCIONÁRIOS'!$C$4:$C$501,0)),""))</f>
        <v>ILUMINAÇÃO </v>
      </c>
      <c r="E162" s="123" t="str">
        <f t="array" ref="E162">IF(B162="","",IFERROR(INDEX('FUNCIONÁRIOS'!$E$4:$E$501,MATCH(B162,'FUNCIONÁRIOS'!$C$4:$C$501,0)),""))</f>
        <v>NÃO</v>
      </c>
      <c r="F162" s="138">
        <v>46163.0</v>
      </c>
      <c r="G162" s="115" t="str">
        <f t="shared" si="13"/>
        <v>✅ 14:36</v>
      </c>
      <c r="H162" s="116" t="s">
        <v>1643</v>
      </c>
      <c r="I162" s="117" t="str">
        <f t="shared" si="14"/>
        <v>✅ 15:13</v>
      </c>
      <c r="J162" s="116" t="s">
        <v>1644</v>
      </c>
      <c r="K162" s="118">
        <v>0.025694444444444464</v>
      </c>
      <c r="L162" s="127" t="str">
        <f t="shared" si="15"/>
        <v>✅ Finalizado</v>
      </c>
      <c r="M162" s="110"/>
      <c r="N162" s="110"/>
    </row>
    <row r="163" ht="21.75" customHeight="1">
      <c r="A163" s="111">
        <f>158</f>
        <v>158</v>
      </c>
      <c r="B163" s="112" t="s">
        <v>259</v>
      </c>
      <c r="C163" s="113" t="str">
        <f t="array" ref="C163">IF(B163="","",IFERROR(INDEX('FUNCIONÁRIOS'!$B$4:$B$501,MATCH(B163,'FUNCIONÁRIOS'!$C$4:$C$501,0)),""))</f>
        <v>LINE TAPE </v>
      </c>
      <c r="D163" s="113" t="str">
        <f t="array" ref="D163">IF(B163="","",IFERROR(INDEX('FUNCIONÁRIOS'!$D$4:$D$501,MATCH(B163,'FUNCIONÁRIOS'!$C$4:$C$501,0)),""))</f>
        <v>ILUMINAÇÃO </v>
      </c>
      <c r="E163" s="113" t="str">
        <f t="array" ref="E163">IF(B163="","",IFERROR(INDEX('FUNCIONÁRIOS'!$E$4:$E$501,MATCH(B163,'FUNCIONÁRIOS'!$C$4:$C$501,0)),""))</f>
        <v>NÃO</v>
      </c>
      <c r="F163" s="138">
        <v>46163.0</v>
      </c>
      <c r="G163" s="115" t="str">
        <f t="shared" si="13"/>
        <v>✅ 14:35</v>
      </c>
      <c r="H163" s="116" t="s">
        <v>1645</v>
      </c>
      <c r="I163" s="117" t="str">
        <f t="shared" si="14"/>
        <v>✅ 15:13</v>
      </c>
      <c r="J163" s="116" t="s">
        <v>1644</v>
      </c>
      <c r="K163" s="118">
        <v>0.026388888888888906</v>
      </c>
      <c r="L163" s="127" t="str">
        <f t="shared" si="15"/>
        <v>✅ Finalizado</v>
      </c>
      <c r="M163" s="110"/>
      <c r="N163" s="110"/>
    </row>
    <row r="164" ht="21.75" customHeight="1">
      <c r="A164" s="111">
        <f>159</f>
        <v>159</v>
      </c>
      <c r="B164" s="112" t="s">
        <v>176</v>
      </c>
      <c r="C164" s="144" t="str">
        <f t="array" ref="C164">IF(B164="","",IFERROR(INDEX('FUNCIONÁRIOS'!$B$4:$B$501,MATCH(B164,'FUNCIONÁRIOS'!$C$4:$C$501,0)),""))</f>
        <v>TJ SERVIÇOS</v>
      </c>
      <c r="D164" s="144" t="str">
        <f t="array" ref="D164">IF(B164="","",IFERROR(INDEX('FUNCIONÁRIOS'!$D$4:$D$501,MATCH(B164,'FUNCIONÁRIOS'!$C$4:$C$501,0)),""))</f>
        <v>BRIGADISTA</v>
      </c>
      <c r="E164" s="123" t="str">
        <f t="array" ref="E164">IF(B164="","",IFERROR(INDEX('FUNCIONÁRIOS'!$E$4:$E$501,MATCH(B164,'FUNCIONÁRIOS'!$C$4:$C$501,0)),""))</f>
        <v>NÃO</v>
      </c>
      <c r="F164" s="138">
        <v>46164.0</v>
      </c>
      <c r="G164" s="115" t="str">
        <f t="shared" si="13"/>
        <v>✅ 07:59</v>
      </c>
      <c r="H164" s="121">
        <v>0.3326388888888889</v>
      </c>
      <c r="I164" s="117" t="str">
        <f t="shared" si="14"/>
        <v>✅ 18:04</v>
      </c>
      <c r="J164" s="121">
        <v>0.7527777777777778</v>
      </c>
      <c r="K164" s="126">
        <f t="shared" ref="K164:K212" si="18">IF(AND(H164&lt;&gt;"",J164&lt;&gt;""),J164-H164,"")</f>
        <v>0.4201388889</v>
      </c>
      <c r="L164" s="127" t="str">
        <f t="shared" si="15"/>
        <v>✅ Finalizado</v>
      </c>
      <c r="M164" s="110"/>
      <c r="N164" s="110"/>
    </row>
    <row r="165" ht="21.75" customHeight="1">
      <c r="A165" s="111">
        <f>160</f>
        <v>160</v>
      </c>
      <c r="B165" s="112" t="s">
        <v>132</v>
      </c>
      <c r="C165" s="143" t="str">
        <f t="array" ref="C165">IF(B165="","",IFERROR(INDEX('FUNCIONÁRIOS'!$B$4:$B$501,MATCH(B165,'FUNCIONÁRIOS'!$C$4:$C$501,0)),""))</f>
        <v>TJ SERVIÇOS</v>
      </c>
      <c r="D165" s="143" t="str">
        <f t="array" ref="D165">IF(B165="","",IFERROR(INDEX('FUNCIONÁRIOS'!$D$4:$D$501,MATCH(B165,'FUNCIONÁRIOS'!$C$4:$C$501,0)),""))</f>
        <v>BRIGADISTA </v>
      </c>
      <c r="E165" s="113" t="str">
        <f t="array" ref="E165">IF(B165="","",IFERROR(INDEX('FUNCIONÁRIOS'!$E$4:$E$501,MATCH(B165,'FUNCIONÁRIOS'!$C$4:$C$501,0)),""))</f>
        <v>NÃO</v>
      </c>
      <c r="F165" s="138">
        <v>46164.0</v>
      </c>
      <c r="G165" s="115" t="str">
        <f t="shared" si="13"/>
        <v>✅ 07:59</v>
      </c>
      <c r="H165" s="121">
        <v>0.3326388888888889</v>
      </c>
      <c r="I165" s="117" t="str">
        <f t="shared" si="14"/>
        <v>✅ 18:04</v>
      </c>
      <c r="J165" s="121">
        <v>0.7527777777777778</v>
      </c>
      <c r="K165" s="126">
        <f t="shared" si="18"/>
        <v>0.4201388889</v>
      </c>
      <c r="L165" s="127" t="str">
        <f t="shared" si="15"/>
        <v>✅ Finalizado</v>
      </c>
      <c r="M165" s="110"/>
      <c r="N165" s="110"/>
    </row>
    <row r="166" ht="21.75" customHeight="1">
      <c r="A166" s="111">
        <f>161</f>
        <v>161</v>
      </c>
      <c r="B166" s="112" t="s">
        <v>309</v>
      </c>
      <c r="C166" s="144" t="str">
        <f t="array" ref="C166">IF(B166="","",IFERROR(INDEX('FUNCIONÁRIOS'!$B$4:$B$501,MATCH(B166,'FUNCIONÁRIOS'!$C$4:$C$501,0)),""))</f>
        <v>PONCIANO SOLUÇÕES </v>
      </c>
      <c r="D166" s="144" t="str">
        <f t="array" ref="D166">IF(B166="","",IFERROR(INDEX('FUNCIONÁRIOS'!$D$4:$D$501,MATCH(B166,'FUNCIONÁRIOS'!$C$4:$C$501,0)),""))</f>
        <v>CREDENCIAMENTO</v>
      </c>
      <c r="E166" s="123" t="str">
        <f t="array" ref="E166">IF(B166="","",IFERROR(INDEX('FUNCIONÁRIOS'!$E$4:$E$501,MATCH(B166,'FUNCIONÁRIOS'!$C$4:$C$501,0)),""))</f>
        <v>NÃO</v>
      </c>
      <c r="F166" s="138">
        <v>46164.0</v>
      </c>
      <c r="G166" s="115" t="str">
        <f t="shared" si="13"/>
        <v>✅ 07:30</v>
      </c>
      <c r="H166" s="121">
        <v>0.3125</v>
      </c>
      <c r="I166" s="117" t="str">
        <f t="shared" si="14"/>
        <v>✅ 18:00</v>
      </c>
      <c r="J166" s="121">
        <v>0.75</v>
      </c>
      <c r="K166" s="126">
        <f t="shared" si="18"/>
        <v>0.4375</v>
      </c>
      <c r="L166" s="127" t="str">
        <f t="shared" si="15"/>
        <v>✅ Finalizado</v>
      </c>
      <c r="M166" s="110"/>
      <c r="N166" s="110"/>
    </row>
    <row r="167" ht="21.75" customHeight="1">
      <c r="A167" s="111">
        <f>162</f>
        <v>162</v>
      </c>
      <c r="B167" s="112" t="s">
        <v>200</v>
      </c>
      <c r="C167" s="143" t="str">
        <f t="array" ref="C167">IF(B167="","",IFERROR(INDEX('FUNCIONÁRIOS'!$B$4:$B$501,MATCH(B167,'FUNCIONÁRIOS'!$C$4:$C$501,0)),""))</f>
        <v>FLASH MED</v>
      </c>
      <c r="D167" s="143" t="str">
        <f t="array" ref="D167">IF(B167="","",IFERROR(INDEX('FUNCIONÁRIOS'!$D$4:$D$501,MATCH(B167,'FUNCIONÁRIOS'!$C$4:$C$501,0)),""))</f>
        <v>ENFERMAGEM </v>
      </c>
      <c r="E167" s="113" t="str">
        <f t="array" ref="E167">IF(B167="","",IFERROR(INDEX('FUNCIONÁRIOS'!$E$4:$E$501,MATCH(B167,'FUNCIONÁRIOS'!$C$4:$C$501,0)),""))</f>
        <v>NÃO</v>
      </c>
      <c r="F167" s="138">
        <v>46164.0</v>
      </c>
      <c r="G167" s="115" t="str">
        <f t="shared" si="13"/>
        <v>✅ 08:05</v>
      </c>
      <c r="H167" s="121">
        <v>0.3368055555555556</v>
      </c>
      <c r="I167" s="117" t="str">
        <f t="shared" si="14"/>
        <v>✅ 18:00</v>
      </c>
      <c r="J167" s="121">
        <v>0.75</v>
      </c>
      <c r="K167" s="126">
        <f t="shared" si="18"/>
        <v>0.4131944444</v>
      </c>
      <c r="L167" s="127" t="str">
        <f t="shared" si="15"/>
        <v>✅ Finalizado</v>
      </c>
      <c r="M167" s="110"/>
      <c r="N167" s="110"/>
    </row>
    <row r="168" ht="21.75" customHeight="1">
      <c r="A168" s="111">
        <f>163</f>
        <v>163</v>
      </c>
      <c r="B168" s="112" t="s">
        <v>135</v>
      </c>
      <c r="C168" s="144" t="str">
        <f t="array" ref="C168">IF(B168="","",IFERROR(INDEX('FUNCIONÁRIOS'!$B$4:$B$501,MATCH(B168,'FUNCIONÁRIOS'!$C$4:$C$501,0)),""))</f>
        <v>FLASH MED</v>
      </c>
      <c r="D168" s="144" t="str">
        <f t="array" ref="D168">IF(B168="","",IFERROR(INDEX('FUNCIONÁRIOS'!$D$4:$D$501,MATCH(B168,'FUNCIONÁRIOS'!$C$4:$C$501,0)),""))</f>
        <v>SOCORRITA</v>
      </c>
      <c r="E168" s="123" t="str">
        <f t="array" ref="E168">IF(B168="","",IFERROR(INDEX('FUNCIONÁRIOS'!$E$4:$E$501,MATCH(B168,'FUNCIONÁRIOS'!$C$4:$C$501,0)),""))</f>
        <v>NÃO</v>
      </c>
      <c r="F168" s="138">
        <v>46164.0</v>
      </c>
      <c r="G168" s="115" t="str">
        <f t="shared" si="13"/>
        <v>✅ 08:05</v>
      </c>
      <c r="H168" s="121">
        <v>0.3368055555555556</v>
      </c>
      <c r="I168" s="117" t="str">
        <f t="shared" si="14"/>
        <v>✅ 18:00</v>
      </c>
      <c r="J168" s="121">
        <v>0.75</v>
      </c>
      <c r="K168" s="126">
        <f t="shared" si="18"/>
        <v>0.4131944444</v>
      </c>
      <c r="L168" s="127" t="str">
        <f t="shared" si="15"/>
        <v>✅ Finalizado</v>
      </c>
      <c r="M168" s="110"/>
      <c r="N168" s="110"/>
    </row>
    <row r="169" ht="21.75" customHeight="1">
      <c r="A169" s="111">
        <f>164</f>
        <v>164</v>
      </c>
      <c r="B169" s="112" t="s">
        <v>126</v>
      </c>
      <c r="C169" s="143" t="str">
        <f t="array" ref="C169">IF(B169="","",IFERROR(INDEX('FUNCIONÁRIOS'!$B$4:$B$501,MATCH(B169,'FUNCIONÁRIOS'!$C$4:$C$501,0)),""))</f>
        <v>MONTE EVENTOS </v>
      </c>
      <c r="D169" s="143" t="str">
        <f t="array" ref="D169">IF(B169="","",IFERROR(INDEX('FUNCIONÁRIOS'!$D$4:$D$501,MATCH(B169,'FUNCIONÁRIOS'!$C$4:$C$501,0)),""))</f>
        <v>MONTADOR</v>
      </c>
      <c r="E169" s="113" t="str">
        <f t="array" ref="E169">IF(B169="","",IFERROR(INDEX('FUNCIONÁRIOS'!$E$4:$E$501,MATCH(B169,'FUNCIONÁRIOS'!$C$4:$C$501,0)),""))</f>
        <v>NÃO</v>
      </c>
      <c r="F169" s="138">
        <v>46164.0</v>
      </c>
      <c r="G169" s="115" t="str">
        <f t="shared" si="13"/>
        <v>✅ 08:05</v>
      </c>
      <c r="H169" s="121">
        <v>0.3368055555555556</v>
      </c>
      <c r="I169" s="117" t="str">
        <f t="shared" si="14"/>
        <v>✅ 18:07</v>
      </c>
      <c r="J169" s="121">
        <v>0.7548611111111111</v>
      </c>
      <c r="K169" s="126">
        <f t="shared" si="18"/>
        <v>0.4180555556</v>
      </c>
      <c r="L169" s="127" t="str">
        <f t="shared" si="15"/>
        <v>✅ Finalizado</v>
      </c>
      <c r="M169" s="110"/>
      <c r="N169" s="110"/>
    </row>
    <row r="170" ht="21.75" customHeight="1">
      <c r="A170" s="111">
        <f>165</f>
        <v>165</v>
      </c>
      <c r="B170" s="112" t="s">
        <v>121</v>
      </c>
      <c r="C170" s="144" t="str">
        <f t="array" ref="C170">IF(B170="","",IFERROR(INDEX('FUNCIONÁRIOS'!$B$4:$B$501,MATCH(B170,'FUNCIONÁRIOS'!$C$4:$C$501,0)),""))</f>
        <v>MONTE EVENTOS </v>
      </c>
      <c r="D170" s="144" t="str">
        <f t="array" ref="D170">IF(B170="","",IFERROR(INDEX('FUNCIONÁRIOS'!$D$4:$D$501,MATCH(B170,'FUNCIONÁRIOS'!$C$4:$C$501,0)),""))</f>
        <v>MONTADOR</v>
      </c>
      <c r="E170" s="123" t="str">
        <f t="array" ref="E170">IF(B170="","",IFERROR(INDEX('FUNCIONÁRIOS'!$E$4:$E$501,MATCH(B170,'FUNCIONÁRIOS'!$C$4:$C$501,0)),""))</f>
        <v>NÃO</v>
      </c>
      <c r="F170" s="138">
        <v>46164.0</v>
      </c>
      <c r="G170" s="115" t="str">
        <f t="shared" si="13"/>
        <v>✅ 08:05</v>
      </c>
      <c r="H170" s="121">
        <v>0.3368055555555556</v>
      </c>
      <c r="I170" s="117" t="str">
        <f t="shared" si="14"/>
        <v>✅ 18:00</v>
      </c>
      <c r="J170" s="121">
        <v>0.75</v>
      </c>
      <c r="K170" s="126">
        <f t="shared" si="18"/>
        <v>0.4131944444</v>
      </c>
      <c r="L170" s="127" t="str">
        <f t="shared" si="15"/>
        <v>✅ Finalizado</v>
      </c>
      <c r="M170" s="110"/>
      <c r="N170" s="110"/>
    </row>
    <row r="171" ht="21.75" customHeight="1">
      <c r="A171" s="111">
        <f>166</f>
        <v>166</v>
      </c>
      <c r="B171" s="112" t="s">
        <v>124</v>
      </c>
      <c r="C171" s="143" t="str">
        <f t="array" ref="C171">IF(B171="","",IFERROR(INDEX('FUNCIONÁRIOS'!$B$4:$B$501,MATCH(B171,'FUNCIONÁRIOS'!$C$4:$C$501,0)),""))</f>
        <v>MONTE EVENTOS </v>
      </c>
      <c r="D171" s="143" t="str">
        <f t="array" ref="D171">IF(B171="","",IFERROR(INDEX('FUNCIONÁRIOS'!$D$4:$D$501,MATCH(B171,'FUNCIONÁRIOS'!$C$4:$C$501,0)),""))</f>
        <v>MONTADOR</v>
      </c>
      <c r="E171" s="113" t="str">
        <f t="array" ref="E171">IF(B171="","",IFERROR(INDEX('FUNCIONÁRIOS'!$E$4:$E$501,MATCH(B171,'FUNCIONÁRIOS'!$C$4:$C$501,0)),""))</f>
        <v>NÃO</v>
      </c>
      <c r="F171" s="138">
        <v>46164.0</v>
      </c>
      <c r="G171" s="115" t="str">
        <f t="shared" si="13"/>
        <v>✅ 08:05</v>
      </c>
      <c r="H171" s="121">
        <v>0.3368055555555556</v>
      </c>
      <c r="I171" s="117" t="str">
        <f t="shared" si="14"/>
        <v>✅ 18:00</v>
      </c>
      <c r="J171" s="121">
        <v>0.75</v>
      </c>
      <c r="K171" s="126">
        <f t="shared" si="18"/>
        <v>0.4131944444</v>
      </c>
      <c r="L171" s="127" t="str">
        <f t="shared" si="15"/>
        <v>✅ Finalizado</v>
      </c>
      <c r="M171" s="110"/>
      <c r="N171" s="110"/>
    </row>
    <row r="172" ht="21.75" customHeight="1">
      <c r="A172" s="111">
        <f>167</f>
        <v>167</v>
      </c>
      <c r="B172" s="112" t="s">
        <v>100</v>
      </c>
      <c r="C172" s="144" t="str">
        <f t="array" ref="C172">IF(B172="","",IFERROR(INDEX('FUNCIONÁRIOS'!$B$4:$B$501,MATCH(B172,'FUNCIONÁRIOS'!$C$4:$C$501,0)),""))</f>
        <v>MONTE EVENTOS </v>
      </c>
      <c r="D172" s="144" t="str">
        <f t="array" ref="D172">IF(B172="","",IFERROR(INDEX('FUNCIONÁRIOS'!$D$4:$D$501,MATCH(B172,'FUNCIONÁRIOS'!$C$4:$C$501,0)),""))</f>
        <v>MONTADOR</v>
      </c>
      <c r="E172" s="123" t="str">
        <f t="array" ref="E172">IF(B172="","",IFERROR(INDEX('FUNCIONÁRIOS'!$E$4:$E$501,MATCH(B172,'FUNCIONÁRIOS'!$C$4:$C$501,0)),""))</f>
        <v>NÃO</v>
      </c>
      <c r="F172" s="138">
        <v>46164.0</v>
      </c>
      <c r="G172" s="115" t="str">
        <f t="shared" si="13"/>
        <v>✅ 08:05</v>
      </c>
      <c r="H172" s="121">
        <v>0.3368055555555556</v>
      </c>
      <c r="I172" s="117" t="str">
        <f t="shared" si="14"/>
        <v>✅ 18:00</v>
      </c>
      <c r="J172" s="121">
        <v>0.75</v>
      </c>
      <c r="K172" s="126">
        <f t="shared" si="18"/>
        <v>0.4131944444</v>
      </c>
      <c r="L172" s="127" t="str">
        <f t="shared" si="15"/>
        <v>✅ Finalizado</v>
      </c>
      <c r="M172" s="110"/>
      <c r="N172" s="110"/>
    </row>
    <row r="173" ht="21.75" customHeight="1">
      <c r="A173" s="111">
        <f>168</f>
        <v>168</v>
      </c>
      <c r="B173" s="112" t="s">
        <v>143</v>
      </c>
      <c r="C173" s="143" t="str">
        <f t="array" ref="C173">IF(B173="","",IFERROR(INDEX('FUNCIONÁRIOS'!$B$4:$B$501,MATCH(B173,'FUNCIONÁRIOS'!$C$4:$C$501,0)),""))</f>
        <v/>
      </c>
      <c r="D173" s="143" t="str">
        <f t="array" ref="D173">IF(B173="","",IFERROR(INDEX('FUNCIONÁRIOS'!$D$4:$D$501,MATCH(B173,'FUNCIONÁRIOS'!$C$4:$C$501,0)),""))</f>
        <v>OPERADOR DE EMPILHADEIRA </v>
      </c>
      <c r="E173" s="113" t="str">
        <f t="array" ref="E173">IF(B173="","",IFERROR(INDEX('FUNCIONÁRIOS'!$E$4:$E$501,MATCH(B173,'FUNCIONÁRIOS'!$C$4:$C$501,0)),""))</f>
        <v>NÃO</v>
      </c>
      <c r="F173" s="138">
        <v>46164.0</v>
      </c>
      <c r="G173" s="115" t="str">
        <f t="shared" si="13"/>
        <v>✅ 08:05</v>
      </c>
      <c r="H173" s="121">
        <v>0.3368055555555556</v>
      </c>
      <c r="I173" s="117" t="str">
        <f t="shared" si="14"/>
        <v>✅ 17:54</v>
      </c>
      <c r="J173" s="121">
        <v>0.7458333333333333</v>
      </c>
      <c r="K173" s="126">
        <f t="shared" si="18"/>
        <v>0.4090277778</v>
      </c>
      <c r="L173" s="127" t="str">
        <f t="shared" si="15"/>
        <v>✅ Finalizado</v>
      </c>
      <c r="M173" s="110"/>
      <c r="N173" s="110"/>
    </row>
    <row r="174" ht="21.75" customHeight="1">
      <c r="A174" s="111">
        <f>169</f>
        <v>169</v>
      </c>
      <c r="B174" s="112" t="s">
        <v>213</v>
      </c>
      <c r="C174" s="144" t="str">
        <f t="array" ref="C174">IF(B174="","",IFERROR(INDEX('FUNCIONÁRIOS'!$B$4:$B$501,MATCH(B174,'FUNCIONÁRIOS'!$C$4:$C$501,0)),""))</f>
        <v>YES </v>
      </c>
      <c r="D174" s="144" t="str">
        <f t="array" ref="D174">IF(B174="","",IFERROR(INDEX('FUNCIONÁRIOS'!$D$4:$D$501,MATCH(B174,'FUNCIONÁRIOS'!$C$4:$C$501,0)),""))</f>
        <v>TEC SEGURANÇA DO TRABALHO </v>
      </c>
      <c r="E174" s="123" t="str">
        <f t="array" ref="E174">IF(B174="","",IFERROR(INDEX('FUNCIONÁRIOS'!$E$4:$E$501,MATCH(B174,'FUNCIONÁRIOS'!$C$4:$C$501,0)),""))</f>
        <v>NÃO</v>
      </c>
      <c r="F174" s="138">
        <v>46164.0</v>
      </c>
      <c r="G174" s="115" t="str">
        <f t="shared" si="13"/>
        <v>✅ 08:08</v>
      </c>
      <c r="H174" s="121">
        <v>0.3388888888888889</v>
      </c>
      <c r="I174" s="117" t="str">
        <f t="shared" si="14"/>
        <v>✅ 18:05</v>
      </c>
      <c r="J174" s="121">
        <v>0.7534722222222222</v>
      </c>
      <c r="K174" s="126">
        <f t="shared" si="18"/>
        <v>0.4145833333</v>
      </c>
      <c r="L174" s="127" t="str">
        <f t="shared" si="15"/>
        <v>✅ Finalizado</v>
      </c>
      <c r="M174" s="110"/>
      <c r="N174" s="110"/>
    </row>
    <row r="175" ht="21.75" customHeight="1">
      <c r="A175" s="111">
        <f>170</f>
        <v>170</v>
      </c>
      <c r="B175" s="112" t="s">
        <v>118</v>
      </c>
      <c r="C175" s="143" t="str">
        <f t="array" ref="C175">IF(B175="","",IFERROR(INDEX('FUNCIONÁRIOS'!$B$4:$B$501,MATCH(B175,'FUNCIONÁRIOS'!$C$4:$C$501,0)),""))</f>
        <v>MONTE EVENTOS </v>
      </c>
      <c r="D175" s="143" t="str">
        <f t="array" ref="D175">IF(B175="","",IFERROR(INDEX('FUNCIONÁRIOS'!$D$4:$D$501,MATCH(B175,'FUNCIONÁRIOS'!$C$4:$C$501,0)),""))</f>
        <v>MONTADOR</v>
      </c>
      <c r="E175" s="113" t="str">
        <f t="array" ref="E175">IF(B175="","",IFERROR(INDEX('FUNCIONÁRIOS'!$E$4:$E$501,MATCH(B175,'FUNCIONÁRIOS'!$C$4:$C$501,0)),""))</f>
        <v>NÃO</v>
      </c>
      <c r="F175" s="138">
        <v>46164.0</v>
      </c>
      <c r="G175" s="115" t="str">
        <f t="shared" si="13"/>
        <v>✅ 08:10</v>
      </c>
      <c r="H175" s="121">
        <v>0.3402777777777778</v>
      </c>
      <c r="I175" s="117" t="str">
        <f t="shared" si="14"/>
        <v>✅ 18:00</v>
      </c>
      <c r="J175" s="121">
        <v>0.75</v>
      </c>
      <c r="K175" s="126">
        <f t="shared" si="18"/>
        <v>0.4097222222</v>
      </c>
      <c r="L175" s="127" t="str">
        <f t="shared" si="15"/>
        <v>✅ Finalizado</v>
      </c>
      <c r="M175" s="110"/>
      <c r="N175" s="110"/>
    </row>
    <row r="176" ht="21.75" customHeight="1">
      <c r="A176" s="111">
        <f>171</f>
        <v>171</v>
      </c>
      <c r="B176" s="112" t="s">
        <v>232</v>
      </c>
      <c r="C176" s="144" t="str">
        <f t="array" ref="C176">IF(B176="","",IFERROR(INDEX('FUNCIONÁRIOS'!$B$4:$B$501,MATCH(B176,'FUNCIONÁRIOS'!$C$4:$C$501,0)),""))</f>
        <v>UP MUSIC </v>
      </c>
      <c r="D176" s="144" t="str">
        <f t="array" ref="D176">IF(B176="","",IFERROR(INDEX('FUNCIONÁRIOS'!$D$4:$D$501,MATCH(B176,'FUNCIONÁRIOS'!$C$4:$C$501,0)),""))</f>
        <v>PRODUTOR GERAL </v>
      </c>
      <c r="E176" s="123" t="str">
        <f t="array" ref="E176">IF(B176="","",IFERROR(INDEX('FUNCIONÁRIOS'!$E$4:$E$501,MATCH(B176,'FUNCIONÁRIOS'!$C$4:$C$501,0)),""))</f>
        <v>SIM</v>
      </c>
      <c r="F176" s="138">
        <v>46164.0</v>
      </c>
      <c r="G176" s="115" t="str">
        <f t="shared" si="13"/>
        <v>✅ 08:14</v>
      </c>
      <c r="H176" s="121">
        <v>0.34305555555555556</v>
      </c>
      <c r="I176" s="117" t="str">
        <f t="shared" si="14"/>
        <v>✅ 17:37</v>
      </c>
      <c r="J176" s="121">
        <v>0.7340277777777777</v>
      </c>
      <c r="K176" s="126">
        <f t="shared" si="18"/>
        <v>0.3909722222</v>
      </c>
      <c r="L176" s="127" t="str">
        <f t="shared" si="15"/>
        <v>✅ Finalizado</v>
      </c>
      <c r="M176" s="110"/>
      <c r="N176" s="110"/>
    </row>
    <row r="177" ht="21.75" customHeight="1">
      <c r="A177" s="111">
        <f>172</f>
        <v>172</v>
      </c>
      <c r="B177" s="112" t="s">
        <v>220</v>
      </c>
      <c r="C177" s="143" t="str">
        <f t="array" ref="C177">IF(B177="","",IFERROR(INDEX('FUNCIONÁRIOS'!$B$4:$B$501,MATCH(B177,'FUNCIONÁRIOS'!$C$4:$C$501,0)),""))</f>
        <v>ELEMENT </v>
      </c>
      <c r="D177" s="143" t="str">
        <f t="array" ref="D177">IF(B177="","",IFERROR(INDEX('FUNCIONÁRIOS'!$D$4:$D$501,MATCH(B177,'FUNCIONÁRIOS'!$C$4:$C$501,0)),""))</f>
        <v>PRODUÇÃO </v>
      </c>
      <c r="E177" s="113" t="str">
        <f t="array" ref="E177">IF(B177="","",IFERROR(INDEX('FUNCIONÁRIOS'!$E$4:$E$501,MATCH(B177,'FUNCIONÁRIOS'!$C$4:$C$501,0)),""))</f>
        <v>NÃO</v>
      </c>
      <c r="F177" s="138">
        <v>46164.0</v>
      </c>
      <c r="G177" s="115" t="str">
        <f t="shared" si="13"/>
        <v>✅ 08:16</v>
      </c>
      <c r="H177" s="121">
        <v>0.34444444444444444</v>
      </c>
      <c r="I177" s="117" t="str">
        <f t="shared" si="14"/>
        <v>✅ 17:37</v>
      </c>
      <c r="J177" s="121">
        <v>0.7340277777777777</v>
      </c>
      <c r="K177" s="126">
        <f t="shared" si="18"/>
        <v>0.3895833333</v>
      </c>
      <c r="L177" s="127" t="str">
        <f t="shared" si="15"/>
        <v>✅ Finalizado</v>
      </c>
      <c r="M177" s="110"/>
      <c r="N177" s="110"/>
    </row>
    <row r="178" ht="21.75" customHeight="1">
      <c r="A178" s="111">
        <f>173</f>
        <v>173</v>
      </c>
      <c r="B178" s="112" t="s">
        <v>140</v>
      </c>
      <c r="C178" s="144" t="str">
        <f t="array" ref="C178">IF(B178="","",IFERROR(INDEX('FUNCIONÁRIOS'!$B$4:$B$501,MATCH(B178,'FUNCIONÁRIOS'!$C$4:$C$501,0)),""))</f>
        <v>BIGODE </v>
      </c>
      <c r="D178" s="144" t="str">
        <f t="array" ref="D178">IF(B178="","",IFERROR(INDEX('FUNCIONÁRIOS'!$D$4:$D$501,MATCH(B178,'FUNCIONÁRIOS'!$C$4:$C$501,0)),""))</f>
        <v>CONTROLE DE ACESSO</v>
      </c>
      <c r="E178" s="123" t="str">
        <f t="array" ref="E178">IF(B178="","",IFERROR(INDEX('FUNCIONÁRIOS'!$E$4:$E$501,MATCH(B178,'FUNCIONÁRIOS'!$C$4:$C$501,0)),""))</f>
        <v>NÃO</v>
      </c>
      <c r="F178" s="138">
        <v>46164.0</v>
      </c>
      <c r="G178" s="115" t="str">
        <f t="shared" si="13"/>
        <v>✅ 08:17</v>
      </c>
      <c r="H178" s="121">
        <v>0.3451388888888889</v>
      </c>
      <c r="I178" s="117" t="str">
        <f t="shared" si="14"/>
        <v>✅ 18:14</v>
      </c>
      <c r="J178" s="121">
        <v>0.7597222222222222</v>
      </c>
      <c r="K178" s="126">
        <f t="shared" si="18"/>
        <v>0.4145833333</v>
      </c>
      <c r="L178" s="127" t="str">
        <f t="shared" si="15"/>
        <v>✅ Finalizado</v>
      </c>
      <c r="M178" s="110"/>
      <c r="N178" s="110"/>
    </row>
    <row r="179" ht="21.75" customHeight="1">
      <c r="A179" s="111">
        <f>174</f>
        <v>174</v>
      </c>
      <c r="B179" s="112" t="s">
        <v>142</v>
      </c>
      <c r="C179" s="143" t="str">
        <f t="array" ref="C179">IF(B179="","",IFERROR(INDEX('FUNCIONÁRIOS'!$B$4:$B$501,MATCH(B179,'FUNCIONÁRIOS'!$C$4:$C$501,0)),""))</f>
        <v>BIGODE </v>
      </c>
      <c r="D179" s="143" t="str">
        <f t="array" ref="D179">IF(B179="","",IFERROR(INDEX('FUNCIONÁRIOS'!$D$4:$D$501,MATCH(B179,'FUNCIONÁRIOS'!$C$4:$C$501,0)),""))</f>
        <v>CONTROLE DE ACESSO</v>
      </c>
      <c r="E179" s="113" t="str">
        <f t="array" ref="E179">IF(B179="","",IFERROR(INDEX('FUNCIONÁRIOS'!$E$4:$E$501,MATCH(B179,'FUNCIONÁRIOS'!$C$4:$C$501,0)),""))</f>
        <v>NÃO</v>
      </c>
      <c r="F179" s="138">
        <v>46164.0</v>
      </c>
      <c r="G179" s="115" t="str">
        <f t="shared" si="13"/>
        <v>✅ 08:17</v>
      </c>
      <c r="H179" s="121">
        <v>0.3451388888888889</v>
      </c>
      <c r="I179" s="117" t="str">
        <f t="shared" si="14"/>
        <v>✅ 18:14</v>
      </c>
      <c r="J179" s="121">
        <v>0.7597222222222222</v>
      </c>
      <c r="K179" s="126">
        <f t="shared" si="18"/>
        <v>0.4145833333</v>
      </c>
      <c r="L179" s="127" t="str">
        <f t="shared" si="15"/>
        <v>✅ Finalizado</v>
      </c>
      <c r="M179" s="110"/>
      <c r="N179" s="110"/>
    </row>
    <row r="180" ht="21.75" customHeight="1">
      <c r="A180" s="111">
        <f>175</f>
        <v>175</v>
      </c>
      <c r="B180" s="112" t="s">
        <v>253</v>
      </c>
      <c r="C180" s="144" t="str">
        <f t="array" ref="C180">IF(B180="","",IFERROR(INDEX('FUNCIONÁRIOS'!$B$4:$B$501,MATCH(B180,'FUNCIONÁRIOS'!$C$4:$C$501,0)),""))</f>
        <v>BIGODE </v>
      </c>
      <c r="D180" s="144" t="str">
        <f t="array" ref="D180">IF(B180="","",IFERROR(INDEX('FUNCIONÁRIOS'!$D$4:$D$501,MATCH(B180,'FUNCIONÁRIOS'!$C$4:$C$501,0)),""))</f>
        <v>CONTROLE DE ACESSO</v>
      </c>
      <c r="E180" s="123" t="str">
        <f t="array" ref="E180">IF(B180="","",IFERROR(INDEX('FUNCIONÁRIOS'!$E$4:$E$501,MATCH(B180,'FUNCIONÁRIOS'!$C$4:$C$501,0)),""))</f>
        <v>NÃO</v>
      </c>
      <c r="F180" s="138">
        <v>46164.0</v>
      </c>
      <c r="G180" s="115" t="str">
        <f t="shared" si="13"/>
        <v>✅ 08:17</v>
      </c>
      <c r="H180" s="121">
        <v>0.3451388888888889</v>
      </c>
      <c r="I180" s="117" t="str">
        <f t="shared" si="14"/>
        <v>✅ 18:14</v>
      </c>
      <c r="J180" s="121">
        <v>0.7597222222222222</v>
      </c>
      <c r="K180" s="126">
        <f t="shared" si="18"/>
        <v>0.4145833333</v>
      </c>
      <c r="L180" s="127" t="str">
        <f t="shared" si="15"/>
        <v>✅ Finalizado</v>
      </c>
      <c r="M180" s="110"/>
      <c r="N180" s="110"/>
    </row>
    <row r="181" ht="21.75" customHeight="1">
      <c r="A181" s="111">
        <f>176</f>
        <v>176</v>
      </c>
      <c r="B181" s="112" t="s">
        <v>123</v>
      </c>
      <c r="C181" s="143" t="str">
        <f t="array" ref="C181">IF(B181="","",IFERROR(INDEX('FUNCIONÁRIOS'!$B$4:$B$501,MATCH(B181,'FUNCIONÁRIOS'!$C$4:$C$501,0)),""))</f>
        <v>MONTE EVENTOS </v>
      </c>
      <c r="D181" s="143" t="str">
        <f t="array" ref="D181">IF(B181="","",IFERROR(INDEX('FUNCIONÁRIOS'!$D$4:$D$501,MATCH(B181,'FUNCIONÁRIOS'!$C$4:$C$501,0)),""))</f>
        <v>MONTADOR</v>
      </c>
      <c r="E181" s="113" t="str">
        <f t="array" ref="E181">IF(B181="","",IFERROR(INDEX('FUNCIONÁRIOS'!$E$4:$E$501,MATCH(B181,'FUNCIONÁRIOS'!$C$4:$C$501,0)),""))</f>
        <v>NÃO</v>
      </c>
      <c r="F181" s="138">
        <v>46164.0</v>
      </c>
      <c r="G181" s="115" t="str">
        <f t="shared" si="13"/>
        <v>✅ 08:25</v>
      </c>
      <c r="H181" s="121">
        <v>0.3506944444444444</v>
      </c>
      <c r="I181" s="117" t="str">
        <f t="shared" si="14"/>
        <v>✅ 18:05</v>
      </c>
      <c r="J181" s="121">
        <v>0.7534722222222222</v>
      </c>
      <c r="K181" s="126">
        <f t="shared" si="18"/>
        <v>0.4027777778</v>
      </c>
      <c r="L181" s="127" t="str">
        <f t="shared" si="15"/>
        <v>✅ Finalizado</v>
      </c>
      <c r="M181" s="110"/>
      <c r="N181" s="110"/>
    </row>
    <row r="182" ht="21.75" customHeight="1">
      <c r="A182" s="152" t="s">
        <v>1646</v>
      </c>
      <c r="B182" s="112" t="s">
        <v>185</v>
      </c>
      <c r="C182" s="144" t="str">
        <f t="array" ref="C182">IF(B182="","",IFERROR(INDEX('FUNCIONÁRIOS'!$B$4:$B$501,MATCH(B182,'FUNCIONÁRIOS'!$C$4:$C$501,0)),""))</f>
        <v>MONTE EVENTOS </v>
      </c>
      <c r="D182" s="144" t="str">
        <f t="array" ref="D182">IF(B182="","",IFERROR(INDEX('FUNCIONÁRIOS'!$D$4:$D$501,MATCH(B182,'FUNCIONÁRIOS'!$C$4:$C$501,0)),""))</f>
        <v>montador </v>
      </c>
      <c r="E182" s="123" t="str">
        <f t="array" ref="E182">IF(B182="","",IFERROR(INDEX('FUNCIONÁRIOS'!$E$4:$E$501,MATCH(B182,'FUNCIONÁRIOS'!$C$4:$C$501,0)),""))</f>
        <v>NÃO</v>
      </c>
      <c r="F182" s="138">
        <v>46164.0</v>
      </c>
      <c r="G182" s="115" t="str">
        <f t="shared" si="13"/>
        <v>✅ 08:25</v>
      </c>
      <c r="H182" s="121">
        <v>0.3506944444444444</v>
      </c>
      <c r="I182" s="117" t="str">
        <f t="shared" si="14"/>
        <v>✅ /</v>
      </c>
      <c r="J182" s="150" t="s">
        <v>1647</v>
      </c>
      <c r="K182" s="126" t="str">
        <f t="shared" si="18"/>
        <v>#VALUE!</v>
      </c>
      <c r="L182" s="127" t="str">
        <f t="shared" si="15"/>
        <v>✅ Finalizado</v>
      </c>
      <c r="M182" s="110"/>
      <c r="N182" s="110"/>
    </row>
    <row r="183" ht="21.75" customHeight="1">
      <c r="A183" s="111">
        <f>178</f>
        <v>178</v>
      </c>
      <c r="B183" s="112" t="s">
        <v>125</v>
      </c>
      <c r="C183" s="143" t="str">
        <f t="array" ref="C183">IF(B183="","",IFERROR(INDEX('FUNCIONÁRIOS'!$B$4:$B$501,MATCH(B183,'FUNCIONÁRIOS'!$C$4:$C$501,0)),""))</f>
        <v>MONTE EVENTOS </v>
      </c>
      <c r="D183" s="143" t="str">
        <f t="array" ref="D183">IF(B183="","",IFERROR(INDEX('FUNCIONÁRIOS'!$D$4:$D$501,MATCH(B183,'FUNCIONÁRIOS'!$C$4:$C$501,0)),""))</f>
        <v>MONTADOR</v>
      </c>
      <c r="E183" s="113" t="str">
        <f t="array" ref="E183">IF(B183="","",IFERROR(INDEX('FUNCIONÁRIOS'!$E$4:$E$501,MATCH(B183,'FUNCIONÁRIOS'!$C$4:$C$501,0)),""))</f>
        <v>NÃO</v>
      </c>
      <c r="F183" s="138">
        <v>46164.0</v>
      </c>
      <c r="G183" s="115" t="str">
        <f t="shared" si="13"/>
        <v>✅ 08:25</v>
      </c>
      <c r="H183" s="121">
        <v>0.3506944444444444</v>
      </c>
      <c r="I183" s="117" t="str">
        <f t="shared" si="14"/>
        <v>✅ 18:05</v>
      </c>
      <c r="J183" s="121">
        <v>0.7534722222222222</v>
      </c>
      <c r="K183" s="126">
        <f t="shared" si="18"/>
        <v>0.4027777778</v>
      </c>
      <c r="L183" s="127" t="str">
        <f t="shared" si="15"/>
        <v>✅ Finalizado</v>
      </c>
      <c r="M183" s="110"/>
      <c r="N183" s="110"/>
    </row>
    <row r="184" ht="21.75" customHeight="1">
      <c r="A184" s="111">
        <f>179</f>
        <v>179</v>
      </c>
      <c r="B184" s="112" t="s">
        <v>128</v>
      </c>
      <c r="C184" s="144" t="str">
        <f t="array" ref="C184">IF(B184="","",IFERROR(INDEX('FUNCIONÁRIOS'!$B$4:$B$501,MATCH(B184,'FUNCIONÁRIOS'!$C$4:$C$501,0)),""))</f>
        <v>MONTE EVENTOS </v>
      </c>
      <c r="D184" s="144" t="str">
        <f t="array" ref="D184">IF(B184="","",IFERROR(INDEX('FUNCIONÁRIOS'!$D$4:$D$501,MATCH(B184,'FUNCIONÁRIOS'!$C$4:$C$501,0)),""))</f>
        <v>MONTADOR</v>
      </c>
      <c r="E184" s="123" t="str">
        <f t="array" ref="E184">IF(B184="","",IFERROR(INDEX('FUNCIONÁRIOS'!$E$4:$E$501,MATCH(B184,'FUNCIONÁRIOS'!$C$4:$C$501,0)),""))</f>
        <v>NÃO</v>
      </c>
      <c r="F184" s="138">
        <v>46164.0</v>
      </c>
      <c r="G184" s="115" t="str">
        <f t="shared" si="13"/>
        <v>✅ 08:25</v>
      </c>
      <c r="H184" s="121">
        <v>0.3506944444444444</v>
      </c>
      <c r="I184" s="117" t="str">
        <f t="shared" si="14"/>
        <v>✅ 18:07</v>
      </c>
      <c r="J184" s="121">
        <v>0.7548611111111111</v>
      </c>
      <c r="K184" s="126">
        <f t="shared" si="18"/>
        <v>0.4041666667</v>
      </c>
      <c r="L184" s="127" t="str">
        <f t="shared" si="15"/>
        <v>✅ Finalizado</v>
      </c>
      <c r="M184" s="110"/>
      <c r="N184" s="110"/>
    </row>
    <row r="185" ht="21.75" customHeight="1">
      <c r="A185" s="111">
        <f>180</f>
        <v>180</v>
      </c>
      <c r="B185" s="112" t="s">
        <v>122</v>
      </c>
      <c r="C185" s="143" t="str">
        <f t="array" ref="C185">IF(B185="","",IFERROR(INDEX('FUNCIONÁRIOS'!$B$4:$B$501,MATCH(B185,'FUNCIONÁRIOS'!$C$4:$C$501,0)),""))</f>
        <v>MONTE EVENTOS </v>
      </c>
      <c r="D185" s="143" t="str">
        <f t="array" ref="D185">IF(B185="","",IFERROR(INDEX('FUNCIONÁRIOS'!$D$4:$D$501,MATCH(B185,'FUNCIONÁRIOS'!$C$4:$C$501,0)),""))</f>
        <v>MONTADOR</v>
      </c>
      <c r="E185" s="113" t="str">
        <f t="array" ref="E185">IF(B185="","",IFERROR(INDEX('FUNCIONÁRIOS'!$E$4:$E$501,MATCH(B185,'FUNCIONÁRIOS'!$C$4:$C$501,0)),""))</f>
        <v>NÃO</v>
      </c>
      <c r="F185" s="138">
        <v>46164.0</v>
      </c>
      <c r="G185" s="115" t="str">
        <f t="shared" si="13"/>
        <v>✅ 08:25</v>
      </c>
      <c r="H185" s="121">
        <v>0.3506944444444444</v>
      </c>
      <c r="I185" s="117" t="str">
        <f t="shared" si="14"/>
        <v>✅ 18:04</v>
      </c>
      <c r="J185" s="121">
        <v>0.7527777777777778</v>
      </c>
      <c r="K185" s="126">
        <f t="shared" si="18"/>
        <v>0.4020833333</v>
      </c>
      <c r="L185" s="127" t="str">
        <f t="shared" si="15"/>
        <v>✅ Finalizado</v>
      </c>
      <c r="M185" s="110"/>
      <c r="N185" s="110"/>
    </row>
    <row r="186" ht="21.75" customHeight="1">
      <c r="A186" s="111">
        <f>181</f>
        <v>181</v>
      </c>
      <c r="B186" s="112" t="s">
        <v>113</v>
      </c>
      <c r="C186" s="144" t="str">
        <f t="array" ref="C186">IF(B186="","",IFERROR(INDEX('FUNCIONÁRIOS'!$B$4:$B$501,MATCH(B186,'FUNCIONÁRIOS'!$C$4:$C$501,0)),""))</f>
        <v>MONTE EVENTOS </v>
      </c>
      <c r="D186" s="144" t="str">
        <f t="array" ref="D186">IF(B186="","",IFERROR(INDEX('FUNCIONÁRIOS'!$D$4:$D$501,MATCH(B186,'FUNCIONÁRIOS'!$C$4:$C$501,0)),""))</f>
        <v>COORDENADOR/CEO</v>
      </c>
      <c r="E186" s="123" t="str">
        <f t="array" ref="E186">IF(B186="","",IFERROR(INDEX('FUNCIONÁRIOS'!$E$4:$E$501,MATCH(B186,'FUNCIONÁRIOS'!$C$4:$C$501,0)),""))</f>
        <v>SIM</v>
      </c>
      <c r="F186" s="138">
        <v>46164.0</v>
      </c>
      <c r="G186" s="115" t="str">
        <f t="shared" si="13"/>
        <v>✅ 08:30</v>
      </c>
      <c r="H186" s="121">
        <v>0.3541666666666667</v>
      </c>
      <c r="I186" s="117" t="str">
        <f t="shared" si="14"/>
        <v>✅ 18:07</v>
      </c>
      <c r="J186" s="121">
        <v>0.7548611111111111</v>
      </c>
      <c r="K186" s="126">
        <f t="shared" si="18"/>
        <v>0.4006944444</v>
      </c>
      <c r="L186" s="127" t="str">
        <f t="shared" si="15"/>
        <v>✅ Finalizado</v>
      </c>
      <c r="M186" s="110"/>
      <c r="N186" s="110"/>
    </row>
    <row r="187" ht="21.75" customHeight="1">
      <c r="A187" s="111">
        <f>182</f>
        <v>182</v>
      </c>
      <c r="B187" s="112" t="s">
        <v>111</v>
      </c>
      <c r="C187" s="143" t="str">
        <f t="array" ref="C187">IF(B187="","",IFERROR(INDEX('FUNCIONÁRIOS'!$B$4:$B$501,MATCH(B187,'FUNCIONÁRIOS'!$C$4:$C$501,0)),""))</f>
        <v>MONTE EVENTOS </v>
      </c>
      <c r="D187" s="143" t="str">
        <f t="array" ref="D187">IF(B187="","",IFERROR(INDEX('FUNCIONÁRIOS'!$D$4:$D$501,MATCH(B187,'FUNCIONÁRIOS'!$C$4:$C$501,0)),""))</f>
        <v>MONTADOR</v>
      </c>
      <c r="E187" s="113" t="str">
        <f t="array" ref="E187">IF(B187="","",IFERROR(INDEX('FUNCIONÁRIOS'!$E$4:$E$501,MATCH(B187,'FUNCIONÁRIOS'!$C$4:$C$501,0)),""))</f>
        <v>NÃO</v>
      </c>
      <c r="F187" s="138">
        <v>46164.0</v>
      </c>
      <c r="G187" s="115" t="str">
        <f t="shared" si="13"/>
        <v>✅ 08:30</v>
      </c>
      <c r="H187" s="121">
        <v>0.3541666666666667</v>
      </c>
      <c r="I187" s="117" t="str">
        <f t="shared" si="14"/>
        <v>✅ 18:07</v>
      </c>
      <c r="J187" s="121">
        <v>0.7548611111111111</v>
      </c>
      <c r="K187" s="126">
        <f t="shared" si="18"/>
        <v>0.4006944444</v>
      </c>
      <c r="L187" s="127" t="str">
        <f t="shared" si="15"/>
        <v>✅ Finalizado</v>
      </c>
      <c r="M187" s="110"/>
      <c r="N187" s="110"/>
    </row>
    <row r="188" ht="21.75" customHeight="1">
      <c r="A188" s="111">
        <f>183</f>
        <v>183</v>
      </c>
      <c r="B188" s="112" t="s">
        <v>119</v>
      </c>
      <c r="C188" s="144" t="str">
        <f t="array" ref="C188">IF(B188="","",IFERROR(INDEX('FUNCIONÁRIOS'!$B$4:$B$501,MATCH(B188,'FUNCIONÁRIOS'!$C$4:$C$501,0)),""))</f>
        <v>MONTE EVENTOS </v>
      </c>
      <c r="D188" s="144" t="str">
        <f t="array" ref="D188">IF(B188="","",IFERROR(INDEX('FUNCIONÁRIOS'!$D$4:$D$501,MATCH(B188,'FUNCIONÁRIOS'!$C$4:$C$501,0)),""))</f>
        <v>MONTADOR</v>
      </c>
      <c r="E188" s="123" t="str">
        <f t="array" ref="E188">IF(B188="","",IFERROR(INDEX('FUNCIONÁRIOS'!$E$4:$E$501,MATCH(B188,'FUNCIONÁRIOS'!$C$4:$C$501,0)),""))</f>
        <v>NÃO</v>
      </c>
      <c r="F188" s="138">
        <v>46164.0</v>
      </c>
      <c r="G188" s="115" t="str">
        <f t="shared" si="13"/>
        <v>✅ 08:30</v>
      </c>
      <c r="H188" s="121">
        <v>0.3541666666666667</v>
      </c>
      <c r="I188" s="117" t="str">
        <f t="shared" si="14"/>
        <v>✅ 18:07</v>
      </c>
      <c r="J188" s="121">
        <v>0.7548611111111111</v>
      </c>
      <c r="K188" s="126">
        <f t="shared" si="18"/>
        <v>0.4006944444</v>
      </c>
      <c r="L188" s="127" t="str">
        <f t="shared" si="15"/>
        <v>✅ Finalizado</v>
      </c>
      <c r="M188" s="110"/>
      <c r="N188" s="110"/>
    </row>
    <row r="189" ht="21.75" customHeight="1">
      <c r="A189" s="111">
        <f>184</f>
        <v>184</v>
      </c>
      <c r="B189" s="112" t="s">
        <v>112</v>
      </c>
      <c r="C189" s="143" t="str">
        <f t="array" ref="C189">IF(B189="","",IFERROR(INDEX('FUNCIONÁRIOS'!$B$4:$B$501,MATCH(B189,'FUNCIONÁRIOS'!$C$4:$C$501,0)),""))</f>
        <v>MONTE EVENTOS </v>
      </c>
      <c r="D189" s="143" t="str">
        <f t="array" ref="D189">IF(B189="","",IFERROR(INDEX('FUNCIONÁRIOS'!$D$4:$D$501,MATCH(B189,'FUNCIONÁRIOS'!$C$4:$C$501,0)),""))</f>
        <v>MONTADOR</v>
      </c>
      <c r="E189" s="113" t="str">
        <f t="array" ref="E189">IF(B189="","",IFERROR(INDEX('FUNCIONÁRIOS'!$E$4:$E$501,MATCH(B189,'FUNCIONÁRIOS'!$C$4:$C$501,0)),""))</f>
        <v>NÃO</v>
      </c>
      <c r="F189" s="138">
        <v>46164.0</v>
      </c>
      <c r="G189" s="115" t="str">
        <f t="shared" si="13"/>
        <v>✅ 08:30</v>
      </c>
      <c r="H189" s="121">
        <v>0.3541666666666667</v>
      </c>
      <c r="I189" s="117" t="str">
        <f t="shared" si="14"/>
        <v>✅ 18:07</v>
      </c>
      <c r="J189" s="121">
        <v>0.7548611111111111</v>
      </c>
      <c r="K189" s="126">
        <f t="shared" si="18"/>
        <v>0.4006944444</v>
      </c>
      <c r="L189" s="127" t="str">
        <f t="shared" si="15"/>
        <v>✅ Finalizado</v>
      </c>
      <c r="M189" s="110"/>
      <c r="N189" s="110"/>
    </row>
    <row r="190" ht="21.75" customHeight="1">
      <c r="A190" s="111">
        <f>185</f>
        <v>185</v>
      </c>
      <c r="B190" s="112" t="s">
        <v>245</v>
      </c>
      <c r="C190" s="144" t="str">
        <f t="array" ref="C190">IF(B190="","",IFERROR(INDEX('FUNCIONÁRIOS'!$B$4:$B$501,MATCH(B190,'FUNCIONÁRIOS'!$C$4:$C$501,0)),""))</f>
        <v>MONTE EVENTOS </v>
      </c>
      <c r="D190" s="144" t="str">
        <f t="array" ref="D190">IF(B190="","",IFERROR(INDEX('FUNCIONÁRIOS'!$D$4:$D$501,MATCH(B190,'FUNCIONÁRIOS'!$C$4:$C$501,0)),""))</f>
        <v>MONTADOR </v>
      </c>
      <c r="E190" s="123" t="str">
        <f t="array" ref="E190">IF(B190="","",IFERROR(INDEX('FUNCIONÁRIOS'!$E$4:$E$501,MATCH(B190,'FUNCIONÁRIOS'!$C$4:$C$501,0)),""))</f>
        <v>NÃO</v>
      </c>
      <c r="F190" s="138">
        <v>46164.0</v>
      </c>
      <c r="G190" s="115" t="str">
        <f t="shared" si="13"/>
        <v>✅ 08:35</v>
      </c>
      <c r="H190" s="121">
        <v>0.3576388888888889</v>
      </c>
      <c r="I190" s="117" t="str">
        <f t="shared" si="14"/>
        <v>✅ 18:00</v>
      </c>
      <c r="J190" s="121">
        <v>0.75</v>
      </c>
      <c r="K190" s="126">
        <f t="shared" si="18"/>
        <v>0.3923611111</v>
      </c>
      <c r="L190" s="127" t="str">
        <f t="shared" si="15"/>
        <v>✅ Finalizado</v>
      </c>
      <c r="M190" s="110"/>
      <c r="N190" s="110"/>
    </row>
    <row r="191" ht="21.75" customHeight="1">
      <c r="A191" s="111">
        <f>186</f>
        <v>186</v>
      </c>
      <c r="B191" s="112" t="s">
        <v>246</v>
      </c>
      <c r="C191" s="143" t="str">
        <f t="array" ref="C191">IF(B191="","",IFERROR(INDEX('FUNCIONÁRIOS'!$B$4:$B$501,MATCH(B191,'FUNCIONÁRIOS'!$C$4:$C$501,0)),""))</f>
        <v>MONTE EVENTOS </v>
      </c>
      <c r="D191" s="143" t="str">
        <f t="array" ref="D191">IF(B191="","",IFERROR(INDEX('FUNCIONÁRIOS'!$D$4:$D$501,MATCH(B191,'FUNCIONÁRIOS'!$C$4:$C$501,0)),""))</f>
        <v>MONTADOR </v>
      </c>
      <c r="E191" s="113" t="str">
        <f t="array" ref="E191">IF(B191="","",IFERROR(INDEX('FUNCIONÁRIOS'!$E$4:$E$501,MATCH(B191,'FUNCIONÁRIOS'!$C$4:$C$501,0)),""))</f>
        <v>NÃO</v>
      </c>
      <c r="F191" s="138">
        <v>46164.0</v>
      </c>
      <c r="G191" s="115" t="str">
        <f t="shared" si="13"/>
        <v>✅ 08:35</v>
      </c>
      <c r="H191" s="121">
        <v>0.3576388888888889</v>
      </c>
      <c r="I191" s="117" t="str">
        <f t="shared" si="14"/>
        <v>✅ 18:00</v>
      </c>
      <c r="J191" s="121">
        <v>0.75</v>
      </c>
      <c r="K191" s="126">
        <f t="shared" si="18"/>
        <v>0.3923611111</v>
      </c>
      <c r="L191" s="127" t="str">
        <f t="shared" si="15"/>
        <v>✅ Finalizado</v>
      </c>
      <c r="M191" s="110"/>
      <c r="N191" s="110"/>
    </row>
    <row r="192" ht="21.75" customHeight="1">
      <c r="A192" s="111">
        <f>187</f>
        <v>187</v>
      </c>
      <c r="B192" s="112" t="s">
        <v>310</v>
      </c>
      <c r="C192" s="153" t="s">
        <v>11</v>
      </c>
      <c r="D192" s="144" t="str">
        <f t="array" ref="D192">IF(B192="","",IFERROR(INDEX('FUNCIONÁRIOS'!$D$4:$D$501,MATCH(B192,'FUNCIONÁRIOS'!$C$4:$C$501,0)),""))</f>
        <v>Montador</v>
      </c>
      <c r="E192" s="123" t="str">
        <f t="array" ref="E192">IF(B192="","",IFERROR(INDEX('FUNCIONÁRIOS'!$E$4:$E$501,MATCH(B192,'FUNCIONÁRIOS'!$C$4:$C$501,0)),""))</f>
        <v>NÃO</v>
      </c>
      <c r="F192" s="138">
        <v>46164.0</v>
      </c>
      <c r="G192" s="115" t="str">
        <f t="shared" si="13"/>
        <v>✅ 08:35</v>
      </c>
      <c r="H192" s="121">
        <v>0.3576388888888889</v>
      </c>
      <c r="I192" s="117" t="str">
        <f t="shared" si="14"/>
        <v>✅ 18:00</v>
      </c>
      <c r="J192" s="121">
        <v>0.75</v>
      </c>
      <c r="K192" s="126">
        <f t="shared" si="18"/>
        <v>0.3923611111</v>
      </c>
      <c r="L192" s="127" t="str">
        <f t="shared" si="15"/>
        <v>✅ Finalizado</v>
      </c>
      <c r="M192" s="110"/>
      <c r="N192" s="110"/>
    </row>
    <row r="193" ht="21.75" customHeight="1">
      <c r="A193" s="111">
        <f>188</f>
        <v>188</v>
      </c>
      <c r="B193" s="112" t="s">
        <v>1648</v>
      </c>
      <c r="C193" s="154" t="s">
        <v>11</v>
      </c>
      <c r="D193" s="143" t="str">
        <f t="array" ref="D193">IF(B193="","",IFERROR(INDEX('FUNCIONÁRIOS'!$D$4:$D$501,MATCH(B193,'FUNCIONÁRIOS'!$C$4:$C$501,0)),""))</f>
        <v>Montador</v>
      </c>
      <c r="E193" s="113" t="str">
        <f t="array" ref="E193">IF(B193="","",IFERROR(INDEX('FUNCIONÁRIOS'!$E$4:$E$501,MATCH(B193,'FUNCIONÁRIOS'!$C$4:$C$501,0)),""))</f>
        <v>NÃO</v>
      </c>
      <c r="F193" s="138">
        <v>46164.0</v>
      </c>
      <c r="G193" s="115" t="str">
        <f t="shared" si="13"/>
        <v>✅ 08:35</v>
      </c>
      <c r="H193" s="121">
        <v>0.3576388888888889</v>
      </c>
      <c r="I193" s="117" t="str">
        <f t="shared" si="14"/>
        <v>✅ 18:00</v>
      </c>
      <c r="J193" s="121">
        <v>0.75</v>
      </c>
      <c r="K193" s="126">
        <f t="shared" si="18"/>
        <v>0.3923611111</v>
      </c>
      <c r="L193" s="127" t="str">
        <f t="shared" si="15"/>
        <v>✅ Finalizado</v>
      </c>
      <c r="M193" s="110"/>
      <c r="N193" s="110"/>
    </row>
    <row r="194" ht="21.75" customHeight="1">
      <c r="A194" s="111">
        <f>189</f>
        <v>189</v>
      </c>
      <c r="B194" s="112" t="s">
        <v>248</v>
      </c>
      <c r="C194" s="144" t="str">
        <f t="array" ref="C194">IF(B194="","",IFERROR(INDEX('FUNCIONÁRIOS'!$B$4:$B$501,MATCH(B194,'FUNCIONÁRIOS'!$C$4:$C$501,0)),""))</f>
        <v>MONTE EVENTOS </v>
      </c>
      <c r="D194" s="144" t="str">
        <f t="array" ref="D194">IF(B194="","",IFERROR(INDEX('FUNCIONÁRIOS'!$D$4:$D$501,MATCH(B194,'FUNCIONÁRIOS'!$C$4:$C$501,0)),""))</f>
        <v>MONTADOR </v>
      </c>
      <c r="E194" s="123" t="str">
        <f t="array" ref="E194">IF(B194="","",IFERROR(INDEX('FUNCIONÁRIOS'!$E$4:$E$501,MATCH(B194,'FUNCIONÁRIOS'!$C$4:$C$501,0)),""))</f>
        <v>NÃO</v>
      </c>
      <c r="F194" s="138">
        <v>46164.0</v>
      </c>
      <c r="G194" s="115" t="str">
        <f t="shared" si="13"/>
        <v>✅ 08:35</v>
      </c>
      <c r="H194" s="121">
        <v>0.3576388888888889</v>
      </c>
      <c r="I194" s="117" t="str">
        <f t="shared" si="14"/>
        <v>✅ 18:00</v>
      </c>
      <c r="J194" s="121">
        <v>0.75</v>
      </c>
      <c r="K194" s="126">
        <f t="shared" si="18"/>
        <v>0.3923611111</v>
      </c>
      <c r="L194" s="127" t="str">
        <f t="shared" si="15"/>
        <v>✅ Finalizado</v>
      </c>
      <c r="M194" s="110"/>
      <c r="N194" s="110"/>
    </row>
    <row r="195" ht="21.75" customHeight="1">
      <c r="A195" s="111">
        <f>190</f>
        <v>190</v>
      </c>
      <c r="B195" s="112" t="s">
        <v>110</v>
      </c>
      <c r="C195" s="143" t="str">
        <f t="array" ref="C195">IF(B195="","",IFERROR(INDEX('FUNCIONÁRIOS'!$B$4:$B$501,MATCH(B195,'FUNCIONÁRIOS'!$C$4:$C$501,0)),""))</f>
        <v>MONTE EVENTOS </v>
      </c>
      <c r="D195" s="143" t="str">
        <f t="array" ref="D195">IF(B195="","",IFERROR(INDEX('FUNCIONÁRIOS'!$D$4:$D$501,MATCH(B195,'FUNCIONÁRIOS'!$C$4:$C$501,0)),""))</f>
        <v>MONTADOR</v>
      </c>
      <c r="E195" s="113" t="str">
        <f t="array" ref="E195">IF(B195="","",IFERROR(INDEX('FUNCIONÁRIOS'!$E$4:$E$501,MATCH(B195,'FUNCIONÁRIOS'!$C$4:$C$501,0)),""))</f>
        <v>NÃO</v>
      </c>
      <c r="F195" s="138">
        <v>46164.0</v>
      </c>
      <c r="G195" s="115" t="str">
        <f t="shared" si="13"/>
        <v>✅ 08:35</v>
      </c>
      <c r="H195" s="155">
        <v>0.3576388888888889</v>
      </c>
      <c r="I195" s="117" t="str">
        <f t="shared" si="14"/>
        <v>✅ 18:00</v>
      </c>
      <c r="J195" s="121">
        <v>0.75</v>
      </c>
      <c r="K195" s="126">
        <f t="shared" si="18"/>
        <v>0.3923611111</v>
      </c>
      <c r="L195" s="127" t="str">
        <f t="shared" si="15"/>
        <v>✅ Finalizado</v>
      </c>
      <c r="M195" s="110"/>
      <c r="N195" s="110"/>
    </row>
    <row r="196" ht="21.75" customHeight="1">
      <c r="A196" s="111">
        <f>191</f>
        <v>191</v>
      </c>
      <c r="B196" s="112" t="s">
        <v>103</v>
      </c>
      <c r="C196" s="144" t="str">
        <f t="array" ref="C196">IF(B196="","",IFERROR(INDEX('FUNCIONÁRIOS'!$B$4:$B$501,MATCH(B196,'FUNCIONÁRIOS'!$C$4:$C$501,0)),""))</f>
        <v>MONTE EVENTOS </v>
      </c>
      <c r="D196" s="144" t="str">
        <f t="array" ref="D196">IF(B196="","",IFERROR(INDEX('FUNCIONÁRIOS'!$D$4:$D$501,MATCH(B196,'FUNCIONÁRIOS'!$C$4:$C$501,0)),""))</f>
        <v>MONTADOR</v>
      </c>
      <c r="E196" s="123" t="str">
        <f t="array" ref="E196">IF(B196="","",IFERROR(INDEX('FUNCIONÁRIOS'!$E$4:$E$501,MATCH(B196,'FUNCIONÁRIOS'!$C$4:$C$501,0)),""))</f>
        <v>NÃO</v>
      </c>
      <c r="F196" s="138">
        <v>46164.0</v>
      </c>
      <c r="G196" s="115" t="str">
        <f t="shared" si="13"/>
        <v>✅ 08:35</v>
      </c>
      <c r="H196" s="121">
        <v>0.3576388888888889</v>
      </c>
      <c r="I196" s="117" t="str">
        <f t="shared" si="14"/>
        <v>✅ 18:00</v>
      </c>
      <c r="J196" s="121">
        <v>0.75</v>
      </c>
      <c r="K196" s="126">
        <f t="shared" si="18"/>
        <v>0.3923611111</v>
      </c>
      <c r="L196" s="127" t="str">
        <f t="shared" si="15"/>
        <v>✅ Finalizado</v>
      </c>
      <c r="M196" s="110"/>
      <c r="N196" s="110"/>
    </row>
    <row r="197" ht="21.75" customHeight="1">
      <c r="A197" s="111">
        <f>192</f>
        <v>192</v>
      </c>
      <c r="B197" s="112" t="s">
        <v>117</v>
      </c>
      <c r="C197" s="143" t="str">
        <f t="array" ref="C197">IF(B197="","",IFERROR(INDEX('FUNCIONÁRIOS'!$B$4:$B$501,MATCH(B197,'FUNCIONÁRIOS'!$C$4:$C$501,0)),""))</f>
        <v>MONTE EVENTOS </v>
      </c>
      <c r="D197" s="143" t="str">
        <f t="array" ref="D197">IF(B197="","",IFERROR(INDEX('FUNCIONÁRIOS'!$D$4:$D$501,MATCH(B197,'FUNCIONÁRIOS'!$C$4:$C$501,0)),""))</f>
        <v>MONTADOR</v>
      </c>
      <c r="E197" s="113" t="str">
        <f t="array" ref="E197">IF(B197="","",IFERROR(INDEX('FUNCIONÁRIOS'!$E$4:$E$501,MATCH(B197,'FUNCIONÁRIOS'!$C$4:$C$501,0)),""))</f>
        <v>NÃO</v>
      </c>
      <c r="F197" s="138">
        <v>46164.0</v>
      </c>
      <c r="G197" s="115" t="str">
        <f t="shared" si="13"/>
        <v>✅ 08:35</v>
      </c>
      <c r="H197" s="121">
        <v>0.3576388888888889</v>
      </c>
      <c r="I197" s="117" t="str">
        <f t="shared" si="14"/>
        <v>✅ 18:00</v>
      </c>
      <c r="J197" s="121">
        <v>0.75</v>
      </c>
      <c r="K197" s="126">
        <f t="shared" si="18"/>
        <v>0.3923611111</v>
      </c>
      <c r="L197" s="127" t="str">
        <f t="shared" si="15"/>
        <v>✅ Finalizado</v>
      </c>
      <c r="M197" s="110"/>
      <c r="N197" s="110"/>
    </row>
    <row r="198" ht="21.75" customHeight="1">
      <c r="A198" s="111">
        <f>193</f>
        <v>193</v>
      </c>
      <c r="B198" s="112" t="s">
        <v>105</v>
      </c>
      <c r="C198" s="144" t="str">
        <f t="array" ref="C198">IF(B198="","",IFERROR(INDEX('FUNCIONÁRIOS'!$B$4:$B$501,MATCH(B198,'FUNCIONÁRIOS'!$C$4:$C$501,0)),""))</f>
        <v>MONTE EVENTOS </v>
      </c>
      <c r="D198" s="144" t="str">
        <f t="array" ref="D198">IF(B198="","",IFERROR(INDEX('FUNCIONÁRIOS'!$D$4:$D$501,MATCH(B198,'FUNCIONÁRIOS'!$C$4:$C$501,0)),""))</f>
        <v>MONTADOR</v>
      </c>
      <c r="E198" s="123" t="str">
        <f t="array" ref="E198">IF(B198="","",IFERROR(INDEX('FUNCIONÁRIOS'!$E$4:$E$501,MATCH(B198,'FUNCIONÁRIOS'!$C$4:$C$501,0)),""))</f>
        <v>NÃO</v>
      </c>
      <c r="F198" s="138">
        <v>46164.0</v>
      </c>
      <c r="G198" s="115" t="str">
        <f t="shared" si="13"/>
        <v>✅ 08:35</v>
      </c>
      <c r="H198" s="121">
        <v>0.3576388888888889</v>
      </c>
      <c r="I198" s="117" t="str">
        <f t="shared" si="14"/>
        <v>✅ 18:00</v>
      </c>
      <c r="J198" s="121">
        <v>0.75</v>
      </c>
      <c r="K198" s="126">
        <f t="shared" si="18"/>
        <v>0.3923611111</v>
      </c>
      <c r="L198" s="127" t="str">
        <f t="shared" si="15"/>
        <v>✅ Finalizado</v>
      </c>
      <c r="M198" s="110"/>
      <c r="N198" s="110"/>
    </row>
    <row r="199" ht="21.75" customHeight="1">
      <c r="A199" s="111">
        <f>194</f>
        <v>194</v>
      </c>
      <c r="B199" s="112" t="s">
        <v>104</v>
      </c>
      <c r="C199" s="143" t="str">
        <f t="array" ref="C199">IF(B199="","",IFERROR(INDEX('FUNCIONÁRIOS'!$B$4:$B$501,MATCH(B199,'FUNCIONÁRIOS'!$C$4:$C$501,0)),""))</f>
        <v>MONTE EVENTOS </v>
      </c>
      <c r="D199" s="143" t="str">
        <f t="array" ref="D199">IF(B199="","",IFERROR(INDEX('FUNCIONÁRIOS'!$D$4:$D$501,MATCH(B199,'FUNCIONÁRIOS'!$C$4:$C$501,0)),""))</f>
        <v>MONTADOR</v>
      </c>
      <c r="E199" s="113" t="str">
        <f t="array" ref="E199">IF(B199="","",IFERROR(INDEX('FUNCIONÁRIOS'!$E$4:$E$501,MATCH(B199,'FUNCIONÁRIOS'!$C$4:$C$501,0)),""))</f>
        <v>NÃO</v>
      </c>
      <c r="F199" s="138">
        <v>46164.0</v>
      </c>
      <c r="G199" s="115" t="str">
        <f t="shared" si="13"/>
        <v>✅ 08:35</v>
      </c>
      <c r="H199" s="121">
        <v>0.3576388888888889</v>
      </c>
      <c r="I199" s="117" t="str">
        <f t="shared" si="14"/>
        <v>✅ 18:00</v>
      </c>
      <c r="J199" s="121">
        <v>0.75</v>
      </c>
      <c r="K199" s="126">
        <f t="shared" si="18"/>
        <v>0.3923611111</v>
      </c>
      <c r="L199" s="127" t="str">
        <f t="shared" si="15"/>
        <v>✅ Finalizado</v>
      </c>
      <c r="M199" s="110"/>
      <c r="N199" s="110"/>
    </row>
    <row r="200" ht="21.75" customHeight="1">
      <c r="A200" s="111">
        <f>195</f>
        <v>195</v>
      </c>
      <c r="B200" s="112" t="s">
        <v>314</v>
      </c>
      <c r="C200" s="153" t="s">
        <v>38</v>
      </c>
      <c r="D200" s="153" t="s">
        <v>250</v>
      </c>
      <c r="E200" s="123" t="str">
        <f t="array" ref="E200">IF(B200="","",IFERROR(INDEX('FUNCIONÁRIOS'!$E$4:$E$501,MATCH(B200,'FUNCIONÁRIOS'!$C$4:$C$501,0)),""))</f>
        <v>NÃO</v>
      </c>
      <c r="F200" s="138">
        <v>46164.0</v>
      </c>
      <c r="G200" s="115" t="str">
        <f t="shared" si="13"/>
        <v>✅ 08:56</v>
      </c>
      <c r="H200" s="121">
        <v>0.37222222222222223</v>
      </c>
      <c r="I200" s="117" t="str">
        <f t="shared" si="14"/>
        <v>✅ 18:00</v>
      </c>
      <c r="J200" s="121">
        <v>0.75</v>
      </c>
      <c r="K200" s="126">
        <f t="shared" si="18"/>
        <v>0.3777777778</v>
      </c>
      <c r="L200" s="127" t="str">
        <f t="shared" si="15"/>
        <v>✅ Finalizado</v>
      </c>
      <c r="M200" s="110"/>
      <c r="N200" s="110"/>
    </row>
    <row r="201" ht="21.75" customHeight="1">
      <c r="A201" s="111">
        <f>196</f>
        <v>196</v>
      </c>
      <c r="B201" s="112" t="s">
        <v>106</v>
      </c>
      <c r="C201" s="154" t="s">
        <v>31</v>
      </c>
      <c r="D201" s="143" t="str">
        <f t="array" ref="D201">IF(B201="","",IFERROR(INDEX('FUNCIONÁRIOS'!$D$4:$D$501,MATCH(B201,'FUNCIONÁRIOS'!$C$4:$C$501,0)),""))</f>
        <v>PRODUTOR DE PALCO</v>
      </c>
      <c r="E201" s="113" t="str">
        <f t="array" ref="E201">IF(B201="","",IFERROR(INDEX('FUNCIONÁRIOS'!$E$4:$E$501,MATCH(B201,'FUNCIONÁRIOS'!$C$4:$C$501,0)),""))</f>
        <v>NÃO</v>
      </c>
      <c r="F201" s="138">
        <v>46164.0</v>
      </c>
      <c r="G201" s="115" t="str">
        <f t="shared" si="13"/>
        <v>✅ 09:15</v>
      </c>
      <c r="H201" s="121">
        <v>0.3854166666666667</v>
      </c>
      <c r="I201" s="117" t="str">
        <f t="shared" si="14"/>
        <v>✅ 18:00</v>
      </c>
      <c r="J201" s="121">
        <v>0.75</v>
      </c>
      <c r="K201" s="126">
        <f t="shared" si="18"/>
        <v>0.3645833333</v>
      </c>
      <c r="L201" s="127" t="str">
        <f t="shared" si="15"/>
        <v>✅ Finalizado</v>
      </c>
      <c r="M201" s="110"/>
      <c r="N201" s="110"/>
    </row>
    <row r="202" ht="21.75" customHeight="1">
      <c r="A202" s="111">
        <f>197</f>
        <v>197</v>
      </c>
      <c r="B202" s="112" t="s">
        <v>300</v>
      </c>
      <c r="C202" s="144" t="str">
        <f t="array" ref="C202">IF(B202="","",IFERROR(INDEX('FUNCIONÁRIOS'!$B$4:$B$501,MATCH(B202,'FUNCIONÁRIOS'!$C$4:$C$501,0)),""))</f>
        <v>GYNLIGHT</v>
      </c>
      <c r="D202" s="144" t="str">
        <f t="array" ref="D202">IF(B202="","",IFERROR(INDEX('FUNCIONÁRIOS'!$D$4:$D$501,MATCH(B202,'FUNCIONÁRIOS'!$C$4:$C$501,0)),""))</f>
        <v>Motorista</v>
      </c>
      <c r="E202" s="123" t="str">
        <f t="array" ref="E202">IF(B202="","",IFERROR(INDEX('FUNCIONÁRIOS'!$E$4:$E$501,MATCH(B202,'FUNCIONÁRIOS'!$C$4:$C$501,0)),""))</f>
        <v>NÃO</v>
      </c>
      <c r="F202" s="138">
        <v>46164.0</v>
      </c>
      <c r="G202" s="115" t="str">
        <f t="shared" si="13"/>
        <v>✅ 09:41</v>
      </c>
      <c r="H202" s="121">
        <v>0.40347222222222223</v>
      </c>
      <c r="I202" s="117" t="str">
        <f t="shared" si="14"/>
        <v>✅ 18:00</v>
      </c>
      <c r="J202" s="121">
        <v>0.75</v>
      </c>
      <c r="K202" s="126">
        <f t="shared" si="18"/>
        <v>0.3465277778</v>
      </c>
      <c r="L202" s="127" t="str">
        <f t="shared" si="15"/>
        <v>✅ Finalizado</v>
      </c>
      <c r="M202" s="110"/>
      <c r="N202" s="110"/>
    </row>
    <row r="203" ht="21.75" customHeight="1">
      <c r="A203" s="111">
        <f>198</f>
        <v>198</v>
      </c>
      <c r="B203" s="112" t="s">
        <v>240</v>
      </c>
      <c r="C203" s="143" t="str">
        <f t="array" ref="C203">IF(B203="","",IFERROR(INDEX('FUNCIONÁRIOS'!$B$4:$B$501,MATCH(B203,'FUNCIONÁRIOS'!$C$4:$C$501,0)),""))</f>
        <v>REISFORT</v>
      </c>
      <c r="D203" s="143" t="str">
        <f t="array" ref="D203">IF(B203="","",IFERROR(INDEX('FUNCIONÁRIOS'!$D$4:$D$501,MATCH(B203,'FUNCIONÁRIOS'!$C$4:$C$501,0)),""))</f>
        <v>MONTADOR </v>
      </c>
      <c r="E203" s="113" t="str">
        <f t="array" ref="E203">IF(B203="","",IFERROR(INDEX('FUNCIONÁRIOS'!$E$4:$E$501,MATCH(B203,'FUNCIONÁRIOS'!$C$4:$C$501,0)),""))</f>
        <v>NÃO</v>
      </c>
      <c r="F203" s="138">
        <v>46164.0</v>
      </c>
      <c r="G203" s="115" t="str">
        <f t="shared" si="13"/>
        <v>✅ 09:41</v>
      </c>
      <c r="H203" s="121">
        <v>0.40347222222222223</v>
      </c>
      <c r="I203" s="117" t="str">
        <f t="shared" si="14"/>
        <v>✅ 18:00</v>
      </c>
      <c r="J203" s="121">
        <v>0.75</v>
      </c>
      <c r="K203" s="126">
        <f t="shared" si="18"/>
        <v>0.3465277778</v>
      </c>
      <c r="L203" s="127" t="str">
        <f t="shared" si="15"/>
        <v>✅ Finalizado</v>
      </c>
      <c r="M203" s="110"/>
      <c r="N203" s="110"/>
    </row>
    <row r="204" ht="21.75" customHeight="1">
      <c r="A204" s="111">
        <f>199</f>
        <v>199</v>
      </c>
      <c r="B204" s="112" t="s">
        <v>242</v>
      </c>
      <c r="C204" s="144" t="str">
        <f t="array" ref="C204">IF(B204="","",IFERROR(INDEX('FUNCIONÁRIOS'!$B$4:$B$501,MATCH(B204,'FUNCIONÁRIOS'!$C$4:$C$501,0)),""))</f>
        <v>REISFORT</v>
      </c>
      <c r="D204" s="144" t="str">
        <f t="array" ref="D204">IF(B204="","",IFERROR(INDEX('FUNCIONÁRIOS'!$D$4:$D$501,MATCH(B204,'FUNCIONÁRIOS'!$C$4:$C$501,0)),""))</f>
        <v>MONTADOR </v>
      </c>
      <c r="E204" s="123" t="str">
        <f t="array" ref="E204">IF(B204="","",IFERROR(INDEX('FUNCIONÁRIOS'!$E$4:$E$501,MATCH(B204,'FUNCIONÁRIOS'!$C$4:$C$501,0)),""))</f>
        <v>NÃO</v>
      </c>
      <c r="F204" s="138">
        <v>46164.0</v>
      </c>
      <c r="G204" s="115" t="str">
        <f t="shared" si="13"/>
        <v>✅ 09:41</v>
      </c>
      <c r="H204" s="121">
        <v>0.40347222222222223</v>
      </c>
      <c r="I204" s="117" t="str">
        <f t="shared" si="14"/>
        <v>✅ 18:00</v>
      </c>
      <c r="J204" s="121">
        <v>0.75</v>
      </c>
      <c r="K204" s="126">
        <f t="shared" si="18"/>
        <v>0.3465277778</v>
      </c>
      <c r="L204" s="127" t="str">
        <f t="shared" si="15"/>
        <v>✅ Finalizado</v>
      </c>
      <c r="M204" s="110"/>
      <c r="N204" s="110"/>
    </row>
    <row r="205" ht="21.75" customHeight="1">
      <c r="A205" s="111">
        <f>200</f>
        <v>200</v>
      </c>
      <c r="B205" s="112" t="s">
        <v>243</v>
      </c>
      <c r="C205" s="143" t="str">
        <f t="array" ref="C205">IF(B205="","",IFERROR(INDEX('FUNCIONÁRIOS'!$B$4:$B$501,MATCH(B205,'FUNCIONÁRIOS'!$C$4:$C$501,0)),""))</f>
        <v>REISFORT</v>
      </c>
      <c r="D205" s="143" t="str">
        <f t="array" ref="D205">IF(B205="","",IFERROR(INDEX('FUNCIONÁRIOS'!$D$4:$D$501,MATCH(B205,'FUNCIONÁRIOS'!$C$4:$C$501,0)),""))</f>
        <v>MONTADOR </v>
      </c>
      <c r="E205" s="113" t="str">
        <f t="array" ref="E205">IF(B205="","",IFERROR(INDEX('FUNCIONÁRIOS'!$E$4:$E$501,MATCH(B205,'FUNCIONÁRIOS'!$C$4:$C$501,0)),""))</f>
        <v>NÃO</v>
      </c>
      <c r="F205" s="138">
        <v>46164.0</v>
      </c>
      <c r="G205" s="115" t="str">
        <f t="shared" si="13"/>
        <v>✅ 09:41</v>
      </c>
      <c r="H205" s="121">
        <v>0.40347222222222223</v>
      </c>
      <c r="I205" s="117" t="str">
        <f t="shared" si="14"/>
        <v>✅ 18:00</v>
      </c>
      <c r="J205" s="121">
        <v>0.75</v>
      </c>
      <c r="K205" s="126">
        <f t="shared" si="18"/>
        <v>0.3465277778</v>
      </c>
      <c r="L205" s="127" t="str">
        <f t="shared" si="15"/>
        <v>✅ Finalizado</v>
      </c>
      <c r="M205" s="110"/>
      <c r="N205" s="110"/>
    </row>
    <row r="206" ht="21.75" customHeight="1">
      <c r="A206" s="111">
        <f>201</f>
        <v>201</v>
      </c>
      <c r="B206" s="112" t="s">
        <v>249</v>
      </c>
      <c r="C206" s="144" t="str">
        <f t="array" ref="C206">IF(B206="","",IFERROR(INDEX('FUNCIONÁRIOS'!$B$4:$B$501,MATCH(B206,'FUNCIONÁRIOS'!$C$4:$C$501,0)),""))</f>
        <v>REISFORT</v>
      </c>
      <c r="D206" s="144" t="str">
        <f t="array" ref="D206">IF(B206="","",IFERROR(INDEX('FUNCIONÁRIOS'!$D$4:$D$501,MATCH(B206,'FUNCIONÁRIOS'!$C$4:$C$501,0)),""))</f>
        <v>MOTORISTA </v>
      </c>
      <c r="E206" s="123" t="str">
        <f t="array" ref="E206">IF(B206="","",IFERROR(INDEX('FUNCIONÁRIOS'!$E$4:$E$501,MATCH(B206,'FUNCIONÁRIOS'!$C$4:$C$501,0)),""))</f>
        <v>NÃO</v>
      </c>
      <c r="F206" s="138">
        <v>46164.0</v>
      </c>
      <c r="G206" s="115" t="str">
        <f t="shared" si="13"/>
        <v>✅ 09:41</v>
      </c>
      <c r="H206" s="121">
        <v>0.40347222222222223</v>
      </c>
      <c r="I206" s="117" t="str">
        <f t="shared" si="14"/>
        <v>✅ 18:00</v>
      </c>
      <c r="J206" s="121">
        <v>0.75</v>
      </c>
      <c r="K206" s="126">
        <f t="shared" si="18"/>
        <v>0.3465277778</v>
      </c>
      <c r="L206" s="127" t="str">
        <f t="shared" si="15"/>
        <v>✅ Finalizado</v>
      </c>
      <c r="M206" s="110"/>
      <c r="N206" s="110"/>
    </row>
    <row r="207" ht="21.75" customHeight="1">
      <c r="A207" s="111">
        <f>202</f>
        <v>202</v>
      </c>
      <c r="B207" s="112" t="s">
        <v>290</v>
      </c>
      <c r="C207" s="143" t="str">
        <f t="array" ref="C207">IF(B207="","",IFERROR(INDEX('FUNCIONÁRIOS'!$B$4:$B$501,MATCH(B207,'FUNCIONÁRIOS'!$C$4:$C$501,0)),""))</f>
        <v>GYNLIGHT</v>
      </c>
      <c r="D207" s="143" t="str">
        <f t="array" ref="D207">IF(B207="","",IFERROR(INDEX('FUNCIONÁRIOS'!$D$4:$D$501,MATCH(B207,'FUNCIONÁRIOS'!$C$4:$C$501,0)),""))</f>
        <v>Auxiliar Técnico em Iluminação</v>
      </c>
      <c r="E207" s="113" t="str">
        <f t="array" ref="E207">IF(B207="","",IFERROR(INDEX('FUNCIONÁRIOS'!$E$4:$E$501,MATCH(B207,'FUNCIONÁRIOS'!$C$4:$C$501,0)),""))</f>
        <v>NÃO</v>
      </c>
      <c r="F207" s="138">
        <v>46164.0</v>
      </c>
      <c r="G207" s="115" t="str">
        <f t="shared" si="13"/>
        <v>✅ 09:41</v>
      </c>
      <c r="H207" s="121">
        <v>0.40347222222222223</v>
      </c>
      <c r="I207" s="117" t="str">
        <f t="shared" si="14"/>
        <v>✅ 17:15</v>
      </c>
      <c r="J207" s="121">
        <v>0.71875</v>
      </c>
      <c r="K207" s="126">
        <f t="shared" si="18"/>
        <v>0.3152777778</v>
      </c>
      <c r="L207" s="127" t="str">
        <f t="shared" si="15"/>
        <v>✅ Finalizado</v>
      </c>
      <c r="M207" s="110"/>
      <c r="N207" s="110"/>
    </row>
    <row r="208" ht="21.75" customHeight="1">
      <c r="A208" s="111">
        <f>203</f>
        <v>203</v>
      </c>
      <c r="B208" s="112" t="s">
        <v>260</v>
      </c>
      <c r="C208" s="144" t="str">
        <f t="array" ref="C208">IF(B208="","",IFERROR(INDEX('FUNCIONÁRIOS'!$B$4:$B$501,MATCH(B208,'FUNCIONÁRIOS'!$C$4:$C$501,0)),""))</f>
        <v>GYNLIGHT</v>
      </c>
      <c r="D208" s="144" t="str">
        <f t="array" ref="D208">IF(B208="","",IFERROR(INDEX('FUNCIONÁRIOS'!$D$4:$D$501,MATCH(B208,'FUNCIONÁRIOS'!$C$4:$C$501,0)),""))</f>
        <v>Cordenador Técnico</v>
      </c>
      <c r="E208" s="123" t="str">
        <f t="array" ref="E208">IF(B208="","",IFERROR(INDEX('FUNCIONÁRIOS'!$E$4:$E$501,MATCH(B208,'FUNCIONÁRIOS'!$C$4:$C$501,0)),""))</f>
        <v>SIM</v>
      </c>
      <c r="F208" s="138">
        <v>46164.0</v>
      </c>
      <c r="G208" s="115" t="str">
        <f t="shared" si="13"/>
        <v>✅ 09:44</v>
      </c>
      <c r="H208" s="121">
        <v>0.40555555555555556</v>
      </c>
      <c r="I208" s="117" t="str">
        <f t="shared" si="14"/>
        <v>✅ 18:00</v>
      </c>
      <c r="J208" s="121">
        <v>0.75</v>
      </c>
      <c r="K208" s="126">
        <f t="shared" si="18"/>
        <v>0.3444444444</v>
      </c>
      <c r="L208" s="127" t="str">
        <f t="shared" si="15"/>
        <v>✅ Finalizado</v>
      </c>
      <c r="M208" s="110"/>
      <c r="N208" s="110"/>
    </row>
    <row r="209" ht="21.75" customHeight="1">
      <c r="A209" s="111">
        <f>204</f>
        <v>204</v>
      </c>
      <c r="B209" s="112" t="s">
        <v>278</v>
      </c>
      <c r="C209" s="143" t="str">
        <f t="array" ref="C209">IF(B209="","",IFERROR(INDEX('FUNCIONÁRIOS'!$B$4:$B$501,MATCH(B209,'FUNCIONÁRIOS'!$C$4:$C$501,0)),""))</f>
        <v>GYNLIGHT</v>
      </c>
      <c r="D209" s="143" t="str">
        <f t="array" ref="D209">IF(B209="","",IFERROR(INDEX('FUNCIONÁRIOS'!$D$4:$D$501,MATCH(B209,'FUNCIONÁRIOS'!$C$4:$C$501,0)),""))</f>
        <v>Auxiliar Técnico em Iluminação</v>
      </c>
      <c r="E209" s="113" t="str">
        <f t="array" ref="E209">IF(B209="","",IFERROR(INDEX('FUNCIONÁRIOS'!$E$4:$E$501,MATCH(B209,'FUNCIONÁRIOS'!$C$4:$C$501,0)),""))</f>
        <v>NÃO</v>
      </c>
      <c r="F209" s="138">
        <v>46164.0</v>
      </c>
      <c r="G209" s="115" t="str">
        <f t="shared" si="13"/>
        <v>✅ 09:44</v>
      </c>
      <c r="H209" s="121">
        <v>0.40555555555555556</v>
      </c>
      <c r="I209" s="117" t="str">
        <f t="shared" si="14"/>
        <v>✅ 17:15</v>
      </c>
      <c r="J209" s="121">
        <v>0.71875</v>
      </c>
      <c r="K209" s="126">
        <f t="shared" si="18"/>
        <v>0.3131944444</v>
      </c>
      <c r="L209" s="127" t="str">
        <f t="shared" si="15"/>
        <v>✅ Finalizado</v>
      </c>
      <c r="M209" s="110"/>
      <c r="N209" s="110"/>
    </row>
    <row r="210" ht="21.75" customHeight="1">
      <c r="A210" s="111">
        <f>205</f>
        <v>205</v>
      </c>
      <c r="B210" s="112" t="s">
        <v>236</v>
      </c>
      <c r="C210" s="144" t="str">
        <f t="array" ref="C210">IF(B210="","",IFERROR(INDEX('FUNCIONÁRIOS'!$B$4:$B$501,MATCH(B210,'FUNCIONÁRIOS'!$C$4:$C$501,0)),""))</f>
        <v>EL SHADDAI</v>
      </c>
      <c r="D210" s="144" t="str">
        <f t="array" ref="D210">IF(B210="","",IFERROR(INDEX('FUNCIONÁRIOS'!$D$4:$D$501,MATCH(B210,'FUNCIONÁRIOS'!$C$4:$C$501,0)),""))</f>
        <v>SOLDADOR </v>
      </c>
      <c r="E210" s="123" t="str">
        <f t="array" ref="E210">IF(B210="","",IFERROR(INDEX('FUNCIONÁRIOS'!$E$4:$E$501,MATCH(B210,'FUNCIONÁRIOS'!$C$4:$C$501,0)),""))</f>
        <v>NÃO</v>
      </c>
      <c r="F210" s="138">
        <v>46164.0</v>
      </c>
      <c r="G210" s="115" t="str">
        <f t="shared" si="13"/>
        <v>✅ 10:05</v>
      </c>
      <c r="H210" s="121">
        <v>0.4201388888888889</v>
      </c>
      <c r="I210" s="117" t="str">
        <f t="shared" si="14"/>
        <v>✅ 18:00</v>
      </c>
      <c r="J210" s="121">
        <v>0.75</v>
      </c>
      <c r="K210" s="126">
        <f t="shared" si="18"/>
        <v>0.3298611111</v>
      </c>
      <c r="L210" s="127" t="str">
        <f t="shared" si="15"/>
        <v>✅ Finalizado</v>
      </c>
      <c r="M210" s="110"/>
      <c r="N210" s="110"/>
    </row>
    <row r="211" ht="21.75" customHeight="1">
      <c r="A211" s="111">
        <f>206</f>
        <v>206</v>
      </c>
      <c r="B211" s="112" t="s">
        <v>316</v>
      </c>
      <c r="C211" s="154" t="s">
        <v>34</v>
      </c>
      <c r="D211" s="143" t="str">
        <f t="array" ref="D211">IF(B211="","",IFERROR(INDEX('FUNCIONÁRIOS'!$D$4:$D$501,MATCH(B211,'FUNCIONÁRIOS'!$C$4:$C$501,0)),""))</f>
        <v>Montador</v>
      </c>
      <c r="E211" s="113" t="str">
        <f t="array" ref="E211">IF(B211="","",IFERROR(INDEX('FUNCIONÁRIOS'!$E$4:$E$501,MATCH(B211,'FUNCIONÁRIOS'!$C$4:$C$501,0)),""))</f>
        <v>NÃO</v>
      </c>
      <c r="F211" s="138">
        <v>46164.0</v>
      </c>
      <c r="G211" s="115" t="str">
        <f t="shared" si="13"/>
        <v>✅ 10:05</v>
      </c>
      <c r="H211" s="121">
        <v>0.4201388888888889</v>
      </c>
      <c r="I211" s="117" t="str">
        <f t="shared" si="14"/>
        <v>✅ 18:00</v>
      </c>
      <c r="J211" s="121">
        <v>0.75</v>
      </c>
      <c r="K211" s="126">
        <f t="shared" si="18"/>
        <v>0.3298611111</v>
      </c>
      <c r="L211" s="127" t="str">
        <f t="shared" si="15"/>
        <v>✅ Finalizado</v>
      </c>
      <c r="M211" s="110"/>
      <c r="N211" s="110"/>
    </row>
    <row r="212" ht="21.75" customHeight="1">
      <c r="A212" s="111">
        <f>207</f>
        <v>207</v>
      </c>
      <c r="B212" s="112" t="s">
        <v>317</v>
      </c>
      <c r="C212" s="153" t="s">
        <v>34</v>
      </c>
      <c r="D212" s="144" t="str">
        <f t="array" ref="D212">IF(B212="","",IFERROR(INDEX('FUNCIONÁRIOS'!$D$4:$D$501,MATCH(B212,'FUNCIONÁRIOS'!$C$4:$C$501,0)),""))</f>
        <v>Montador</v>
      </c>
      <c r="E212" s="123" t="str">
        <f t="array" ref="E212">IF(B212="","",IFERROR(INDEX('FUNCIONÁRIOS'!$E$4:$E$501,MATCH(B212,'FUNCIONÁRIOS'!$C$4:$C$501,0)),""))</f>
        <v>NÃO</v>
      </c>
      <c r="F212" s="138">
        <v>46164.0</v>
      </c>
      <c r="G212" s="115" t="str">
        <f t="shared" si="13"/>
        <v>✅ 10:05</v>
      </c>
      <c r="H212" s="121">
        <v>0.4201388888888889</v>
      </c>
      <c r="I212" s="117" t="str">
        <f t="shared" si="14"/>
        <v>✅ 18:00</v>
      </c>
      <c r="J212" s="121">
        <v>0.75</v>
      </c>
      <c r="K212" s="126">
        <f t="shared" si="18"/>
        <v>0.3298611111</v>
      </c>
      <c r="L212" s="127" t="str">
        <f t="shared" si="15"/>
        <v>✅ Finalizado</v>
      </c>
      <c r="M212" s="110"/>
      <c r="N212" s="110"/>
    </row>
    <row r="213" ht="21.75" customHeight="1">
      <c r="A213" s="111">
        <f>208</f>
        <v>208</v>
      </c>
      <c r="B213" s="112" t="s">
        <v>318</v>
      </c>
      <c r="C213" s="154" t="s">
        <v>34</v>
      </c>
      <c r="D213" s="143" t="str">
        <f t="array" ref="D213">IF(B213="","",IFERROR(INDEX('FUNCIONÁRIOS'!$D$4:$D$501,MATCH(B213,'FUNCIONÁRIOS'!$C$4:$C$501,0)),""))</f>
        <v>Motorista</v>
      </c>
      <c r="E213" s="113" t="str">
        <f t="array" ref="E213">IF(B213="","",IFERROR(INDEX('FUNCIONÁRIOS'!$E$4:$E$501,MATCH(B213,'FUNCIONÁRIOS'!$C$4:$C$501,0)),""))</f>
        <v>NÃO</v>
      </c>
      <c r="F213" s="138">
        <v>46164.0</v>
      </c>
      <c r="G213" s="115" t="str">
        <f t="shared" si="13"/>
        <v>✅ 10:05</v>
      </c>
      <c r="H213" s="121">
        <v>0.4201388888888889</v>
      </c>
      <c r="I213" s="117" t="str">
        <f t="shared" si="14"/>
        <v>✅ 13:49</v>
      </c>
      <c r="J213" s="116" t="s">
        <v>1649</v>
      </c>
      <c r="K213" s="118">
        <v>0.1555555555555555</v>
      </c>
      <c r="L213" s="127" t="str">
        <f t="shared" si="15"/>
        <v>✅ Finalizado</v>
      </c>
      <c r="M213" s="110"/>
      <c r="N213" s="110"/>
    </row>
    <row r="214" ht="21.75" customHeight="1">
      <c r="A214" s="111">
        <f>209</f>
        <v>209</v>
      </c>
      <c r="B214" s="112" t="s">
        <v>319</v>
      </c>
      <c r="C214" s="153" t="s">
        <v>34</v>
      </c>
      <c r="D214" s="144" t="str">
        <f t="array" ref="D214">IF(B214="","",IFERROR(INDEX('FUNCIONÁRIOS'!$D$4:$D$501,MATCH(B214,'FUNCIONÁRIOS'!$C$4:$C$501,0)),""))</f>
        <v>Montador</v>
      </c>
      <c r="E214" s="123" t="str">
        <f t="array" ref="E214">IF(B214="","",IFERROR(INDEX('FUNCIONÁRIOS'!$E$4:$E$501,MATCH(B214,'FUNCIONÁRIOS'!$C$4:$C$501,0)),""))</f>
        <v>NÃO</v>
      </c>
      <c r="F214" s="138">
        <v>46164.0</v>
      </c>
      <c r="G214" s="115" t="str">
        <f t="shared" si="13"/>
        <v>✅ 10:05</v>
      </c>
      <c r="H214" s="121">
        <v>0.4201388888888889</v>
      </c>
      <c r="I214" s="117" t="str">
        <f t="shared" si="14"/>
        <v>✅ 18:00</v>
      </c>
      <c r="J214" s="121">
        <v>0.75</v>
      </c>
      <c r="K214" s="126">
        <f>IF(AND(H214&lt;&gt;"",J214&lt;&gt;""),J214-H214,"")</f>
        <v>0.3298611111</v>
      </c>
      <c r="L214" s="127" t="str">
        <f t="shared" si="15"/>
        <v>✅ Finalizado</v>
      </c>
      <c r="M214" s="110"/>
      <c r="N214" s="110"/>
    </row>
    <row r="215" ht="21.75" customHeight="1">
      <c r="A215" s="111">
        <f>210</f>
        <v>210</v>
      </c>
      <c r="B215" s="112" t="s">
        <v>321</v>
      </c>
      <c r="C215" s="154" t="s">
        <v>34</v>
      </c>
      <c r="D215" s="143" t="str">
        <f t="array" ref="D215">IF(B215="","",IFERROR(INDEX('FUNCIONÁRIOS'!$D$4:$D$501,MATCH(B215,'FUNCIONÁRIOS'!$C$4:$C$501,0)),""))</f>
        <v>Montador</v>
      </c>
      <c r="E215" s="113" t="str">
        <f t="array" ref="E215">IF(B215="","",IFERROR(INDEX('FUNCIONÁRIOS'!$E$4:$E$501,MATCH(B215,'FUNCIONÁRIOS'!$C$4:$C$501,0)),""))</f>
        <v>NÃO</v>
      </c>
      <c r="F215" s="138">
        <v>46164.0</v>
      </c>
      <c r="G215" s="115" t="str">
        <f t="shared" si="13"/>
        <v>✅ 10:05</v>
      </c>
      <c r="H215" s="121">
        <v>0.4201388888888889</v>
      </c>
      <c r="I215" s="117" t="str">
        <f t="shared" si="14"/>
        <v>✅ 13:49</v>
      </c>
      <c r="J215" s="116" t="s">
        <v>1649</v>
      </c>
      <c r="K215" s="118">
        <v>0.1555555555555555</v>
      </c>
      <c r="L215" s="127" t="str">
        <f t="shared" si="15"/>
        <v>✅ Finalizado</v>
      </c>
      <c r="M215" s="110"/>
      <c r="N215" s="110"/>
    </row>
    <row r="216" ht="21.75" customHeight="1">
      <c r="A216" s="111">
        <f>211</f>
        <v>211</v>
      </c>
      <c r="B216" s="112" t="s">
        <v>189</v>
      </c>
      <c r="C216" s="144" t="str">
        <f t="array" ref="C216">IF(B216="","",IFERROR(INDEX('FUNCIONÁRIOS'!$B$4:$B$501,MATCH(B216,'FUNCIONÁRIOS'!$C$4:$C$501,0)),""))</f>
        <v>MONTE EVENTOS </v>
      </c>
      <c r="D216" s="144" t="str">
        <f t="array" ref="D216">IF(B216="","",IFERROR(INDEX('FUNCIONÁRIOS'!$D$4:$D$501,MATCH(B216,'FUNCIONÁRIOS'!$C$4:$C$501,0)),""))</f>
        <v>DIRETOR </v>
      </c>
      <c r="E216" s="123" t="str">
        <f t="array" ref="E216">IF(B216="","",IFERROR(INDEX('FUNCIONÁRIOS'!$E$4:$E$501,MATCH(B216,'FUNCIONÁRIOS'!$C$4:$C$501,0)),""))</f>
        <v>SIM</v>
      </c>
      <c r="F216" s="138">
        <v>46164.0</v>
      </c>
      <c r="G216" s="115" t="str">
        <f t="shared" si="13"/>
        <v>✅ 10:22</v>
      </c>
      <c r="H216" s="121">
        <v>0.43194444444444446</v>
      </c>
      <c r="I216" s="117" t="str">
        <f t="shared" si="14"/>
        <v>✅ 18:00</v>
      </c>
      <c r="J216" s="121">
        <v>0.75</v>
      </c>
      <c r="K216" s="126">
        <f t="shared" ref="K216:K222" si="19">IF(AND(H216&lt;&gt;"",J216&lt;&gt;""),J216-H216,"")</f>
        <v>0.3180555556</v>
      </c>
      <c r="L216" s="127" t="str">
        <f t="shared" si="15"/>
        <v>✅ Finalizado</v>
      </c>
      <c r="M216" s="110"/>
      <c r="N216" s="110"/>
    </row>
    <row r="217" ht="21.75" customHeight="1">
      <c r="A217" s="111">
        <f>212</f>
        <v>212</v>
      </c>
      <c r="B217" s="112" t="s">
        <v>323</v>
      </c>
      <c r="C217" s="154" t="s">
        <v>38</v>
      </c>
      <c r="D217" s="143" t="str">
        <f t="array" ref="D217">IF(B217="","",IFERROR(INDEX('FUNCIONÁRIOS'!$D$4:$D$501,MATCH(B217,'FUNCIONÁRIOS'!$C$4:$C$501,0)),""))</f>
        <v>Montador</v>
      </c>
      <c r="E217" s="113" t="str">
        <f t="array" ref="E217">IF(B217="","",IFERROR(INDEX('FUNCIONÁRIOS'!$E$4:$E$501,MATCH(B217,'FUNCIONÁRIOS'!$C$4:$C$501,0)),""))</f>
        <v>NÃO</v>
      </c>
      <c r="F217" s="138">
        <v>46164.0</v>
      </c>
      <c r="G217" s="115" t="str">
        <f t="shared" si="13"/>
        <v>✅ 13:32</v>
      </c>
      <c r="H217" s="121">
        <v>0.5638888888888889</v>
      </c>
      <c r="I217" s="117" t="str">
        <f t="shared" si="14"/>
        <v>✅ 18:00</v>
      </c>
      <c r="J217" s="121">
        <v>0.75</v>
      </c>
      <c r="K217" s="126">
        <f t="shared" si="19"/>
        <v>0.1861111111</v>
      </c>
      <c r="L217" s="127" t="str">
        <f t="shared" si="15"/>
        <v>✅ Finalizado</v>
      </c>
      <c r="M217" s="110"/>
      <c r="N217" s="110"/>
    </row>
    <row r="218" ht="21.75" customHeight="1">
      <c r="A218" s="111">
        <f>213</f>
        <v>213</v>
      </c>
      <c r="B218" s="112" t="s">
        <v>325</v>
      </c>
      <c r="C218" s="153" t="s">
        <v>38</v>
      </c>
      <c r="D218" s="144" t="str">
        <f t="array" ref="D218">IF(B218="","",IFERROR(INDEX('FUNCIONÁRIOS'!$D$4:$D$501,MATCH(B218,'FUNCIONÁRIOS'!$C$4:$C$501,0)),""))</f>
        <v>Montador</v>
      </c>
      <c r="E218" s="123" t="str">
        <f t="array" ref="E218">IF(B218="","",IFERROR(INDEX('FUNCIONÁRIOS'!$E$4:$E$501,MATCH(B218,'FUNCIONÁRIOS'!$C$4:$C$501,0)),""))</f>
        <v>NÃO</v>
      </c>
      <c r="F218" s="138">
        <v>46164.0</v>
      </c>
      <c r="G218" s="115" t="str">
        <f t="shared" si="13"/>
        <v>✅ 13:32</v>
      </c>
      <c r="H218" s="121">
        <v>0.5638888888888889</v>
      </c>
      <c r="I218" s="117" t="str">
        <f t="shared" si="14"/>
        <v>✅ 18:00</v>
      </c>
      <c r="J218" s="121">
        <v>0.75</v>
      </c>
      <c r="K218" s="126">
        <f t="shared" si="19"/>
        <v>0.1861111111</v>
      </c>
      <c r="L218" s="127" t="str">
        <f t="shared" si="15"/>
        <v>✅ Finalizado</v>
      </c>
      <c r="M218" s="110"/>
      <c r="N218" s="110"/>
    </row>
    <row r="219" ht="21.75" customHeight="1">
      <c r="A219" s="111">
        <f>214</f>
        <v>214</v>
      </c>
      <c r="B219" s="112" t="s">
        <v>327</v>
      </c>
      <c r="C219" s="154" t="s">
        <v>38</v>
      </c>
      <c r="D219" s="143" t="str">
        <f t="array" ref="D219">IF(B219="","",IFERROR(INDEX('FUNCIONÁRIOS'!$D$4:$D$501,MATCH(B219,'FUNCIONÁRIOS'!$C$4:$C$501,0)),""))</f>
        <v>Carregador</v>
      </c>
      <c r="E219" s="113" t="str">
        <f t="array" ref="E219">IF(B219="","",IFERROR(INDEX('FUNCIONÁRIOS'!$E$4:$E$501,MATCH(B219,'FUNCIONÁRIOS'!$C$4:$C$501,0)),""))</f>
        <v>NÃO</v>
      </c>
      <c r="F219" s="138">
        <v>46164.0</v>
      </c>
      <c r="G219" s="115" t="str">
        <f t="shared" si="13"/>
        <v>✅ 13:32</v>
      </c>
      <c r="H219" s="121">
        <v>0.5638888888888889</v>
      </c>
      <c r="I219" s="117" t="str">
        <f t="shared" si="14"/>
        <v>✅ 18:00</v>
      </c>
      <c r="J219" s="121">
        <v>0.75</v>
      </c>
      <c r="K219" s="126">
        <f t="shared" si="19"/>
        <v>0.1861111111</v>
      </c>
      <c r="L219" s="127" t="str">
        <f t="shared" si="15"/>
        <v>✅ Finalizado</v>
      </c>
      <c r="M219" s="110"/>
      <c r="N219" s="110"/>
    </row>
    <row r="220" ht="21.75" customHeight="1">
      <c r="A220" s="111">
        <f>215</f>
        <v>215</v>
      </c>
      <c r="B220" s="112" t="s">
        <v>330</v>
      </c>
      <c r="C220" s="153" t="s">
        <v>38</v>
      </c>
      <c r="D220" s="144" t="str">
        <f t="array" ref="D220">IF(B220="","",IFERROR(INDEX('FUNCIONÁRIOS'!$D$4:$D$501,MATCH(B220,'FUNCIONÁRIOS'!$C$4:$C$501,0)),""))</f>
        <v>Montador</v>
      </c>
      <c r="E220" s="123" t="str">
        <f t="array" ref="E220">IF(B220="","",IFERROR(INDEX('FUNCIONÁRIOS'!$E$4:$E$501,MATCH(B220,'FUNCIONÁRIOS'!$C$4:$C$501,0)),""))</f>
        <v>NÃO</v>
      </c>
      <c r="F220" s="138">
        <v>46164.0</v>
      </c>
      <c r="G220" s="115" t="str">
        <f t="shared" si="13"/>
        <v>✅ 13:40</v>
      </c>
      <c r="H220" s="121">
        <v>0.5694444444444444</v>
      </c>
      <c r="I220" s="117" t="str">
        <f t="shared" si="14"/>
        <v>✅ 18:00</v>
      </c>
      <c r="J220" s="121">
        <v>0.75</v>
      </c>
      <c r="K220" s="126">
        <f t="shared" si="19"/>
        <v>0.1805555556</v>
      </c>
      <c r="L220" s="127" t="str">
        <f t="shared" si="15"/>
        <v>✅ Finalizado</v>
      </c>
      <c r="M220" s="110"/>
      <c r="N220" s="110"/>
    </row>
    <row r="221" ht="21.75" customHeight="1">
      <c r="A221" s="111">
        <f>216</f>
        <v>216</v>
      </c>
      <c r="B221" s="112" t="s">
        <v>332</v>
      </c>
      <c r="C221" s="154" t="s">
        <v>38</v>
      </c>
      <c r="D221" s="143" t="str">
        <f t="array" ref="D221">IF(B221="","",IFERROR(INDEX('FUNCIONÁRIOS'!$D$4:$D$501,MATCH(B221,'FUNCIONÁRIOS'!$C$4:$C$501,0)),""))</f>
        <v>Montador</v>
      </c>
      <c r="E221" s="113" t="str">
        <f t="array" ref="E221">IF(B221="","",IFERROR(INDEX('FUNCIONÁRIOS'!$E$4:$E$501,MATCH(B221,'FUNCIONÁRIOS'!$C$4:$C$501,0)),""))</f>
        <v>NÃO</v>
      </c>
      <c r="F221" s="138">
        <v>46164.0</v>
      </c>
      <c r="G221" s="115" t="str">
        <f t="shared" si="13"/>
        <v>✅ 13:40</v>
      </c>
      <c r="H221" s="121">
        <v>0.5694444444444444</v>
      </c>
      <c r="I221" s="117" t="str">
        <f t="shared" si="14"/>
        <v>✅ 18:00</v>
      </c>
      <c r="J221" s="121">
        <v>0.75</v>
      </c>
      <c r="K221" s="126">
        <f t="shared" si="19"/>
        <v>0.1805555556</v>
      </c>
      <c r="L221" s="127" t="str">
        <f t="shared" si="15"/>
        <v>✅ Finalizado</v>
      </c>
      <c r="M221" s="110"/>
      <c r="N221" s="110"/>
    </row>
    <row r="222" ht="21.75" customHeight="1">
      <c r="A222" s="111">
        <f>217</f>
        <v>217</v>
      </c>
      <c r="B222" s="112" t="s">
        <v>334</v>
      </c>
      <c r="C222" s="153" t="s">
        <v>34</v>
      </c>
      <c r="D222" s="144" t="str">
        <f t="array" ref="D222">IF(B222="","",IFERROR(INDEX('FUNCIONÁRIOS'!$D$4:$D$501,MATCH(B222,'FUNCIONÁRIOS'!$C$4:$C$501,0)),""))</f>
        <v>motorista</v>
      </c>
      <c r="E222" s="123" t="str">
        <f t="array" ref="E222">IF(B222="","",IFERROR(INDEX('FUNCIONÁRIOS'!$E$4:$E$501,MATCH(B222,'FUNCIONÁRIOS'!$C$4:$C$501,0)),""))</f>
        <v>NÃO</v>
      </c>
      <c r="F222" s="138">
        <v>46164.0</v>
      </c>
      <c r="G222" s="115" t="str">
        <f t="shared" si="13"/>
        <v>✅ 15:05</v>
      </c>
      <c r="H222" s="121">
        <v>0.6284722222222222</v>
      </c>
      <c r="I222" s="117" t="str">
        <f t="shared" si="14"/>
        <v>✅ 18:00</v>
      </c>
      <c r="J222" s="121">
        <v>0.75</v>
      </c>
      <c r="K222" s="126">
        <f t="shared" si="19"/>
        <v>0.1215277778</v>
      </c>
      <c r="L222" s="127" t="str">
        <f t="shared" si="15"/>
        <v>✅ Finalizado</v>
      </c>
      <c r="M222" s="110"/>
      <c r="N222" s="110"/>
    </row>
    <row r="223" ht="21.75" customHeight="1">
      <c r="A223" s="156"/>
      <c r="B223" s="157"/>
      <c r="C223" s="158"/>
      <c r="D223" s="158"/>
      <c r="E223" s="159"/>
      <c r="F223" s="160"/>
      <c r="G223" s="161"/>
      <c r="H223" s="162"/>
      <c r="I223" s="163"/>
      <c r="J223" s="162"/>
      <c r="K223" s="164"/>
      <c r="L223" s="165"/>
      <c r="M223" s="110"/>
      <c r="N223" s="110"/>
    </row>
    <row r="224" ht="21.75" customHeight="1">
      <c r="A224" s="111">
        <f>218</f>
        <v>218</v>
      </c>
      <c r="B224" s="112" t="s">
        <v>118</v>
      </c>
      <c r="C224" s="143" t="str">
        <f t="array" ref="C224">IF(B224="","",IFERROR(INDEX('FUNCIONÁRIOS'!$B$4:$B$501,MATCH(B224,'FUNCIONÁRIOS'!$C$4:$C$501,0)),""))</f>
        <v>MONTE EVENTOS </v>
      </c>
      <c r="D224" s="143" t="str">
        <f t="array" ref="D224">IF(B224="","",IFERROR(INDEX('FUNCIONÁRIOS'!$D$4:$D$501,MATCH(B224,'FUNCIONÁRIOS'!$C$4:$C$501,0)),""))</f>
        <v>MONTADOR</v>
      </c>
      <c r="E224" s="113" t="str">
        <f t="array" ref="E224">IF(B224="","",IFERROR(INDEX('FUNCIONÁRIOS'!$E$4:$E$501,MATCH(B224,'FUNCIONÁRIOS'!$C$4:$C$501,0)),""))</f>
        <v>NÃO</v>
      </c>
      <c r="F224" s="138">
        <v>46165.0</v>
      </c>
      <c r="G224" s="115" t="str">
        <f t="shared" ref="G224:G316" si="20">IF(H224&lt;&gt;"","✅ "&amp;TEXT(H224,"HH:MM"),"→ Selecione a linha e use o menu ⏱️ Ponto")</f>
        <v>✅ 08:20</v>
      </c>
      <c r="H224" s="121">
        <v>0.3472222222222222</v>
      </c>
      <c r="I224" s="117" t="str">
        <f t="shared" ref="I224:I316" si="21">IF(J224&lt;&gt;"","✅ "&amp;TEXT(J224,"HH:MM"),"→ Selecione a linha e use o menu ⏱️ Ponto")</f>
        <v>✅ 18:00</v>
      </c>
      <c r="J224" s="121">
        <v>0.75</v>
      </c>
      <c r="K224" s="126">
        <f t="shared" ref="K224:K237" si="22">IF(AND(H224&lt;&gt;"",J224&lt;&gt;""),J224-H224,"")</f>
        <v>0.4027777778</v>
      </c>
      <c r="L224" s="127" t="str">
        <f t="shared" ref="L224:L316" si="23">IF(AND(H224&lt;&gt;"",J224=""),"🟢 No Evento",IF(AND(H224&lt;&gt;"",J224&lt;&gt;""),"✅ Finalizado",IF(B224&lt;&gt;"","⏳ Não entrou","")))</f>
        <v>✅ Finalizado</v>
      </c>
      <c r="M224" s="110"/>
      <c r="N224" s="110"/>
    </row>
    <row r="225" ht="21.75" customHeight="1">
      <c r="A225" s="111">
        <f>219</f>
        <v>219</v>
      </c>
      <c r="B225" s="112" t="s">
        <v>185</v>
      </c>
      <c r="C225" s="144" t="str">
        <f t="array" ref="C225">IF(B225="","",IFERROR(INDEX('FUNCIONÁRIOS'!$B$4:$B$501,MATCH(B225,'FUNCIONÁRIOS'!$C$4:$C$501,0)),""))</f>
        <v>MONTE EVENTOS </v>
      </c>
      <c r="D225" s="144" t="str">
        <f t="array" ref="D225">IF(B225="","",IFERROR(INDEX('FUNCIONÁRIOS'!$D$4:$D$501,MATCH(B225,'FUNCIONÁRIOS'!$C$4:$C$501,0)),""))</f>
        <v>montador </v>
      </c>
      <c r="E225" s="123" t="str">
        <f t="array" ref="E225">IF(B225="","",IFERROR(INDEX('FUNCIONÁRIOS'!$E$4:$E$501,MATCH(B225,'FUNCIONÁRIOS'!$C$4:$C$501,0)),""))</f>
        <v>NÃO</v>
      </c>
      <c r="F225" s="138">
        <v>46165.0</v>
      </c>
      <c r="G225" s="115" t="str">
        <f t="shared" si="20"/>
        <v>✅ 08:20</v>
      </c>
      <c r="H225" s="121">
        <v>0.3472222222222222</v>
      </c>
      <c r="I225" s="117" t="str">
        <f t="shared" si="21"/>
        <v>✅ 18:21</v>
      </c>
      <c r="J225" s="121">
        <v>0.7645833333333333</v>
      </c>
      <c r="K225" s="126">
        <f t="shared" si="22"/>
        <v>0.4173611111</v>
      </c>
      <c r="L225" s="127" t="str">
        <f t="shared" si="23"/>
        <v>✅ Finalizado</v>
      </c>
      <c r="M225" s="110"/>
      <c r="N225" s="110"/>
    </row>
    <row r="226" ht="21.75" customHeight="1">
      <c r="A226" s="111">
        <f>220</f>
        <v>220</v>
      </c>
      <c r="B226" s="112" t="s">
        <v>124</v>
      </c>
      <c r="C226" s="143" t="str">
        <f t="array" ref="C226">IF(B226="","",IFERROR(INDEX('FUNCIONÁRIOS'!$B$4:$B$501,MATCH(B226,'FUNCIONÁRIOS'!$C$4:$C$501,0)),""))</f>
        <v>MONTE EVENTOS </v>
      </c>
      <c r="D226" s="143" t="str">
        <f t="array" ref="D226">IF(B226="","",IFERROR(INDEX('FUNCIONÁRIOS'!$D$4:$D$501,MATCH(B226,'FUNCIONÁRIOS'!$C$4:$C$501,0)),""))</f>
        <v>MONTADOR</v>
      </c>
      <c r="E226" s="113" t="str">
        <f t="array" ref="E226">IF(B226="","",IFERROR(INDEX('FUNCIONÁRIOS'!$E$4:$E$501,MATCH(B226,'FUNCIONÁRIOS'!$C$4:$C$501,0)),""))</f>
        <v>NÃO</v>
      </c>
      <c r="F226" s="138">
        <v>46165.0</v>
      </c>
      <c r="G226" s="115" t="str">
        <f t="shared" si="20"/>
        <v>✅ 08:20</v>
      </c>
      <c r="H226" s="121">
        <v>0.3472222222222222</v>
      </c>
      <c r="I226" s="117" t="str">
        <f t="shared" si="21"/>
        <v>✅ 18:24</v>
      </c>
      <c r="J226" s="121">
        <v>0.7666666666666667</v>
      </c>
      <c r="K226" s="126">
        <f t="shared" si="22"/>
        <v>0.4194444444</v>
      </c>
      <c r="L226" s="127" t="str">
        <f t="shared" si="23"/>
        <v>✅ Finalizado</v>
      </c>
      <c r="M226" s="110"/>
      <c r="N226" s="110"/>
    </row>
    <row r="227" ht="21.75" customHeight="1">
      <c r="A227" s="111">
        <f>221</f>
        <v>221</v>
      </c>
      <c r="B227" s="112" t="s">
        <v>121</v>
      </c>
      <c r="C227" s="144" t="str">
        <f t="array" ref="C227">IF(B227="","",IFERROR(INDEX('FUNCIONÁRIOS'!$B$4:$B$501,MATCH(B227,'FUNCIONÁRIOS'!$C$4:$C$501,0)),""))</f>
        <v>MONTE EVENTOS </v>
      </c>
      <c r="D227" s="144" t="str">
        <f t="array" ref="D227">IF(B227="","",IFERROR(INDEX('FUNCIONÁRIOS'!$D$4:$D$501,MATCH(B227,'FUNCIONÁRIOS'!$C$4:$C$501,0)),""))</f>
        <v>MONTADOR</v>
      </c>
      <c r="E227" s="123" t="str">
        <f t="array" ref="E227">IF(B227="","",IFERROR(INDEX('FUNCIONÁRIOS'!$E$4:$E$501,MATCH(B227,'FUNCIONÁRIOS'!$C$4:$C$501,0)),""))</f>
        <v>NÃO</v>
      </c>
      <c r="F227" s="138">
        <v>46165.0</v>
      </c>
      <c r="G227" s="115" t="str">
        <f t="shared" si="20"/>
        <v>✅ 08:20</v>
      </c>
      <c r="H227" s="121">
        <v>0.3472222222222222</v>
      </c>
      <c r="I227" s="117" t="str">
        <f t="shared" si="21"/>
        <v>✅ 18:21</v>
      </c>
      <c r="J227" s="121">
        <v>0.7645833333333333</v>
      </c>
      <c r="K227" s="126">
        <f t="shared" si="22"/>
        <v>0.4173611111</v>
      </c>
      <c r="L227" s="127" t="str">
        <f t="shared" si="23"/>
        <v>✅ Finalizado</v>
      </c>
      <c r="M227" s="110"/>
      <c r="N227" s="110"/>
    </row>
    <row r="228" ht="21.75" customHeight="1">
      <c r="A228" s="111">
        <f>222</f>
        <v>222</v>
      </c>
      <c r="B228" s="112" t="s">
        <v>126</v>
      </c>
      <c r="C228" s="143" t="str">
        <f t="array" ref="C228">IF(B228="","",IFERROR(INDEX('FUNCIONÁRIOS'!$B$4:$B$501,MATCH(B228,'FUNCIONÁRIOS'!$C$4:$C$501,0)),""))</f>
        <v>MONTE EVENTOS </v>
      </c>
      <c r="D228" s="143" t="str">
        <f t="array" ref="D228">IF(B228="","",IFERROR(INDEX('FUNCIONÁRIOS'!$D$4:$D$501,MATCH(B228,'FUNCIONÁRIOS'!$C$4:$C$501,0)),""))</f>
        <v>MONTADOR</v>
      </c>
      <c r="E228" s="113" t="str">
        <f t="array" ref="E228">IF(B228="","",IFERROR(INDEX('FUNCIONÁRIOS'!$E$4:$E$501,MATCH(B228,'FUNCIONÁRIOS'!$C$4:$C$501,0)),""))</f>
        <v>NÃO</v>
      </c>
      <c r="F228" s="138">
        <v>46165.0</v>
      </c>
      <c r="G228" s="115" t="str">
        <f t="shared" si="20"/>
        <v>✅ 08:20</v>
      </c>
      <c r="H228" s="121">
        <v>0.3472222222222222</v>
      </c>
      <c r="I228" s="117" t="str">
        <f t="shared" si="21"/>
        <v>✅ 18:21</v>
      </c>
      <c r="J228" s="121">
        <v>0.7645833333333333</v>
      </c>
      <c r="K228" s="126">
        <f t="shared" si="22"/>
        <v>0.4173611111</v>
      </c>
      <c r="L228" s="127" t="str">
        <f t="shared" si="23"/>
        <v>✅ Finalizado</v>
      </c>
      <c r="M228" s="110"/>
      <c r="N228" s="110"/>
    </row>
    <row r="229" ht="21.75" customHeight="1">
      <c r="A229" s="111">
        <f>223</f>
        <v>223</v>
      </c>
      <c r="B229" s="112" t="s">
        <v>254</v>
      </c>
      <c r="C229" s="144" t="str">
        <f t="array" ref="C229">IF(B229="","",IFERROR(INDEX('FUNCIONÁRIOS'!$B$4:$B$501,MATCH(B229,'FUNCIONÁRIOS'!$C$4:$C$501,0)),""))</f>
        <v>GO TO </v>
      </c>
      <c r="D229" s="144" t="str">
        <f t="array" ref="D229">IF(B229="","",IFERROR(INDEX('FUNCIONÁRIOS'!$D$4:$D$501,MATCH(B229,'FUNCIONÁRIOS'!$C$4:$C$501,0)),""))</f>
        <v>DIRETOR </v>
      </c>
      <c r="E229" s="123" t="str">
        <f t="array" ref="E229">IF(B229="","",IFERROR(INDEX('FUNCIONÁRIOS'!$E$4:$E$501,MATCH(B229,'FUNCIONÁRIOS'!$C$4:$C$501,0)),""))</f>
        <v>NÃO</v>
      </c>
      <c r="F229" s="138">
        <v>46165.0</v>
      </c>
      <c r="G229" s="115" t="str">
        <f t="shared" si="20"/>
        <v>✅ 08:20</v>
      </c>
      <c r="H229" s="121">
        <v>0.3472222222222222</v>
      </c>
      <c r="I229" s="117" t="str">
        <f t="shared" si="21"/>
        <v>✅ 18:00</v>
      </c>
      <c r="J229" s="121">
        <v>0.75</v>
      </c>
      <c r="K229" s="126">
        <f t="shared" si="22"/>
        <v>0.4027777778</v>
      </c>
      <c r="L229" s="127" t="str">
        <f t="shared" si="23"/>
        <v>✅ Finalizado</v>
      </c>
      <c r="M229" s="110"/>
      <c r="N229" s="110"/>
    </row>
    <row r="230" ht="21.75" customHeight="1">
      <c r="A230" s="111">
        <f>224</f>
        <v>224</v>
      </c>
      <c r="B230" s="112" t="s">
        <v>425</v>
      </c>
      <c r="C230" s="143" t="str">
        <f t="array" ref="C230">IF(B230="","",IFERROR(INDEX('FUNCIONÁRIOS'!$B$4:$B$501,MATCH(B230,'FUNCIONÁRIOS'!$C$4:$C$501,0)),""))</f>
        <v>GO TO </v>
      </c>
      <c r="D230" s="143" t="str">
        <f t="array" ref="D230">IF(B230="","",IFERROR(INDEX('FUNCIONÁRIOS'!$D$4:$D$501,MATCH(B230,'FUNCIONÁRIOS'!$C$4:$C$501,0)),""))</f>
        <v>Montagem</v>
      </c>
      <c r="E230" s="113" t="str">
        <f t="array" ref="E230">IF(B230="","",IFERROR(INDEX('FUNCIONÁRIOS'!$E$4:$E$501,MATCH(B230,'FUNCIONÁRIOS'!$C$4:$C$501,0)),""))</f>
        <v>SIM</v>
      </c>
      <c r="F230" s="138">
        <v>46165.0</v>
      </c>
      <c r="G230" s="115" t="str">
        <f t="shared" si="20"/>
        <v>✅ 08:20</v>
      </c>
      <c r="H230" s="121">
        <v>0.3472222222222222</v>
      </c>
      <c r="I230" s="117" t="str">
        <f t="shared" si="21"/>
        <v>✅ 18:00</v>
      </c>
      <c r="J230" s="121">
        <v>0.75</v>
      </c>
      <c r="K230" s="126">
        <f t="shared" si="22"/>
        <v>0.4027777778</v>
      </c>
      <c r="L230" s="127" t="str">
        <f t="shared" si="23"/>
        <v>✅ Finalizado</v>
      </c>
      <c r="M230" s="110"/>
      <c r="N230" s="110"/>
    </row>
    <row r="231" ht="21.75" customHeight="1">
      <c r="A231" s="111">
        <f>225</f>
        <v>225</v>
      </c>
      <c r="B231" s="112" t="s">
        <v>200</v>
      </c>
      <c r="C231" s="144" t="str">
        <f t="array" ref="C231">IF(B231="","",IFERROR(INDEX('FUNCIONÁRIOS'!$B$4:$B$501,MATCH(B231,'FUNCIONÁRIOS'!$C$4:$C$501,0)),""))</f>
        <v>FLASH MED</v>
      </c>
      <c r="D231" s="144" t="str">
        <f t="array" ref="D231">IF(B231="","",IFERROR(INDEX('FUNCIONÁRIOS'!$D$4:$D$501,MATCH(B231,'FUNCIONÁRIOS'!$C$4:$C$501,0)),""))</f>
        <v>ENFERMAGEM </v>
      </c>
      <c r="E231" s="123" t="str">
        <f t="array" ref="E231">IF(B231="","",IFERROR(INDEX('FUNCIONÁRIOS'!$E$4:$E$501,MATCH(B231,'FUNCIONÁRIOS'!$C$4:$C$501,0)),""))</f>
        <v>NÃO</v>
      </c>
      <c r="F231" s="138">
        <v>46165.0</v>
      </c>
      <c r="G231" s="115" t="str">
        <f t="shared" si="20"/>
        <v>✅ 08:21</v>
      </c>
      <c r="H231" s="121">
        <v>0.34791666666666665</v>
      </c>
      <c r="I231" s="117" t="str">
        <f t="shared" si="21"/>
        <v>✅ 18:00</v>
      </c>
      <c r="J231" s="121">
        <v>0.75</v>
      </c>
      <c r="K231" s="126">
        <f t="shared" si="22"/>
        <v>0.4020833333</v>
      </c>
      <c r="L231" s="127" t="str">
        <f t="shared" si="23"/>
        <v>✅ Finalizado</v>
      </c>
      <c r="M231" s="110"/>
      <c r="N231" s="110"/>
    </row>
    <row r="232" ht="21.75" customHeight="1">
      <c r="A232" s="111">
        <f>226</f>
        <v>226</v>
      </c>
      <c r="B232" s="112" t="s">
        <v>187</v>
      </c>
      <c r="C232" s="143" t="str">
        <f t="array" ref="C232">IF(B232="","",IFERROR(INDEX('FUNCIONÁRIOS'!$B$4:$B$501,MATCH(B232,'FUNCIONÁRIOS'!$C$4:$C$501,0)),""))</f>
        <v>FLASH MED</v>
      </c>
      <c r="D232" s="143" t="str">
        <f t="array" ref="D232">IF(B232="","",IFERROR(INDEX('FUNCIONÁRIOS'!$D$4:$D$501,MATCH(B232,'FUNCIONÁRIOS'!$C$4:$C$501,0)),""))</f>
        <v>Socorrista </v>
      </c>
      <c r="E232" s="113" t="str">
        <f t="array" ref="E232">IF(B232="","",IFERROR(INDEX('FUNCIONÁRIOS'!$E$4:$E$501,MATCH(B232,'FUNCIONÁRIOS'!$C$4:$C$501,0)),""))</f>
        <v>NÃO</v>
      </c>
      <c r="F232" s="138">
        <v>46165.0</v>
      </c>
      <c r="G232" s="115" t="str">
        <f t="shared" si="20"/>
        <v>✅ 08:21</v>
      </c>
      <c r="H232" s="121">
        <v>0.34791666666666665</v>
      </c>
      <c r="I232" s="117" t="str">
        <f t="shared" si="21"/>
        <v>✅ 18:00</v>
      </c>
      <c r="J232" s="121">
        <v>0.75</v>
      </c>
      <c r="K232" s="126">
        <f t="shared" si="22"/>
        <v>0.4020833333</v>
      </c>
      <c r="L232" s="127" t="str">
        <f t="shared" si="23"/>
        <v>✅ Finalizado</v>
      </c>
      <c r="M232" s="110"/>
      <c r="N232" s="110"/>
    </row>
    <row r="233" ht="21.75" customHeight="1">
      <c r="A233" s="111">
        <f>227</f>
        <v>227</v>
      </c>
      <c r="B233" s="112" t="s">
        <v>140</v>
      </c>
      <c r="C233" s="144" t="str">
        <f t="array" ref="C233">IF(B233="","",IFERROR(INDEX('FUNCIONÁRIOS'!$B$4:$B$501,MATCH(B233,'FUNCIONÁRIOS'!$C$4:$C$501,0)),""))</f>
        <v>BIGODE </v>
      </c>
      <c r="D233" s="144" t="str">
        <f t="array" ref="D233">IF(B233="","",IFERROR(INDEX('FUNCIONÁRIOS'!$D$4:$D$501,MATCH(B233,'FUNCIONÁRIOS'!$C$4:$C$501,0)),""))</f>
        <v>CONTROLE DE ACESSO</v>
      </c>
      <c r="E233" s="123" t="str">
        <f t="array" ref="E233">IF(B233="","",IFERROR(INDEX('FUNCIONÁRIOS'!$E$4:$E$501,MATCH(B233,'FUNCIONÁRIOS'!$C$4:$C$501,0)),""))</f>
        <v>NÃO</v>
      </c>
      <c r="F233" s="138">
        <v>46165.0</v>
      </c>
      <c r="G233" s="115" t="str">
        <f t="shared" si="20"/>
        <v>✅ 08:21</v>
      </c>
      <c r="H233" s="121">
        <v>0.34791666666666665</v>
      </c>
      <c r="I233" s="117" t="str">
        <f t="shared" si="21"/>
        <v>✅ 18:21</v>
      </c>
      <c r="J233" s="121">
        <v>0.7645833333333333</v>
      </c>
      <c r="K233" s="126">
        <f t="shared" si="22"/>
        <v>0.4166666667</v>
      </c>
      <c r="L233" s="127" t="str">
        <f t="shared" si="23"/>
        <v>✅ Finalizado</v>
      </c>
      <c r="M233" s="110"/>
      <c r="N233" s="110"/>
    </row>
    <row r="234" ht="21.75" customHeight="1">
      <c r="A234" s="111">
        <f>228</f>
        <v>228</v>
      </c>
      <c r="B234" s="112" t="s">
        <v>246</v>
      </c>
      <c r="C234" s="143" t="str">
        <f t="array" ref="C234">IF(B234="","",IFERROR(INDEX('FUNCIONÁRIOS'!$B$4:$B$501,MATCH(B234,'FUNCIONÁRIOS'!$C$4:$C$501,0)),""))</f>
        <v>MONTE EVENTOS </v>
      </c>
      <c r="D234" s="143" t="str">
        <f t="array" ref="D234">IF(B234="","",IFERROR(INDEX('FUNCIONÁRIOS'!$D$4:$D$501,MATCH(B234,'FUNCIONÁRIOS'!$C$4:$C$501,0)),""))</f>
        <v>MONTADOR </v>
      </c>
      <c r="E234" s="113" t="str">
        <f t="array" ref="E234">IF(B234="","",IFERROR(INDEX('FUNCIONÁRIOS'!$E$4:$E$501,MATCH(B234,'FUNCIONÁRIOS'!$C$4:$C$501,0)),""))</f>
        <v>NÃO</v>
      </c>
      <c r="F234" s="138">
        <v>46165.0</v>
      </c>
      <c r="G234" s="115" t="str">
        <f t="shared" si="20"/>
        <v>✅ 08:21</v>
      </c>
      <c r="H234" s="121">
        <v>0.34791666666666665</v>
      </c>
      <c r="I234" s="117" t="str">
        <f t="shared" si="21"/>
        <v>✅ 18:00</v>
      </c>
      <c r="J234" s="121">
        <v>0.75</v>
      </c>
      <c r="K234" s="126">
        <f t="shared" si="22"/>
        <v>0.4020833333</v>
      </c>
      <c r="L234" s="127" t="str">
        <f t="shared" si="23"/>
        <v>✅ Finalizado</v>
      </c>
      <c r="M234" s="110"/>
      <c r="N234" s="110"/>
    </row>
    <row r="235" ht="21.75" customHeight="1">
      <c r="A235" s="111">
        <f>229</f>
        <v>229</v>
      </c>
      <c r="B235" s="112" t="s">
        <v>142</v>
      </c>
      <c r="C235" s="144" t="str">
        <f t="array" ref="C235">IF(B235="","",IFERROR(INDEX('FUNCIONÁRIOS'!$B$4:$B$501,MATCH(B235,'FUNCIONÁRIOS'!$C$4:$C$501,0)),""))</f>
        <v>BIGODE </v>
      </c>
      <c r="D235" s="144" t="str">
        <f t="array" ref="D235">IF(B235="","",IFERROR(INDEX('FUNCIONÁRIOS'!$D$4:$D$501,MATCH(B235,'FUNCIONÁRIOS'!$C$4:$C$501,0)),""))</f>
        <v>CONTROLE DE ACESSO</v>
      </c>
      <c r="E235" s="123" t="str">
        <f t="array" ref="E235">IF(B235="","",IFERROR(INDEX('FUNCIONÁRIOS'!$E$4:$E$501,MATCH(B235,'FUNCIONÁRIOS'!$C$4:$C$501,0)),""))</f>
        <v>NÃO</v>
      </c>
      <c r="F235" s="138">
        <v>46165.0</v>
      </c>
      <c r="G235" s="115" t="str">
        <f t="shared" si="20"/>
        <v>✅ 08:21</v>
      </c>
      <c r="H235" s="121">
        <v>0.34791666666666665</v>
      </c>
      <c r="I235" s="117" t="str">
        <f t="shared" si="21"/>
        <v>✅ 18:21</v>
      </c>
      <c r="J235" s="121">
        <v>0.7645833333333333</v>
      </c>
      <c r="K235" s="126">
        <f t="shared" si="22"/>
        <v>0.4166666667</v>
      </c>
      <c r="L235" s="127" t="str">
        <f t="shared" si="23"/>
        <v>✅ Finalizado</v>
      </c>
      <c r="M235" s="110"/>
      <c r="N235" s="110"/>
    </row>
    <row r="236" ht="21.75" customHeight="1">
      <c r="A236" s="111">
        <f>230</f>
        <v>230</v>
      </c>
      <c r="B236" s="112" t="s">
        <v>253</v>
      </c>
      <c r="C236" s="143" t="str">
        <f t="array" ref="C236">IF(B236="","",IFERROR(INDEX('FUNCIONÁRIOS'!$B$4:$B$501,MATCH(B236,'FUNCIONÁRIOS'!$C$4:$C$501,0)),""))</f>
        <v>BIGODE </v>
      </c>
      <c r="D236" s="143" t="str">
        <f t="array" ref="D236">IF(B236="","",IFERROR(INDEX('FUNCIONÁRIOS'!$D$4:$D$501,MATCH(B236,'FUNCIONÁRIOS'!$C$4:$C$501,0)),""))</f>
        <v>CONTROLE DE ACESSO</v>
      </c>
      <c r="E236" s="113" t="str">
        <f t="array" ref="E236">IF(B236="","",IFERROR(INDEX('FUNCIONÁRIOS'!$E$4:$E$501,MATCH(B236,'FUNCIONÁRIOS'!$C$4:$C$501,0)),""))</f>
        <v>NÃO</v>
      </c>
      <c r="F236" s="138">
        <v>46165.0</v>
      </c>
      <c r="G236" s="115" t="str">
        <f t="shared" si="20"/>
        <v>✅ 08:21</v>
      </c>
      <c r="H236" s="121">
        <v>0.34791666666666665</v>
      </c>
      <c r="I236" s="117" t="str">
        <f t="shared" si="21"/>
        <v>✅ 18:21</v>
      </c>
      <c r="J236" s="121">
        <v>0.7645833333333333</v>
      </c>
      <c r="K236" s="126">
        <f t="shared" si="22"/>
        <v>0.4166666667</v>
      </c>
      <c r="L236" s="127" t="str">
        <f t="shared" si="23"/>
        <v>✅ Finalizado</v>
      </c>
      <c r="M236" s="110"/>
      <c r="N236" s="110"/>
    </row>
    <row r="237" ht="21.75" customHeight="1">
      <c r="A237" s="111">
        <f>231</f>
        <v>231</v>
      </c>
      <c r="B237" s="112" t="s">
        <v>245</v>
      </c>
      <c r="C237" s="144" t="str">
        <f t="array" ref="C237">IF(B237="","",IFERROR(INDEX('FUNCIONÁRIOS'!$B$4:$B$501,MATCH(B237,'FUNCIONÁRIOS'!$C$4:$C$501,0)),""))</f>
        <v>MONTE EVENTOS </v>
      </c>
      <c r="D237" s="144" t="str">
        <f t="array" ref="D237">IF(B237="","",IFERROR(INDEX('FUNCIONÁRIOS'!$D$4:$D$501,MATCH(B237,'FUNCIONÁRIOS'!$C$4:$C$501,0)),""))</f>
        <v>MONTADOR </v>
      </c>
      <c r="E237" s="123" t="str">
        <f t="array" ref="E237">IF(B237="","",IFERROR(INDEX('FUNCIONÁRIOS'!$E$4:$E$501,MATCH(B237,'FUNCIONÁRIOS'!$C$4:$C$501,0)),""))</f>
        <v>NÃO</v>
      </c>
      <c r="F237" s="138">
        <v>46165.0</v>
      </c>
      <c r="G237" s="115" t="str">
        <f t="shared" si="20"/>
        <v>✅ 08:25</v>
      </c>
      <c r="H237" s="121">
        <v>0.3506944444444444</v>
      </c>
      <c r="I237" s="117" t="str">
        <f t="shared" si="21"/>
        <v>✅ 18:00</v>
      </c>
      <c r="J237" s="121">
        <v>0.75</v>
      </c>
      <c r="K237" s="126">
        <f t="shared" si="22"/>
        <v>0.3993055556</v>
      </c>
      <c r="L237" s="127" t="str">
        <f t="shared" si="23"/>
        <v>✅ Finalizado</v>
      </c>
      <c r="M237" s="110"/>
      <c r="N237" s="110"/>
    </row>
    <row r="238" ht="21.75" customHeight="1">
      <c r="A238" s="111">
        <f>232</f>
        <v>232</v>
      </c>
      <c r="B238" s="112" t="s">
        <v>310</v>
      </c>
      <c r="C238" s="143" t="str">
        <f t="array" ref="C238">IF(B238="","",IFERROR(INDEX('FUNCIONÁRIOS'!$B$4:$B$501,MATCH(B238,'FUNCIONÁRIOS'!$C$4:$C$501,0)),""))</f>
        <v>EL SHADDAI</v>
      </c>
      <c r="D238" s="143" t="str">
        <f t="array" ref="D238">IF(B238="","",IFERROR(INDEX('FUNCIONÁRIOS'!$D$4:$D$501,MATCH(B238,'FUNCIONÁRIOS'!$C$4:$C$501,0)),""))</f>
        <v>Montador</v>
      </c>
      <c r="E238" s="113" t="str">
        <f t="array" ref="E238">IF(B238="","",IFERROR(INDEX('FUNCIONÁRIOS'!$E$4:$E$501,MATCH(B238,'FUNCIONÁRIOS'!$C$4:$C$501,0)),""))</f>
        <v>NÃO</v>
      </c>
      <c r="F238" s="138">
        <v>46165.0</v>
      </c>
      <c r="G238" s="115" t="str">
        <f t="shared" si="20"/>
        <v>✅ 09:06</v>
      </c>
      <c r="H238" s="116" t="s">
        <v>1650</v>
      </c>
      <c r="I238" s="117" t="str">
        <f t="shared" si="21"/>
        <v>✅ 18:00</v>
      </c>
      <c r="J238" s="121">
        <v>0.75</v>
      </c>
      <c r="K238" s="139"/>
      <c r="L238" s="127" t="str">
        <f t="shared" si="23"/>
        <v>✅ Finalizado</v>
      </c>
      <c r="M238" s="110"/>
      <c r="N238" s="110"/>
    </row>
    <row r="239" ht="21.75" customHeight="1">
      <c r="A239" s="111">
        <f>233</f>
        <v>233</v>
      </c>
      <c r="B239" s="112" t="s">
        <v>143</v>
      </c>
      <c r="C239" s="144" t="str">
        <f t="array" ref="C239">IF(B239="","",IFERROR(INDEX('FUNCIONÁRIOS'!$B$4:$B$501,MATCH(B239,'FUNCIONÁRIOS'!$C$4:$C$501,0)),""))</f>
        <v/>
      </c>
      <c r="D239" s="144" t="str">
        <f t="array" ref="D239">IF(B239="","",IFERROR(INDEX('FUNCIONÁRIOS'!$D$4:$D$501,MATCH(B239,'FUNCIONÁRIOS'!$C$4:$C$501,0)),""))</f>
        <v>OPERADOR DE EMPILHADEIRA </v>
      </c>
      <c r="E239" s="123" t="str">
        <f t="array" ref="E239">IF(B239="","",IFERROR(INDEX('FUNCIONÁRIOS'!$E$4:$E$501,MATCH(B239,'FUNCIONÁRIOS'!$C$4:$C$501,0)),""))</f>
        <v>NÃO</v>
      </c>
      <c r="F239" s="138">
        <v>46165.0</v>
      </c>
      <c r="G239" s="115" t="str">
        <f t="shared" si="20"/>
        <v>✅ 08:25</v>
      </c>
      <c r="H239" s="121">
        <v>0.3506944444444444</v>
      </c>
      <c r="I239" s="117" t="str">
        <f t="shared" si="21"/>
        <v>✅ 18:09</v>
      </c>
      <c r="J239" s="121">
        <v>0.75625</v>
      </c>
      <c r="K239" s="126">
        <f t="shared" ref="K239:K316" si="24">IF(AND(H239&lt;&gt;"",J239&lt;&gt;""),J239-H239,"")</f>
        <v>0.4055555556</v>
      </c>
      <c r="L239" s="127" t="str">
        <f t="shared" si="23"/>
        <v>✅ Finalizado</v>
      </c>
      <c r="M239" s="110"/>
      <c r="N239" s="110"/>
    </row>
    <row r="240" ht="21.75" customHeight="1">
      <c r="A240" s="111">
        <f>234</f>
        <v>234</v>
      </c>
      <c r="B240" s="112" t="s">
        <v>312</v>
      </c>
      <c r="C240" s="143" t="str">
        <f t="array" ref="C240">IF(B240="","",IFERROR(INDEX('FUNCIONÁRIOS'!$B$4:$B$501,MATCH(B240,'FUNCIONÁRIOS'!$C$4:$C$501,0)),""))</f>
        <v>EL SHADDAI</v>
      </c>
      <c r="D240" s="143" t="str">
        <f t="array" ref="D240">IF(B240="","",IFERROR(INDEX('FUNCIONÁRIOS'!$D$4:$D$501,MATCH(B240,'FUNCIONÁRIOS'!$C$4:$C$501,0)),""))</f>
        <v>Montador</v>
      </c>
      <c r="E240" s="113" t="str">
        <f t="array" ref="E240">IF(B240="","",IFERROR(INDEX('FUNCIONÁRIOS'!$E$4:$E$501,MATCH(B240,'FUNCIONÁRIOS'!$C$4:$C$501,0)),""))</f>
        <v>NÃO</v>
      </c>
      <c r="F240" s="138">
        <v>46165.0</v>
      </c>
      <c r="G240" s="115" t="str">
        <f t="shared" si="20"/>
        <v>✅ 08:25</v>
      </c>
      <c r="H240" s="121">
        <v>0.3506944444444444</v>
      </c>
      <c r="I240" s="117" t="str">
        <f t="shared" si="21"/>
        <v>✅ 18:00</v>
      </c>
      <c r="J240" s="121">
        <v>0.75</v>
      </c>
      <c r="K240" s="126">
        <f t="shared" si="24"/>
        <v>0.3993055556</v>
      </c>
      <c r="L240" s="127" t="str">
        <f t="shared" si="23"/>
        <v>✅ Finalizado</v>
      </c>
      <c r="M240" s="110"/>
      <c r="N240" s="110"/>
    </row>
    <row r="241" ht="21.75" customHeight="1">
      <c r="A241" s="111">
        <f>235</f>
        <v>235</v>
      </c>
      <c r="B241" s="112" t="s">
        <v>129</v>
      </c>
      <c r="C241" s="144" t="str">
        <f t="array" ref="C241">IF(B241="","",IFERROR(INDEX('FUNCIONÁRIOS'!$B$4:$B$501,MATCH(B241,'FUNCIONÁRIOS'!$C$4:$C$501,0)),""))</f>
        <v>TJ SERVIÇOS</v>
      </c>
      <c r="D241" s="144" t="str">
        <f t="array" ref="D241">IF(B241="","",IFERROR(INDEX('FUNCIONÁRIOS'!$D$4:$D$501,MATCH(B241,'FUNCIONÁRIOS'!$C$4:$C$501,0)),""))</f>
        <v>BRIGADISTA </v>
      </c>
      <c r="E241" s="123" t="str">
        <f t="array" ref="E241">IF(B241="","",IFERROR(INDEX('FUNCIONÁRIOS'!$E$4:$E$501,MATCH(B241,'FUNCIONÁRIOS'!$C$4:$C$501,0)),""))</f>
        <v>NÃO</v>
      </c>
      <c r="F241" s="138">
        <v>46165.0</v>
      </c>
      <c r="G241" s="115" t="str">
        <f t="shared" si="20"/>
        <v>✅ 08:25</v>
      </c>
      <c r="H241" s="121">
        <v>0.3506944444444444</v>
      </c>
      <c r="I241" s="117" t="str">
        <f t="shared" si="21"/>
        <v>✅ 19:04</v>
      </c>
      <c r="J241" s="121">
        <v>0.7944444444444444</v>
      </c>
      <c r="K241" s="126">
        <f t="shared" si="24"/>
        <v>0.44375</v>
      </c>
      <c r="L241" s="127" t="str">
        <f t="shared" si="23"/>
        <v>✅ Finalizado</v>
      </c>
      <c r="M241" s="110"/>
      <c r="N241" s="110"/>
    </row>
    <row r="242" ht="21.75" customHeight="1">
      <c r="A242" s="111">
        <f>236</f>
        <v>236</v>
      </c>
      <c r="B242" s="112" t="s">
        <v>176</v>
      </c>
      <c r="C242" s="143" t="str">
        <f t="array" ref="C242">IF(B242="","",IFERROR(INDEX('FUNCIONÁRIOS'!$B$4:$B$501,MATCH(B242,'FUNCIONÁRIOS'!$C$4:$C$501,0)),""))</f>
        <v>TJ SERVIÇOS</v>
      </c>
      <c r="D242" s="143" t="str">
        <f t="array" ref="D242">IF(B242="","",IFERROR(INDEX('FUNCIONÁRIOS'!$D$4:$D$501,MATCH(B242,'FUNCIONÁRIOS'!$C$4:$C$501,0)),""))</f>
        <v>BRIGADISTA</v>
      </c>
      <c r="E242" s="113" t="str">
        <f t="array" ref="E242">IF(B242="","",IFERROR(INDEX('FUNCIONÁRIOS'!$E$4:$E$501,MATCH(B242,'FUNCIONÁRIOS'!$C$4:$C$501,0)),""))</f>
        <v>NÃO</v>
      </c>
      <c r="F242" s="138">
        <v>46165.0</v>
      </c>
      <c r="G242" s="115" t="str">
        <f t="shared" si="20"/>
        <v>✅ 08:25</v>
      </c>
      <c r="H242" s="121">
        <v>0.3506944444444444</v>
      </c>
      <c r="I242" s="117" t="str">
        <f t="shared" si="21"/>
        <v>✅ 19:04</v>
      </c>
      <c r="J242" s="121">
        <v>0.7944444444444444</v>
      </c>
      <c r="K242" s="126">
        <f t="shared" si="24"/>
        <v>0.44375</v>
      </c>
      <c r="L242" s="127" t="str">
        <f t="shared" si="23"/>
        <v>✅ Finalizado</v>
      </c>
      <c r="M242" s="110"/>
      <c r="N242" s="110"/>
    </row>
    <row r="243" ht="21.75" customHeight="1">
      <c r="A243" s="111">
        <f>237</f>
        <v>237</v>
      </c>
      <c r="B243" s="112" t="s">
        <v>138</v>
      </c>
      <c r="C243" s="144" t="str">
        <f t="array" ref="C243">IF(B243="","",IFERROR(INDEX('FUNCIONÁRIOS'!$B$4:$B$501,MATCH(B243,'FUNCIONÁRIOS'!$C$4:$C$501,0)),""))</f>
        <v>UP MUSIC </v>
      </c>
      <c r="D243" s="144" t="str">
        <f t="array" ref="D243">IF(B243="","",IFERROR(INDEX('FUNCIONÁRIOS'!$D$4:$D$501,MATCH(B243,'FUNCIONÁRIOS'!$C$4:$C$501,0)),""))</f>
        <v>PRODUTOR </v>
      </c>
      <c r="E243" s="123" t="str">
        <f t="array" ref="E243">IF(B243="","",IFERROR(INDEX('FUNCIONÁRIOS'!$E$4:$E$501,MATCH(B243,'FUNCIONÁRIOS'!$C$4:$C$501,0)),""))</f>
        <v>NÃO</v>
      </c>
      <c r="F243" s="138">
        <v>46165.0</v>
      </c>
      <c r="G243" s="115" t="str">
        <f t="shared" si="20"/>
        <v>✅ 08:25</v>
      </c>
      <c r="H243" s="121">
        <v>0.3506944444444444</v>
      </c>
      <c r="I243" s="117" t="str">
        <f t="shared" si="21"/>
        <v>✅ 18:00</v>
      </c>
      <c r="J243" s="121">
        <v>0.75</v>
      </c>
      <c r="K243" s="126">
        <f t="shared" si="24"/>
        <v>0.3993055556</v>
      </c>
      <c r="L243" s="127" t="str">
        <f t="shared" si="23"/>
        <v>✅ Finalizado</v>
      </c>
      <c r="M243" s="110"/>
      <c r="N243" s="110"/>
    </row>
    <row r="244" ht="21.75" customHeight="1">
      <c r="A244" s="111">
        <f>238</f>
        <v>238</v>
      </c>
      <c r="B244" s="112" t="s">
        <v>232</v>
      </c>
      <c r="C244" s="143" t="str">
        <f t="array" ref="C244">IF(B244="","",IFERROR(INDEX('FUNCIONÁRIOS'!$B$4:$B$501,MATCH(B244,'FUNCIONÁRIOS'!$C$4:$C$501,0)),""))</f>
        <v>UP MUSIC </v>
      </c>
      <c r="D244" s="143" t="str">
        <f t="array" ref="D244">IF(B244="","",IFERROR(INDEX('FUNCIONÁRIOS'!$D$4:$D$501,MATCH(B244,'FUNCIONÁRIOS'!$C$4:$C$501,0)),""))</f>
        <v>PRODUTOR GERAL </v>
      </c>
      <c r="E244" s="113" t="str">
        <f t="array" ref="E244">IF(B244="","",IFERROR(INDEX('FUNCIONÁRIOS'!$E$4:$E$501,MATCH(B244,'FUNCIONÁRIOS'!$C$4:$C$501,0)),""))</f>
        <v>SIM</v>
      </c>
      <c r="F244" s="138">
        <v>46165.0</v>
      </c>
      <c r="G244" s="115" t="str">
        <f t="shared" si="20"/>
        <v>✅ 08:38</v>
      </c>
      <c r="H244" s="121">
        <v>0.3597222222222222</v>
      </c>
      <c r="I244" s="117" t="str">
        <f t="shared" si="21"/>
        <v>✅ 17:22</v>
      </c>
      <c r="J244" s="121">
        <v>0.7236111111111111</v>
      </c>
      <c r="K244" s="126">
        <f t="shared" si="24"/>
        <v>0.3638888889</v>
      </c>
      <c r="L244" s="127" t="str">
        <f t="shared" si="23"/>
        <v>✅ Finalizado</v>
      </c>
      <c r="M244" s="110"/>
      <c r="N244" s="110"/>
    </row>
    <row r="245" ht="21.75" customHeight="1">
      <c r="A245" s="111">
        <f>239</f>
        <v>239</v>
      </c>
      <c r="B245" s="112" t="s">
        <v>220</v>
      </c>
      <c r="C245" s="144" t="str">
        <f t="array" ref="C245">IF(B245="","",IFERROR(INDEX('FUNCIONÁRIOS'!$B$4:$B$501,MATCH(B245,'FUNCIONÁRIOS'!$C$4:$C$501,0)),""))</f>
        <v>ELEMENT </v>
      </c>
      <c r="D245" s="144" t="str">
        <f t="array" ref="D245">IF(B245="","",IFERROR(INDEX('FUNCIONÁRIOS'!$D$4:$D$501,MATCH(B245,'FUNCIONÁRIOS'!$C$4:$C$501,0)),""))</f>
        <v>PRODUÇÃO </v>
      </c>
      <c r="E245" s="123" t="str">
        <f t="array" ref="E245">IF(B245="","",IFERROR(INDEX('FUNCIONÁRIOS'!$E$4:$E$501,MATCH(B245,'FUNCIONÁRIOS'!$C$4:$C$501,0)),""))</f>
        <v>NÃO</v>
      </c>
      <c r="F245" s="138">
        <v>46165.0</v>
      </c>
      <c r="G245" s="115" t="str">
        <f t="shared" si="20"/>
        <v>✅ 08:38</v>
      </c>
      <c r="H245" s="121">
        <v>0.3597222222222222</v>
      </c>
      <c r="I245" s="117" t="str">
        <f t="shared" si="21"/>
        <v>✅ 17:22</v>
      </c>
      <c r="J245" s="121">
        <v>0.7236111111111111</v>
      </c>
      <c r="K245" s="126">
        <f t="shared" si="24"/>
        <v>0.3638888889</v>
      </c>
      <c r="L245" s="127" t="str">
        <f t="shared" si="23"/>
        <v>✅ Finalizado</v>
      </c>
      <c r="M245" s="110"/>
      <c r="N245" s="110"/>
    </row>
    <row r="246" ht="21.75" customHeight="1">
      <c r="A246" s="111">
        <f>240</f>
        <v>240</v>
      </c>
      <c r="B246" s="112" t="s">
        <v>428</v>
      </c>
      <c r="C246" s="143" t="str">
        <f t="array" ref="C246">IF(B246="","",IFERROR(INDEX('FUNCIONÁRIOS'!$B$4:$B$501,MATCH(B246,'FUNCIONÁRIOS'!$C$4:$C$501,0)),""))</f>
        <v>SHOWNEWS</v>
      </c>
      <c r="D246" s="143" t="str">
        <f t="array" ref="D246">IF(B246="","",IFERROR(INDEX('FUNCIONÁRIOS'!$D$4:$D$501,MATCH(B246,'FUNCIONÁRIOS'!$C$4:$C$501,0)),""))</f>
        <v>Montador</v>
      </c>
      <c r="E246" s="113" t="str">
        <f t="array" ref="E246">IF(B246="","",IFERROR(INDEX('FUNCIONÁRIOS'!$E$4:$E$501,MATCH(B246,'FUNCIONÁRIOS'!$C$4:$C$501,0)),""))</f>
        <v>NÃO</v>
      </c>
      <c r="F246" s="138">
        <v>46165.0</v>
      </c>
      <c r="G246" s="115" t="str">
        <f t="shared" si="20"/>
        <v>✅ 08:38</v>
      </c>
      <c r="H246" s="121">
        <v>0.3597222222222222</v>
      </c>
      <c r="I246" s="117" t="str">
        <f t="shared" si="21"/>
        <v>✅ 16:43</v>
      </c>
      <c r="J246" s="121">
        <v>0.6965277777777777</v>
      </c>
      <c r="K246" s="126">
        <f t="shared" si="24"/>
        <v>0.3368055556</v>
      </c>
      <c r="L246" s="127" t="str">
        <f t="shared" si="23"/>
        <v>✅ Finalizado</v>
      </c>
      <c r="M246" s="110"/>
      <c r="N246" s="110"/>
    </row>
    <row r="247" ht="21.75" customHeight="1">
      <c r="A247" s="111">
        <f>241</f>
        <v>241</v>
      </c>
      <c r="B247" s="112" t="s">
        <v>136</v>
      </c>
      <c r="C247" s="144" t="str">
        <f t="array" ref="C247">IF(B247="","",IFERROR(INDEX('FUNCIONÁRIOS'!$B$4:$B$501,MATCH(B247,'FUNCIONÁRIOS'!$C$4:$C$501,0)),""))</f>
        <v>YES </v>
      </c>
      <c r="D247" s="144" t="str">
        <f t="array" ref="D247">IF(B247="","",IFERROR(INDEX('FUNCIONÁRIOS'!$D$4:$D$501,MATCH(B247,'FUNCIONÁRIOS'!$C$4:$C$501,0)),""))</f>
        <v>TEC SEGURANÇA</v>
      </c>
      <c r="E247" s="123" t="str">
        <f t="array" ref="E247">IF(B247="","",IFERROR(INDEX('FUNCIONÁRIOS'!$E$4:$E$501,MATCH(B247,'FUNCIONÁRIOS'!$C$4:$C$501,0)),""))</f>
        <v>NÃO</v>
      </c>
      <c r="F247" s="138">
        <v>46165.0</v>
      </c>
      <c r="G247" s="115" t="str">
        <f t="shared" si="20"/>
        <v>✅ 08:38</v>
      </c>
      <c r="H247" s="121">
        <v>0.3597222222222222</v>
      </c>
      <c r="I247" s="117" t="str">
        <f t="shared" si="21"/>
        <v>✅ 18:43</v>
      </c>
      <c r="J247" s="121">
        <v>0.7798611111111111</v>
      </c>
      <c r="K247" s="126">
        <f t="shared" si="24"/>
        <v>0.4201388889</v>
      </c>
      <c r="L247" s="127" t="str">
        <f t="shared" si="23"/>
        <v>✅ Finalizado</v>
      </c>
      <c r="M247" s="110"/>
      <c r="N247" s="110"/>
    </row>
    <row r="248" ht="21.75" customHeight="1">
      <c r="A248" s="111">
        <f>242</f>
        <v>242</v>
      </c>
      <c r="B248" s="112" t="s">
        <v>113</v>
      </c>
      <c r="C248" s="143" t="str">
        <f t="array" ref="C248">IF(B248="","",IFERROR(INDEX('FUNCIONÁRIOS'!$B$4:$B$501,MATCH(B248,'FUNCIONÁRIOS'!$C$4:$C$501,0)),""))</f>
        <v>MONTE EVENTOS </v>
      </c>
      <c r="D248" s="143" t="str">
        <f t="array" ref="D248">IF(B248="","",IFERROR(INDEX('FUNCIONÁRIOS'!$D$4:$D$501,MATCH(B248,'FUNCIONÁRIOS'!$C$4:$C$501,0)),""))</f>
        <v>COORDENADOR/CEO</v>
      </c>
      <c r="E248" s="113" t="str">
        <f t="array" ref="E248">IF(B248="","",IFERROR(INDEX('FUNCIONÁRIOS'!$E$4:$E$501,MATCH(B248,'FUNCIONÁRIOS'!$C$4:$C$501,0)),""))</f>
        <v>SIM</v>
      </c>
      <c r="F248" s="138">
        <v>46165.0</v>
      </c>
      <c r="G248" s="115" t="str">
        <f t="shared" si="20"/>
        <v>✅ 08:38</v>
      </c>
      <c r="H248" s="121">
        <v>0.3597222222222222</v>
      </c>
      <c r="I248" s="117" t="str">
        <f t="shared" si="21"/>
        <v>✅ 18:20</v>
      </c>
      <c r="J248" s="121">
        <v>0.7638888888888888</v>
      </c>
      <c r="K248" s="126">
        <f t="shared" si="24"/>
        <v>0.4041666667</v>
      </c>
      <c r="L248" s="127" t="str">
        <f t="shared" si="23"/>
        <v>✅ Finalizado</v>
      </c>
      <c r="M248" s="110"/>
      <c r="N248" s="110"/>
    </row>
    <row r="249" ht="21.75" customHeight="1">
      <c r="A249" s="111">
        <f>243</f>
        <v>243</v>
      </c>
      <c r="B249" s="112" t="s">
        <v>112</v>
      </c>
      <c r="C249" s="144" t="str">
        <f t="array" ref="C249">IF(B249="","",IFERROR(INDEX('FUNCIONÁRIOS'!$B$4:$B$501,MATCH(B249,'FUNCIONÁRIOS'!$C$4:$C$501,0)),""))</f>
        <v>MONTE EVENTOS </v>
      </c>
      <c r="D249" s="144" t="str">
        <f t="array" ref="D249">IF(B249="","",IFERROR(INDEX('FUNCIONÁRIOS'!$D$4:$D$501,MATCH(B249,'FUNCIONÁRIOS'!$C$4:$C$501,0)),""))</f>
        <v>MONTADOR</v>
      </c>
      <c r="E249" s="123" t="str">
        <f t="array" ref="E249">IF(B249="","",IFERROR(INDEX('FUNCIONÁRIOS'!$E$4:$E$501,MATCH(B249,'FUNCIONÁRIOS'!$C$4:$C$501,0)),""))</f>
        <v>NÃO</v>
      </c>
      <c r="F249" s="138">
        <v>46165.0</v>
      </c>
      <c r="G249" s="115" t="str">
        <f t="shared" si="20"/>
        <v>✅ 08:38</v>
      </c>
      <c r="H249" s="121">
        <v>0.3597222222222222</v>
      </c>
      <c r="I249" s="117" t="str">
        <f t="shared" si="21"/>
        <v>✅ 18:21</v>
      </c>
      <c r="J249" s="121">
        <v>0.7645833333333333</v>
      </c>
      <c r="K249" s="126">
        <f t="shared" si="24"/>
        <v>0.4048611111</v>
      </c>
      <c r="L249" s="127" t="str">
        <f t="shared" si="23"/>
        <v>✅ Finalizado</v>
      </c>
      <c r="M249" s="110"/>
      <c r="N249" s="110"/>
    </row>
    <row r="250" ht="21.75" customHeight="1">
      <c r="A250" s="111">
        <f>244</f>
        <v>244</v>
      </c>
      <c r="B250" s="152"/>
      <c r="C250" s="143" t="str">
        <f t="array" ref="C250">IF(B250="","",IFERROR(INDEX('FUNCIONÁRIOS'!$B$4:$B$501,MATCH(B250,'FUNCIONÁRIOS'!$C$4:$C$501,0)),""))</f>
        <v/>
      </c>
      <c r="D250" s="143" t="str">
        <f t="array" ref="D250">IF(B250="","",IFERROR(INDEX('FUNCIONÁRIOS'!$D$4:$D$501,MATCH(B250,'FUNCIONÁRIOS'!$C$4:$C$501,0)),""))</f>
        <v/>
      </c>
      <c r="E250" s="113" t="str">
        <f t="array" ref="E250">IF(B250="","",IFERROR(INDEX('FUNCIONÁRIOS'!$E$4:$E$501,MATCH(B250,'FUNCIONÁRIOS'!$C$4:$C$501,0)),""))</f>
        <v/>
      </c>
      <c r="F250" s="138">
        <v>46165.0</v>
      </c>
      <c r="G250" s="115" t="str">
        <f t="shared" si="20"/>
        <v>✅ 08:38</v>
      </c>
      <c r="H250" s="121">
        <v>0.3597222222222222</v>
      </c>
      <c r="I250" s="117" t="str">
        <f t="shared" si="21"/>
        <v>✅ 18:00</v>
      </c>
      <c r="J250" s="121">
        <v>0.75</v>
      </c>
      <c r="K250" s="126">
        <f t="shared" si="24"/>
        <v>0.3902777778</v>
      </c>
      <c r="L250" s="127" t="str">
        <f t="shared" si="23"/>
        <v>✅ Finalizado</v>
      </c>
      <c r="M250" s="110"/>
      <c r="N250" s="110"/>
    </row>
    <row r="251" ht="21.75" customHeight="1">
      <c r="A251" s="111">
        <f>245</f>
        <v>245</v>
      </c>
      <c r="B251" s="112" t="s">
        <v>111</v>
      </c>
      <c r="C251" s="144" t="str">
        <f t="array" ref="C251">IF(B251="","",IFERROR(INDEX('FUNCIONÁRIOS'!$B$4:$B$501,MATCH(B251,'FUNCIONÁRIOS'!$C$4:$C$501,0)),""))</f>
        <v>MONTE EVENTOS </v>
      </c>
      <c r="D251" s="144" t="str">
        <f t="array" ref="D251">IF(B251="","",IFERROR(INDEX('FUNCIONÁRIOS'!$D$4:$D$501,MATCH(B251,'FUNCIONÁRIOS'!$C$4:$C$501,0)),""))</f>
        <v>MONTADOR</v>
      </c>
      <c r="E251" s="123" t="str">
        <f t="array" ref="E251">IF(B251="","",IFERROR(INDEX('FUNCIONÁRIOS'!$E$4:$E$501,MATCH(B251,'FUNCIONÁRIOS'!$C$4:$C$501,0)),""))</f>
        <v>NÃO</v>
      </c>
      <c r="F251" s="138">
        <v>46165.0</v>
      </c>
      <c r="G251" s="115" t="str">
        <f t="shared" si="20"/>
        <v>✅ 08:38</v>
      </c>
      <c r="H251" s="121">
        <v>0.3597222222222222</v>
      </c>
      <c r="I251" s="117" t="str">
        <f t="shared" si="21"/>
        <v>✅ 18:21</v>
      </c>
      <c r="J251" s="121">
        <v>0.7645833333333333</v>
      </c>
      <c r="K251" s="126">
        <f t="shared" si="24"/>
        <v>0.4048611111</v>
      </c>
      <c r="L251" s="127" t="str">
        <f t="shared" si="23"/>
        <v>✅ Finalizado</v>
      </c>
      <c r="M251" s="110"/>
      <c r="N251" s="110"/>
    </row>
    <row r="252" ht="21.75" customHeight="1">
      <c r="A252" s="111">
        <f>246</f>
        <v>246</v>
      </c>
      <c r="B252" s="112" t="s">
        <v>430</v>
      </c>
      <c r="C252" s="143" t="str">
        <f t="array" ref="C252">IF(B252="","",IFERROR(INDEX('FUNCIONÁRIOS'!$B$4:$B$501,MATCH(B252,'FUNCIONÁRIOS'!$C$4:$C$501,0)),""))</f>
        <v>SHOWNEWS</v>
      </c>
      <c r="D252" s="143" t="str">
        <f t="array" ref="D252">IF(B252="","",IFERROR(INDEX('FUNCIONÁRIOS'!$D$4:$D$501,MATCH(B252,'FUNCIONÁRIOS'!$C$4:$C$501,0)),""))</f>
        <v>Montador</v>
      </c>
      <c r="E252" s="113" t="str">
        <f t="array" ref="E252">IF(B252="","",IFERROR(INDEX('FUNCIONÁRIOS'!$E$4:$E$501,MATCH(B252,'FUNCIONÁRIOS'!$C$4:$C$501,0)),""))</f>
        <v>NÃO</v>
      </c>
      <c r="F252" s="138">
        <v>46165.0</v>
      </c>
      <c r="G252" s="115" t="str">
        <f t="shared" si="20"/>
        <v>✅ 08:38</v>
      </c>
      <c r="H252" s="121">
        <v>0.3597222222222222</v>
      </c>
      <c r="I252" s="117" t="str">
        <f t="shared" si="21"/>
        <v>✅ 16:43</v>
      </c>
      <c r="J252" s="121">
        <v>0.6965277777777777</v>
      </c>
      <c r="K252" s="126">
        <f t="shared" si="24"/>
        <v>0.3368055556</v>
      </c>
      <c r="L252" s="127" t="str">
        <f t="shared" si="23"/>
        <v>✅ Finalizado</v>
      </c>
      <c r="M252" s="110"/>
      <c r="N252" s="110"/>
    </row>
    <row r="253" ht="21.75" customHeight="1">
      <c r="A253" s="111">
        <f>247</f>
        <v>247</v>
      </c>
      <c r="B253" s="112" t="s">
        <v>432</v>
      </c>
      <c r="C253" s="144" t="str">
        <f t="array" ref="C253">IF(B253="","",IFERROR(INDEX('FUNCIONÁRIOS'!$B$4:$B$501,MATCH(B253,'FUNCIONÁRIOS'!$C$4:$C$501,0)),""))</f>
        <v>SHOWNEWS</v>
      </c>
      <c r="D253" s="144" t="str">
        <f t="array" ref="D253">IF(B253="","",IFERROR(INDEX('FUNCIONÁRIOS'!$D$4:$D$501,MATCH(B253,'FUNCIONÁRIOS'!$C$4:$C$501,0)),""))</f>
        <v>Montador</v>
      </c>
      <c r="E253" s="123" t="str">
        <f t="array" ref="E253">IF(B253="","",IFERROR(INDEX('FUNCIONÁRIOS'!$E$4:$E$501,MATCH(B253,'FUNCIONÁRIOS'!$C$4:$C$501,0)),""))</f>
        <v>NÃO</v>
      </c>
      <c r="F253" s="138">
        <v>46165.0</v>
      </c>
      <c r="G253" s="115" t="str">
        <f t="shared" si="20"/>
        <v>✅ 08:38</v>
      </c>
      <c r="H253" s="121">
        <v>0.3597222222222222</v>
      </c>
      <c r="I253" s="117" t="str">
        <f t="shared" si="21"/>
        <v>✅ 16:43</v>
      </c>
      <c r="J253" s="121">
        <v>0.6965277777777777</v>
      </c>
      <c r="K253" s="126">
        <f t="shared" si="24"/>
        <v>0.3368055556</v>
      </c>
      <c r="L253" s="127" t="str">
        <f t="shared" si="23"/>
        <v>✅ Finalizado</v>
      </c>
      <c r="M253" s="110"/>
      <c r="N253" s="110"/>
    </row>
    <row r="254" ht="21.75" customHeight="1">
      <c r="A254" s="111">
        <f>248</f>
        <v>248</v>
      </c>
      <c r="B254" s="112" t="s">
        <v>434</v>
      </c>
      <c r="C254" s="143" t="str">
        <f t="array" ref="C254">IF(B254="","",IFERROR(INDEX('FUNCIONÁRIOS'!$B$4:$B$501,MATCH(B254,'FUNCIONÁRIOS'!$C$4:$C$501,0)),""))</f>
        <v>SHOWNEWS</v>
      </c>
      <c r="D254" s="143" t="str">
        <f t="array" ref="D254">IF(B254="","",IFERROR(INDEX('FUNCIONÁRIOS'!$D$4:$D$501,MATCH(B254,'FUNCIONÁRIOS'!$C$4:$C$501,0)),""))</f>
        <v>Montador</v>
      </c>
      <c r="E254" s="113" t="str">
        <f t="array" ref="E254">IF(B254="","",IFERROR(INDEX('FUNCIONÁRIOS'!$E$4:$E$501,MATCH(B254,'FUNCIONÁRIOS'!$C$4:$C$501,0)),""))</f>
        <v>NÃO</v>
      </c>
      <c r="F254" s="138">
        <v>46165.0</v>
      </c>
      <c r="G254" s="115" t="str">
        <f t="shared" si="20"/>
        <v>✅ 08:38</v>
      </c>
      <c r="H254" s="121">
        <v>0.3597222222222222</v>
      </c>
      <c r="I254" s="117" t="str">
        <f t="shared" si="21"/>
        <v>✅ 18:00</v>
      </c>
      <c r="J254" s="121">
        <v>0.75</v>
      </c>
      <c r="K254" s="126">
        <f t="shared" si="24"/>
        <v>0.3902777778</v>
      </c>
      <c r="L254" s="127" t="str">
        <f t="shared" si="23"/>
        <v>✅ Finalizado</v>
      </c>
      <c r="M254" s="110"/>
      <c r="N254" s="110"/>
    </row>
    <row r="255" ht="21.75" customHeight="1">
      <c r="A255" s="111">
        <f>249</f>
        <v>249</v>
      </c>
      <c r="B255" s="112" t="s">
        <v>436</v>
      </c>
      <c r="C255" s="144" t="str">
        <f t="array" ref="C255">IF(B255="","",IFERROR(INDEX('FUNCIONÁRIOS'!$B$4:$B$501,MATCH(B255,'FUNCIONÁRIOS'!$C$4:$C$501,0)),""))</f>
        <v>SHOWNEWS</v>
      </c>
      <c r="D255" s="144" t="str">
        <f t="array" ref="D255">IF(B255="","",IFERROR(INDEX('FUNCIONÁRIOS'!$D$4:$D$501,MATCH(B255,'FUNCIONÁRIOS'!$C$4:$C$501,0)),""))</f>
        <v>Montador</v>
      </c>
      <c r="E255" s="123" t="str">
        <f t="array" ref="E255">IF(B255="","",IFERROR(INDEX('FUNCIONÁRIOS'!$E$4:$E$501,MATCH(B255,'FUNCIONÁRIOS'!$C$4:$C$501,0)),""))</f>
        <v>NÃO</v>
      </c>
      <c r="F255" s="138">
        <v>46165.0</v>
      </c>
      <c r="G255" s="115" t="str">
        <f t="shared" si="20"/>
        <v>✅ 08:38</v>
      </c>
      <c r="H255" s="121">
        <v>0.3597222222222222</v>
      </c>
      <c r="I255" s="117" t="str">
        <f t="shared" si="21"/>
        <v>✅ 18:00</v>
      </c>
      <c r="J255" s="121">
        <v>0.75</v>
      </c>
      <c r="K255" s="126">
        <f t="shared" si="24"/>
        <v>0.3902777778</v>
      </c>
      <c r="L255" s="127" t="str">
        <f t="shared" si="23"/>
        <v>✅ Finalizado</v>
      </c>
      <c r="M255" s="110"/>
      <c r="N255" s="110"/>
    </row>
    <row r="256" ht="21.75" customHeight="1">
      <c r="A256" s="111">
        <f>250</f>
        <v>250</v>
      </c>
      <c r="B256" s="112" t="s">
        <v>438</v>
      </c>
      <c r="C256" s="143" t="str">
        <f t="array" ref="C256">IF(B256="","",IFERROR(INDEX('FUNCIONÁRIOS'!$B$4:$B$501,MATCH(B256,'FUNCIONÁRIOS'!$C$4:$C$501,0)),""))</f>
        <v>SHOWNEWS</v>
      </c>
      <c r="D256" s="143" t="str">
        <f t="array" ref="D256">IF(B256="","",IFERROR(INDEX('FUNCIONÁRIOS'!$D$4:$D$501,MATCH(B256,'FUNCIONÁRIOS'!$C$4:$C$501,0)),""))</f>
        <v>Montador</v>
      </c>
      <c r="E256" s="113" t="str">
        <f t="array" ref="E256">IF(B256="","",IFERROR(INDEX('FUNCIONÁRIOS'!$E$4:$E$501,MATCH(B256,'FUNCIONÁRIOS'!$C$4:$C$501,0)),""))</f>
        <v>NÃO</v>
      </c>
      <c r="F256" s="138">
        <v>46165.0</v>
      </c>
      <c r="G256" s="115" t="str">
        <f t="shared" si="20"/>
        <v>✅ 08:43</v>
      </c>
      <c r="H256" s="121">
        <v>0.36319444444444443</v>
      </c>
      <c r="I256" s="117" t="str">
        <f t="shared" si="21"/>
        <v>✅ 16:43</v>
      </c>
      <c r="J256" s="121">
        <v>0.6965277777777777</v>
      </c>
      <c r="K256" s="126">
        <f t="shared" si="24"/>
        <v>0.3333333333</v>
      </c>
      <c r="L256" s="127" t="str">
        <f t="shared" si="23"/>
        <v>✅ Finalizado</v>
      </c>
      <c r="M256" s="110"/>
      <c r="N256" s="110"/>
    </row>
    <row r="257" ht="21.75" customHeight="1">
      <c r="A257" s="111">
        <f>251</f>
        <v>251</v>
      </c>
      <c r="B257" s="112" t="s">
        <v>440</v>
      </c>
      <c r="C257" s="144" t="str">
        <f t="array" ref="C257">IF(B257="","",IFERROR(INDEX('FUNCIONÁRIOS'!$B$4:$B$501,MATCH(B257,'FUNCIONÁRIOS'!$C$4:$C$501,0)),""))</f>
        <v>SHOWNEWS</v>
      </c>
      <c r="D257" s="144" t="str">
        <f t="array" ref="D257">IF(B257="","",IFERROR(INDEX('FUNCIONÁRIOS'!$D$4:$D$501,MATCH(B257,'FUNCIONÁRIOS'!$C$4:$C$501,0)),""))</f>
        <v>Montador</v>
      </c>
      <c r="E257" s="123" t="str">
        <f t="array" ref="E257">IF(B257="","",IFERROR(INDEX('FUNCIONÁRIOS'!$E$4:$E$501,MATCH(B257,'FUNCIONÁRIOS'!$C$4:$C$501,0)),""))</f>
        <v>NÃO</v>
      </c>
      <c r="F257" s="138">
        <v>46165.0</v>
      </c>
      <c r="G257" s="115" t="str">
        <f t="shared" si="20"/>
        <v>✅ 08:43</v>
      </c>
      <c r="H257" s="121">
        <v>0.36319444444444443</v>
      </c>
      <c r="I257" s="117" t="str">
        <f t="shared" si="21"/>
        <v>✅ 16:43</v>
      </c>
      <c r="J257" s="121">
        <v>0.6965277777777777</v>
      </c>
      <c r="K257" s="126">
        <f t="shared" si="24"/>
        <v>0.3333333333</v>
      </c>
      <c r="L257" s="127" t="str">
        <f t="shared" si="23"/>
        <v>✅ Finalizado</v>
      </c>
      <c r="M257" s="110"/>
      <c r="N257" s="110"/>
    </row>
    <row r="258" ht="21.75" customHeight="1">
      <c r="A258" s="111">
        <f>252</f>
        <v>252</v>
      </c>
      <c r="B258" s="112" t="s">
        <v>442</v>
      </c>
      <c r="C258" s="143" t="str">
        <f t="array" ref="C258">IF(B258="","",IFERROR(INDEX('FUNCIONÁRIOS'!$B$4:$B$501,MATCH(B258,'FUNCIONÁRIOS'!$C$4:$C$501,0)),""))</f>
        <v>SHOWNEWS</v>
      </c>
      <c r="D258" s="143" t="str">
        <f t="array" ref="D258">IF(B258="","",IFERROR(INDEX('FUNCIONÁRIOS'!$D$4:$D$501,MATCH(B258,'FUNCIONÁRIOS'!$C$4:$C$501,0)),""))</f>
        <v>Montador</v>
      </c>
      <c r="E258" s="113" t="str">
        <f t="array" ref="E258">IF(B258="","",IFERROR(INDEX('FUNCIONÁRIOS'!$E$4:$E$501,MATCH(B258,'FUNCIONÁRIOS'!$C$4:$C$501,0)),""))</f>
        <v>NÃO</v>
      </c>
      <c r="F258" s="138">
        <v>46165.0</v>
      </c>
      <c r="G258" s="115" t="str">
        <f t="shared" si="20"/>
        <v>✅ 08:43</v>
      </c>
      <c r="H258" s="121">
        <v>0.36319444444444443</v>
      </c>
      <c r="I258" s="117" t="str">
        <f t="shared" si="21"/>
        <v>✅ 16:43</v>
      </c>
      <c r="J258" s="121">
        <v>0.6965277777777777</v>
      </c>
      <c r="K258" s="126">
        <f t="shared" si="24"/>
        <v>0.3333333333</v>
      </c>
      <c r="L258" s="127" t="str">
        <f t="shared" si="23"/>
        <v>✅ Finalizado</v>
      </c>
      <c r="M258" s="110"/>
      <c r="N258" s="110"/>
    </row>
    <row r="259" ht="21.75" customHeight="1">
      <c r="A259" s="111">
        <f>253</f>
        <v>253</v>
      </c>
      <c r="B259" s="112" t="s">
        <v>444</v>
      </c>
      <c r="C259" s="144" t="str">
        <f t="array" ref="C259">IF(B259="","",IFERROR(INDEX('FUNCIONÁRIOS'!$B$4:$B$501,MATCH(B259,'FUNCIONÁRIOS'!$C$4:$C$501,0)),""))</f>
        <v>SHOWNEWS</v>
      </c>
      <c r="D259" s="144" t="str">
        <f t="array" ref="D259">IF(B259="","",IFERROR(INDEX('FUNCIONÁRIOS'!$D$4:$D$501,MATCH(B259,'FUNCIONÁRIOS'!$C$4:$C$501,0)),""))</f>
        <v>Montador</v>
      </c>
      <c r="E259" s="123" t="str">
        <f t="array" ref="E259">IF(B259="","",IFERROR(INDEX('FUNCIONÁRIOS'!$E$4:$E$501,MATCH(B259,'FUNCIONÁRIOS'!$C$4:$C$501,0)),""))</f>
        <v>NÃO</v>
      </c>
      <c r="F259" s="138">
        <v>46165.0</v>
      </c>
      <c r="G259" s="115" t="str">
        <f t="shared" si="20"/>
        <v>✅ 08:43</v>
      </c>
      <c r="H259" s="121">
        <v>0.36319444444444443</v>
      </c>
      <c r="I259" s="117" t="str">
        <f t="shared" si="21"/>
        <v>✅ 16:43</v>
      </c>
      <c r="J259" s="121">
        <v>0.6965277777777777</v>
      </c>
      <c r="K259" s="126">
        <f t="shared" si="24"/>
        <v>0.3333333333</v>
      </c>
      <c r="L259" s="127" t="str">
        <f t="shared" si="23"/>
        <v>✅ Finalizado</v>
      </c>
      <c r="M259" s="110"/>
      <c r="N259" s="110"/>
    </row>
    <row r="260" ht="21.75" customHeight="1">
      <c r="A260" s="111">
        <f>254</f>
        <v>254</v>
      </c>
      <c r="B260" s="112" t="s">
        <v>446</v>
      </c>
      <c r="C260" s="143" t="str">
        <f t="array" ref="C260">IF(B260="","",IFERROR(INDEX('FUNCIONÁRIOS'!$B$4:$B$501,MATCH(B260,'FUNCIONÁRIOS'!$C$4:$C$501,0)),""))</f>
        <v>SHOWNEWS</v>
      </c>
      <c r="D260" s="143" t="str">
        <f t="array" ref="D260">IF(B260="","",IFERROR(INDEX('FUNCIONÁRIOS'!$D$4:$D$501,MATCH(B260,'FUNCIONÁRIOS'!$C$4:$C$501,0)),""))</f>
        <v>Montador</v>
      </c>
      <c r="E260" s="113" t="str">
        <f t="array" ref="E260">IF(B260="","",IFERROR(INDEX('FUNCIONÁRIOS'!$E$4:$E$501,MATCH(B260,'FUNCIONÁRIOS'!$C$4:$C$501,0)),""))</f>
        <v>NÃO</v>
      </c>
      <c r="F260" s="138">
        <v>46165.0</v>
      </c>
      <c r="G260" s="115" t="str">
        <f t="shared" si="20"/>
        <v>✅ 08:43</v>
      </c>
      <c r="H260" s="121">
        <v>0.36319444444444443</v>
      </c>
      <c r="I260" s="117" t="str">
        <f t="shared" si="21"/>
        <v>✅ 16:43</v>
      </c>
      <c r="J260" s="121">
        <v>0.6965277777777777</v>
      </c>
      <c r="K260" s="126">
        <f t="shared" si="24"/>
        <v>0.3333333333</v>
      </c>
      <c r="L260" s="127" t="str">
        <f t="shared" si="23"/>
        <v>✅ Finalizado</v>
      </c>
      <c r="M260" s="110"/>
      <c r="N260" s="110"/>
    </row>
    <row r="261" ht="21.75" customHeight="1">
      <c r="A261" s="111">
        <f>255</f>
        <v>255</v>
      </c>
      <c r="B261" s="112" t="s">
        <v>314</v>
      </c>
      <c r="C261" s="144" t="str">
        <f t="array" ref="C261">IF(B261="","",IFERROR(INDEX('FUNCIONÁRIOS'!$B$4:$B$501,MATCH(B261,'FUNCIONÁRIOS'!$C$4:$C$501,0)),""))</f>
        <v>EL SHADDAI</v>
      </c>
      <c r="D261" s="144" t="str">
        <f t="array" ref="D261">IF(B261="","",IFERROR(INDEX('FUNCIONÁRIOS'!$D$4:$D$501,MATCH(B261,'FUNCIONÁRIOS'!$C$4:$C$501,0)),""))</f>
        <v>motorista</v>
      </c>
      <c r="E261" s="123" t="str">
        <f t="array" ref="E261">IF(B261="","",IFERROR(INDEX('FUNCIONÁRIOS'!$E$4:$E$501,MATCH(B261,'FUNCIONÁRIOS'!$C$4:$C$501,0)),""))</f>
        <v>NÃO</v>
      </c>
      <c r="F261" s="138">
        <v>46165.0</v>
      </c>
      <c r="G261" s="115" t="str">
        <f t="shared" si="20"/>
        <v>✅ 08:43</v>
      </c>
      <c r="H261" s="121">
        <v>0.36319444444444443</v>
      </c>
      <c r="I261" s="117" t="str">
        <f t="shared" si="21"/>
        <v>✅ 18:00</v>
      </c>
      <c r="J261" s="121">
        <v>0.75</v>
      </c>
      <c r="K261" s="126">
        <f t="shared" si="24"/>
        <v>0.3868055556</v>
      </c>
      <c r="L261" s="127" t="str">
        <f t="shared" si="23"/>
        <v>✅ Finalizado</v>
      </c>
      <c r="M261" s="110"/>
      <c r="N261" s="110"/>
    </row>
    <row r="262" ht="21.75" customHeight="1">
      <c r="A262" s="111">
        <f>256</f>
        <v>256</v>
      </c>
      <c r="B262" s="112" t="s">
        <v>224</v>
      </c>
      <c r="C262" s="143" t="str">
        <f t="array" ref="C262">IF(B262="","",IFERROR(INDEX('FUNCIONÁRIOS'!$B$4:$B$501,MATCH(B262,'FUNCIONÁRIOS'!$C$4:$C$501,0)),""))</f>
        <v/>
      </c>
      <c r="D262" s="143" t="str">
        <f t="array" ref="D262">IF(B262="","",IFERROR(INDEX('FUNCIONÁRIOS'!$D$4:$D$501,MATCH(B262,'FUNCIONÁRIOS'!$C$4:$C$501,0)),""))</f>
        <v>PRODUTOR </v>
      </c>
      <c r="E262" s="113" t="str">
        <f t="array" ref="E262">IF(B262="","",IFERROR(INDEX('FUNCIONÁRIOS'!$E$4:$E$501,MATCH(B262,'FUNCIONÁRIOS'!$C$4:$C$501,0)),""))</f>
        <v/>
      </c>
      <c r="F262" s="138">
        <v>46165.0</v>
      </c>
      <c r="G262" s="115" t="str">
        <f t="shared" si="20"/>
        <v>✅ 08:43</v>
      </c>
      <c r="H262" s="121">
        <v>0.36319444444444443</v>
      </c>
      <c r="I262" s="117" t="str">
        <f t="shared" si="21"/>
        <v>✅ 18:00</v>
      </c>
      <c r="J262" s="121">
        <v>0.75</v>
      </c>
      <c r="K262" s="126">
        <f t="shared" si="24"/>
        <v>0.3868055556</v>
      </c>
      <c r="L262" s="127" t="str">
        <f t="shared" si="23"/>
        <v>✅ Finalizado</v>
      </c>
      <c r="M262" s="110"/>
      <c r="N262" s="110"/>
    </row>
    <row r="263" ht="21.75" customHeight="1">
      <c r="A263" s="111">
        <f>257</f>
        <v>257</v>
      </c>
      <c r="B263" s="112" t="s">
        <v>122</v>
      </c>
      <c r="C263" s="144" t="str">
        <f t="array" ref="C263">IF(B263="","",IFERROR(INDEX('FUNCIONÁRIOS'!$B$4:$B$501,MATCH(B263,'FUNCIONÁRIOS'!$C$4:$C$501,0)),""))</f>
        <v>MONTE EVENTOS </v>
      </c>
      <c r="D263" s="144" t="str">
        <f t="array" ref="D263">IF(B263="","",IFERROR(INDEX('FUNCIONÁRIOS'!$D$4:$D$501,MATCH(B263,'FUNCIONÁRIOS'!$C$4:$C$501,0)),""))</f>
        <v>MONTADOR</v>
      </c>
      <c r="E263" s="123" t="str">
        <f t="array" ref="E263">IF(B263="","",IFERROR(INDEX('FUNCIONÁRIOS'!$E$4:$E$501,MATCH(B263,'FUNCIONÁRIOS'!$C$4:$C$501,0)),""))</f>
        <v>NÃO</v>
      </c>
      <c r="F263" s="138">
        <v>46165.0</v>
      </c>
      <c r="G263" s="115" t="str">
        <f t="shared" si="20"/>
        <v>✅ 08:51</v>
      </c>
      <c r="H263" s="121">
        <v>0.36875</v>
      </c>
      <c r="I263" s="117" t="str">
        <f t="shared" si="21"/>
        <v>✅ 18:21</v>
      </c>
      <c r="J263" s="121">
        <v>0.7645833333333333</v>
      </c>
      <c r="K263" s="126">
        <f t="shared" si="24"/>
        <v>0.3958333333</v>
      </c>
      <c r="L263" s="127" t="str">
        <f t="shared" si="23"/>
        <v>✅ Finalizado</v>
      </c>
      <c r="M263" s="110"/>
      <c r="N263" s="110"/>
    </row>
    <row r="264" ht="21.75" customHeight="1">
      <c r="A264" s="111">
        <f>258</f>
        <v>258</v>
      </c>
      <c r="B264" s="112" t="s">
        <v>125</v>
      </c>
      <c r="C264" s="143" t="str">
        <f t="array" ref="C264">IF(B264="","",IFERROR(INDEX('FUNCIONÁRIOS'!$B$4:$B$501,MATCH(B264,'FUNCIONÁRIOS'!$C$4:$C$501,0)),""))</f>
        <v>MONTE EVENTOS </v>
      </c>
      <c r="D264" s="143" t="str">
        <f t="array" ref="D264">IF(B264="","",IFERROR(INDEX('FUNCIONÁRIOS'!$D$4:$D$501,MATCH(B264,'FUNCIONÁRIOS'!$C$4:$C$501,0)),""))</f>
        <v>MONTADOR</v>
      </c>
      <c r="E264" s="113" t="str">
        <f t="array" ref="E264">IF(B264="","",IFERROR(INDEX('FUNCIONÁRIOS'!$E$4:$E$501,MATCH(B264,'FUNCIONÁRIOS'!$C$4:$C$501,0)),""))</f>
        <v>NÃO</v>
      </c>
      <c r="F264" s="138">
        <v>46165.0</v>
      </c>
      <c r="G264" s="115" t="str">
        <f t="shared" si="20"/>
        <v>✅ 08:51</v>
      </c>
      <c r="H264" s="121">
        <v>0.36875</v>
      </c>
      <c r="I264" s="117" t="str">
        <f t="shared" si="21"/>
        <v>✅ 18:21</v>
      </c>
      <c r="J264" s="121">
        <v>0.7645833333333333</v>
      </c>
      <c r="K264" s="126">
        <f t="shared" si="24"/>
        <v>0.3958333333</v>
      </c>
      <c r="L264" s="127" t="str">
        <f t="shared" si="23"/>
        <v>✅ Finalizado</v>
      </c>
      <c r="M264" s="110"/>
      <c r="N264" s="110"/>
    </row>
    <row r="265" ht="21.75" customHeight="1">
      <c r="A265" s="111">
        <f>259</f>
        <v>259</v>
      </c>
      <c r="B265" s="112" t="s">
        <v>128</v>
      </c>
      <c r="C265" s="144" t="str">
        <f t="array" ref="C265">IF(B265="","",IFERROR(INDEX('FUNCIONÁRIOS'!$B$4:$B$501,MATCH(B265,'FUNCIONÁRIOS'!$C$4:$C$501,0)),""))</f>
        <v>MONTE EVENTOS </v>
      </c>
      <c r="D265" s="144" t="str">
        <f t="array" ref="D265">IF(B265="","",IFERROR(INDEX('FUNCIONÁRIOS'!$D$4:$D$501,MATCH(B265,'FUNCIONÁRIOS'!$C$4:$C$501,0)),""))</f>
        <v>MONTADOR</v>
      </c>
      <c r="E265" s="123" t="str">
        <f t="array" ref="E265">IF(B265="","",IFERROR(INDEX('FUNCIONÁRIOS'!$E$4:$E$501,MATCH(B265,'FUNCIONÁRIOS'!$C$4:$C$501,0)),""))</f>
        <v>NÃO</v>
      </c>
      <c r="F265" s="138">
        <v>46165.0</v>
      </c>
      <c r="G265" s="115" t="str">
        <f t="shared" si="20"/>
        <v>✅ 08:51</v>
      </c>
      <c r="H265" s="121">
        <v>0.36875</v>
      </c>
      <c r="I265" s="117" t="str">
        <f t="shared" si="21"/>
        <v>✅ 18:21</v>
      </c>
      <c r="J265" s="121">
        <v>0.7645833333333333</v>
      </c>
      <c r="K265" s="126">
        <f t="shared" si="24"/>
        <v>0.3958333333</v>
      </c>
      <c r="L265" s="127" t="str">
        <f t="shared" si="23"/>
        <v>✅ Finalizado</v>
      </c>
      <c r="M265" s="110"/>
      <c r="N265" s="110"/>
    </row>
    <row r="266" ht="21.75" customHeight="1">
      <c r="A266" s="111">
        <f>260</f>
        <v>260</v>
      </c>
      <c r="B266" s="112" t="s">
        <v>123</v>
      </c>
      <c r="C266" s="143" t="str">
        <f t="array" ref="C266">IF(B266="","",IFERROR(INDEX('FUNCIONÁRIOS'!$B$4:$B$501,MATCH(B266,'FUNCIONÁRIOS'!$C$4:$C$501,0)),""))</f>
        <v>MONTE EVENTOS </v>
      </c>
      <c r="D266" s="143" t="str">
        <f t="array" ref="D266">IF(B266="","",IFERROR(INDEX('FUNCIONÁRIOS'!$D$4:$D$501,MATCH(B266,'FUNCIONÁRIOS'!$C$4:$C$501,0)),""))</f>
        <v>MONTADOR</v>
      </c>
      <c r="E266" s="113" t="str">
        <f t="array" ref="E266">IF(B266="","",IFERROR(INDEX('FUNCIONÁRIOS'!$E$4:$E$501,MATCH(B266,'FUNCIONÁRIOS'!$C$4:$C$501,0)),""))</f>
        <v>NÃO</v>
      </c>
      <c r="F266" s="138">
        <v>46165.0</v>
      </c>
      <c r="G266" s="115" t="str">
        <f t="shared" si="20"/>
        <v>✅ 08:51</v>
      </c>
      <c r="H266" s="121">
        <v>0.36875</v>
      </c>
      <c r="I266" s="117" t="str">
        <f t="shared" si="21"/>
        <v>✅ 18:20</v>
      </c>
      <c r="J266" s="121">
        <v>0.7638888888888888</v>
      </c>
      <c r="K266" s="126">
        <f t="shared" si="24"/>
        <v>0.3951388889</v>
      </c>
      <c r="L266" s="127" t="str">
        <f t="shared" si="23"/>
        <v>✅ Finalizado</v>
      </c>
      <c r="M266" s="110"/>
      <c r="N266" s="110"/>
    </row>
    <row r="267" ht="21.75" customHeight="1">
      <c r="A267" s="111">
        <f>261</f>
        <v>261</v>
      </c>
      <c r="B267" s="112" t="s">
        <v>208</v>
      </c>
      <c r="C267" s="144" t="str">
        <f t="array" ref="C267">IF(B267="","",IFERROR(INDEX('FUNCIONÁRIOS'!$B$4:$B$501,MATCH(B267,'FUNCIONÁRIOS'!$C$4:$C$501,0)),""))</f>
        <v>FABINHO EVENTOS </v>
      </c>
      <c r="D267" s="144" t="str">
        <f t="array" ref="D267">IF(B267="","",IFERROR(INDEX('FUNCIONÁRIOS'!$D$4:$D$501,MATCH(B267,'FUNCIONÁRIOS'!$C$4:$C$501,0)),""))</f>
        <v>PRODUTORA </v>
      </c>
      <c r="E267" s="123" t="str">
        <f t="array" ref="E267">IF(B267="","",IFERROR(INDEX('FUNCIONÁRIOS'!$E$4:$E$501,MATCH(B267,'FUNCIONÁRIOS'!$C$4:$C$501,0)),""))</f>
        <v>NÃO</v>
      </c>
      <c r="F267" s="138">
        <v>46165.0</v>
      </c>
      <c r="G267" s="115" t="str">
        <f t="shared" si="20"/>
        <v>✅ 08:51</v>
      </c>
      <c r="H267" s="121">
        <v>0.36875</v>
      </c>
      <c r="I267" s="117" t="str">
        <f t="shared" si="21"/>
        <v>✅ 18:00</v>
      </c>
      <c r="J267" s="121">
        <v>0.75</v>
      </c>
      <c r="K267" s="126">
        <f t="shared" si="24"/>
        <v>0.38125</v>
      </c>
      <c r="L267" s="127" t="str">
        <f t="shared" si="23"/>
        <v>✅ Finalizado</v>
      </c>
      <c r="M267" s="110"/>
      <c r="N267" s="110"/>
    </row>
    <row r="268" ht="21.75" customHeight="1">
      <c r="A268" s="111">
        <f>262</f>
        <v>262</v>
      </c>
      <c r="B268" s="112" t="s">
        <v>330</v>
      </c>
      <c r="C268" s="143" t="str">
        <f t="array" ref="C268">IF(B268="","",IFERROR(INDEX('FUNCIONÁRIOS'!$B$4:$B$501,MATCH(B268,'FUNCIONÁRIOS'!$C$4:$C$501,0)),""))</f>
        <v>GO TO </v>
      </c>
      <c r="D268" s="143" t="str">
        <f t="array" ref="D268">IF(B268="","",IFERROR(INDEX('FUNCIONÁRIOS'!$D$4:$D$501,MATCH(B268,'FUNCIONÁRIOS'!$C$4:$C$501,0)),""))</f>
        <v>Montador</v>
      </c>
      <c r="E268" s="113" t="str">
        <f t="array" ref="E268">IF(B268="","",IFERROR(INDEX('FUNCIONÁRIOS'!$E$4:$E$501,MATCH(B268,'FUNCIONÁRIOS'!$C$4:$C$501,0)),""))</f>
        <v>NÃO</v>
      </c>
      <c r="F268" s="138">
        <v>46165.0</v>
      </c>
      <c r="G268" s="115" t="str">
        <f t="shared" si="20"/>
        <v>✅ 09:01</v>
      </c>
      <c r="H268" s="121">
        <v>0.37569444444444444</v>
      </c>
      <c r="I268" s="117" t="str">
        <f t="shared" si="21"/>
        <v>✅ 18:00</v>
      </c>
      <c r="J268" s="121">
        <v>0.75</v>
      </c>
      <c r="K268" s="126">
        <f t="shared" si="24"/>
        <v>0.3743055556</v>
      </c>
      <c r="L268" s="127" t="str">
        <f t="shared" si="23"/>
        <v>✅ Finalizado</v>
      </c>
      <c r="M268" s="110"/>
      <c r="N268" s="110"/>
    </row>
    <row r="269" ht="21.75" customHeight="1">
      <c r="A269" s="111">
        <f>263</f>
        <v>263</v>
      </c>
      <c r="B269" s="112" t="s">
        <v>323</v>
      </c>
      <c r="C269" s="144" t="str">
        <f t="array" ref="C269">IF(B269="","",IFERROR(INDEX('FUNCIONÁRIOS'!$B$4:$B$501,MATCH(B269,'FUNCIONÁRIOS'!$C$4:$C$501,0)),""))</f>
        <v>GO TO </v>
      </c>
      <c r="D269" s="144" t="str">
        <f t="array" ref="D269">IF(B269="","",IFERROR(INDEX('FUNCIONÁRIOS'!$D$4:$D$501,MATCH(B269,'FUNCIONÁRIOS'!$C$4:$C$501,0)),""))</f>
        <v>Montador</v>
      </c>
      <c r="E269" s="123" t="str">
        <f t="array" ref="E269">IF(B269="","",IFERROR(INDEX('FUNCIONÁRIOS'!$E$4:$E$501,MATCH(B269,'FUNCIONÁRIOS'!$C$4:$C$501,0)),""))</f>
        <v>NÃO</v>
      </c>
      <c r="F269" s="138">
        <v>46165.0</v>
      </c>
      <c r="G269" s="115" t="str">
        <f t="shared" si="20"/>
        <v>✅ 09:01</v>
      </c>
      <c r="H269" s="121">
        <v>0.37569444444444444</v>
      </c>
      <c r="I269" s="117" t="str">
        <f t="shared" si="21"/>
        <v>✅ 18:00</v>
      </c>
      <c r="J269" s="121">
        <v>0.75</v>
      </c>
      <c r="K269" s="126">
        <f t="shared" si="24"/>
        <v>0.3743055556</v>
      </c>
      <c r="L269" s="127" t="str">
        <f t="shared" si="23"/>
        <v>✅ Finalizado</v>
      </c>
      <c r="M269" s="110"/>
      <c r="N269" s="110"/>
    </row>
    <row r="270" ht="21.75" customHeight="1">
      <c r="A270" s="111">
        <f>264</f>
        <v>264</v>
      </c>
      <c r="B270" s="112" t="s">
        <v>325</v>
      </c>
      <c r="C270" s="143" t="str">
        <f t="array" ref="C270">IF(B270="","",IFERROR(INDEX('FUNCIONÁRIOS'!$B$4:$B$501,MATCH(B270,'FUNCIONÁRIOS'!$C$4:$C$501,0)),""))</f>
        <v>GO TO </v>
      </c>
      <c r="D270" s="143" t="str">
        <f t="array" ref="D270">IF(B270="","",IFERROR(INDEX('FUNCIONÁRIOS'!$D$4:$D$501,MATCH(B270,'FUNCIONÁRIOS'!$C$4:$C$501,0)),""))</f>
        <v>Montador</v>
      </c>
      <c r="E270" s="113" t="str">
        <f t="array" ref="E270">IF(B270="","",IFERROR(INDEX('FUNCIONÁRIOS'!$E$4:$E$501,MATCH(B270,'FUNCIONÁRIOS'!$C$4:$C$501,0)),""))</f>
        <v>NÃO</v>
      </c>
      <c r="F270" s="138">
        <v>46165.0</v>
      </c>
      <c r="G270" s="115" t="str">
        <f t="shared" si="20"/>
        <v>✅ 09:01</v>
      </c>
      <c r="H270" s="121">
        <v>0.37569444444444444</v>
      </c>
      <c r="I270" s="117" t="str">
        <f t="shared" si="21"/>
        <v>✅ 18:00</v>
      </c>
      <c r="J270" s="121">
        <v>0.75</v>
      </c>
      <c r="K270" s="126">
        <f t="shared" si="24"/>
        <v>0.3743055556</v>
      </c>
      <c r="L270" s="127" t="str">
        <f t="shared" si="23"/>
        <v>✅ Finalizado</v>
      </c>
      <c r="M270" s="110"/>
      <c r="N270" s="110"/>
    </row>
    <row r="271" ht="21.75" customHeight="1">
      <c r="A271" s="111">
        <f>265</f>
        <v>265</v>
      </c>
      <c r="B271" s="112" t="s">
        <v>332</v>
      </c>
      <c r="C271" s="144" t="str">
        <f t="array" ref="C271">IF(B271="","",IFERROR(INDEX('FUNCIONÁRIOS'!$B$4:$B$501,MATCH(B271,'FUNCIONÁRIOS'!$C$4:$C$501,0)),""))</f>
        <v>GO TO </v>
      </c>
      <c r="D271" s="144" t="str">
        <f t="array" ref="D271">IF(B271="","",IFERROR(INDEX('FUNCIONÁRIOS'!$D$4:$D$501,MATCH(B271,'FUNCIONÁRIOS'!$C$4:$C$501,0)),""))</f>
        <v>Montador</v>
      </c>
      <c r="E271" s="123" t="str">
        <f t="array" ref="E271">IF(B271="","",IFERROR(INDEX('FUNCIONÁRIOS'!$E$4:$E$501,MATCH(B271,'FUNCIONÁRIOS'!$C$4:$C$501,0)),""))</f>
        <v>NÃO</v>
      </c>
      <c r="F271" s="138">
        <v>46165.0</v>
      </c>
      <c r="G271" s="115" t="str">
        <f t="shared" si="20"/>
        <v>✅ 09:01</v>
      </c>
      <c r="H271" s="121">
        <v>0.37569444444444444</v>
      </c>
      <c r="I271" s="117" t="str">
        <f t="shared" si="21"/>
        <v>✅ 18:00</v>
      </c>
      <c r="J271" s="121">
        <v>0.75</v>
      </c>
      <c r="K271" s="126">
        <f t="shared" si="24"/>
        <v>0.3743055556</v>
      </c>
      <c r="L271" s="127" t="str">
        <f t="shared" si="23"/>
        <v>✅ Finalizado</v>
      </c>
      <c r="M271" s="110"/>
      <c r="N271" s="110"/>
    </row>
    <row r="272" ht="21.75" customHeight="1">
      <c r="A272" s="111">
        <f>266</f>
        <v>266</v>
      </c>
      <c r="B272" s="112" t="s">
        <v>457</v>
      </c>
      <c r="C272" s="143" t="str">
        <f t="array" ref="C272">IF(B272="","",IFERROR(INDEX('FUNCIONÁRIOS'!$B$4:$B$501,MATCH(B272,'FUNCIONÁRIOS'!$C$4:$C$501,0)),""))</f>
        <v>VOU DE CHURROS</v>
      </c>
      <c r="D272" s="143" t="str">
        <f t="array" ref="D272">IF(B272="","",IFERROR(INDEX('FUNCIONÁRIOS'!$D$4:$D$501,MATCH(B272,'FUNCIONÁRIOS'!$C$4:$C$501,0)),""))</f>
        <v>Coordenadora</v>
      </c>
      <c r="E272" s="113" t="str">
        <f t="array" ref="E272">IF(B272="","",IFERROR(INDEX('FUNCIONÁRIOS'!$E$4:$E$501,MATCH(B272,'FUNCIONÁRIOS'!$C$4:$C$501,0)),""))</f>
        <v>SIM</v>
      </c>
      <c r="F272" s="138">
        <v>46165.0</v>
      </c>
      <c r="G272" s="115" t="str">
        <f t="shared" si="20"/>
        <v>✅ 09:01</v>
      </c>
      <c r="H272" s="121">
        <v>0.37569444444444444</v>
      </c>
      <c r="I272" s="117" t="str">
        <f t="shared" si="21"/>
        <v>✅ 18:00</v>
      </c>
      <c r="J272" s="121">
        <v>0.75</v>
      </c>
      <c r="K272" s="126">
        <f t="shared" si="24"/>
        <v>0.3743055556</v>
      </c>
      <c r="L272" s="127" t="str">
        <f t="shared" si="23"/>
        <v>✅ Finalizado</v>
      </c>
      <c r="M272" s="110"/>
      <c r="N272" s="110"/>
    </row>
    <row r="273" ht="21.75" customHeight="1">
      <c r="A273" s="111">
        <f>267</f>
        <v>267</v>
      </c>
      <c r="B273" s="112" t="s">
        <v>138</v>
      </c>
      <c r="C273" s="144" t="str">
        <f t="array" ref="C273">IF(B273="","",IFERROR(INDEX('FUNCIONÁRIOS'!$B$4:$B$501,MATCH(B273,'FUNCIONÁRIOS'!$C$4:$C$501,0)),""))</f>
        <v>UP MUSIC </v>
      </c>
      <c r="D273" s="144" t="str">
        <f t="array" ref="D273">IF(B273="","",IFERROR(INDEX('FUNCIONÁRIOS'!$D$4:$D$501,MATCH(B273,'FUNCIONÁRIOS'!$C$4:$C$501,0)),""))</f>
        <v>PRODUTOR </v>
      </c>
      <c r="E273" s="123" t="str">
        <f t="array" ref="E273">IF(B273="","",IFERROR(INDEX('FUNCIONÁRIOS'!$E$4:$E$501,MATCH(B273,'FUNCIONÁRIOS'!$C$4:$C$501,0)),""))</f>
        <v>NÃO</v>
      </c>
      <c r="F273" s="138">
        <v>46165.0</v>
      </c>
      <c r="G273" s="115" t="str">
        <f t="shared" si="20"/>
        <v>✅ 09:05</v>
      </c>
      <c r="H273" s="121">
        <v>0.3784722222222222</v>
      </c>
      <c r="I273" s="117" t="str">
        <f t="shared" si="21"/>
        <v>✅ 18:00</v>
      </c>
      <c r="J273" s="121">
        <v>0.75</v>
      </c>
      <c r="K273" s="126">
        <f t="shared" si="24"/>
        <v>0.3715277778</v>
      </c>
      <c r="L273" s="127" t="str">
        <f t="shared" si="23"/>
        <v>✅ Finalizado</v>
      </c>
      <c r="M273" s="110"/>
      <c r="N273" s="110"/>
    </row>
    <row r="274" ht="21.75" customHeight="1">
      <c r="A274" s="111">
        <f>268</f>
        <v>268</v>
      </c>
      <c r="B274" s="112" t="s">
        <v>462</v>
      </c>
      <c r="C274" s="143" t="str">
        <f t="array" ref="C274">IF(B274="","",IFERROR(INDEX('FUNCIONÁRIOS'!$B$4:$B$501,MATCH(B274,'FUNCIONÁRIOS'!$C$4:$C$501,0)),""))</f>
        <v>BASE PRO EVENTOS</v>
      </c>
      <c r="D274" s="143" t="str">
        <f t="array" ref="D274">IF(B274="","",IFERROR(INDEX('FUNCIONÁRIOS'!$D$4:$D$501,MATCH(B274,'FUNCIONÁRIOS'!$C$4:$C$501,0)),""))</f>
        <v>Metalúrgica</v>
      </c>
      <c r="E274" s="113" t="str">
        <f t="array" ref="E274">IF(B274="","",IFERROR(INDEX('FUNCIONÁRIOS'!$E$4:$E$501,MATCH(B274,'FUNCIONÁRIOS'!$C$4:$C$501,0)),""))</f>
        <v>NÃO</v>
      </c>
      <c r="F274" s="138">
        <v>46165.0</v>
      </c>
      <c r="G274" s="115" t="str">
        <f t="shared" si="20"/>
        <v>✅ 09:11</v>
      </c>
      <c r="H274" s="121">
        <v>0.38263888888888886</v>
      </c>
      <c r="I274" s="117" t="str">
        <f t="shared" si="21"/>
        <v>✅ 16:38</v>
      </c>
      <c r="J274" s="121">
        <v>0.6930555555555555</v>
      </c>
      <c r="K274" s="126">
        <f t="shared" si="24"/>
        <v>0.3104166667</v>
      </c>
      <c r="L274" s="127" t="str">
        <f t="shared" si="23"/>
        <v>✅ Finalizado</v>
      </c>
      <c r="M274" s="110"/>
      <c r="N274" s="110"/>
    </row>
    <row r="275" ht="21.75" customHeight="1">
      <c r="A275" s="111">
        <f>269</f>
        <v>269</v>
      </c>
      <c r="B275" s="112" t="s">
        <v>240</v>
      </c>
      <c r="C275" s="144" t="str">
        <f t="array" ref="C275">IF(B275="","",IFERROR(INDEX('FUNCIONÁRIOS'!$B$4:$B$501,MATCH(B275,'FUNCIONÁRIOS'!$C$4:$C$501,0)),""))</f>
        <v>REISFORT</v>
      </c>
      <c r="D275" s="144" t="str">
        <f t="array" ref="D275">IF(B275="","",IFERROR(INDEX('FUNCIONÁRIOS'!$D$4:$D$501,MATCH(B275,'FUNCIONÁRIOS'!$C$4:$C$501,0)),""))</f>
        <v>MONTADOR </v>
      </c>
      <c r="E275" s="123" t="str">
        <f t="array" ref="E275">IF(B275="","",IFERROR(INDEX('FUNCIONÁRIOS'!$E$4:$E$501,MATCH(B275,'FUNCIONÁRIOS'!$C$4:$C$501,0)),""))</f>
        <v>NÃO</v>
      </c>
      <c r="F275" s="138">
        <v>46165.0</v>
      </c>
      <c r="G275" s="115" t="str">
        <f t="shared" si="20"/>
        <v>✅ 09:19</v>
      </c>
      <c r="H275" s="121">
        <v>0.38819444444444445</v>
      </c>
      <c r="I275" s="117" t="str">
        <f t="shared" si="21"/>
        <v>✅ 18:00</v>
      </c>
      <c r="J275" s="121">
        <v>0.75</v>
      </c>
      <c r="K275" s="126">
        <f t="shared" si="24"/>
        <v>0.3618055556</v>
      </c>
      <c r="L275" s="127" t="str">
        <f t="shared" si="23"/>
        <v>✅ Finalizado</v>
      </c>
      <c r="M275" s="110"/>
      <c r="N275" s="110"/>
    </row>
    <row r="276" ht="21.75" customHeight="1">
      <c r="A276" s="111">
        <f>270</f>
        <v>270</v>
      </c>
      <c r="B276" s="112" t="s">
        <v>243</v>
      </c>
      <c r="C276" s="143" t="str">
        <f t="array" ref="C276">IF(B276="","",IFERROR(INDEX('FUNCIONÁRIOS'!$B$4:$B$501,MATCH(B276,'FUNCIONÁRIOS'!$C$4:$C$501,0)),""))</f>
        <v>REISFORT</v>
      </c>
      <c r="D276" s="143" t="str">
        <f t="array" ref="D276">IF(B276="","",IFERROR(INDEX('FUNCIONÁRIOS'!$D$4:$D$501,MATCH(B276,'FUNCIONÁRIOS'!$C$4:$C$501,0)),""))</f>
        <v>MONTADOR </v>
      </c>
      <c r="E276" s="113" t="str">
        <f t="array" ref="E276">IF(B276="","",IFERROR(INDEX('FUNCIONÁRIOS'!$E$4:$E$501,MATCH(B276,'FUNCIONÁRIOS'!$C$4:$C$501,0)),""))</f>
        <v>NÃO</v>
      </c>
      <c r="F276" s="138">
        <v>46165.0</v>
      </c>
      <c r="G276" s="115" t="str">
        <f t="shared" si="20"/>
        <v>✅ 09:19</v>
      </c>
      <c r="H276" s="121">
        <v>0.38819444444444445</v>
      </c>
      <c r="I276" s="117" t="str">
        <f t="shared" si="21"/>
        <v>✅ 18:00</v>
      </c>
      <c r="J276" s="121">
        <v>0.75</v>
      </c>
      <c r="K276" s="126">
        <f t="shared" si="24"/>
        <v>0.3618055556</v>
      </c>
      <c r="L276" s="127" t="str">
        <f t="shared" si="23"/>
        <v>✅ Finalizado</v>
      </c>
      <c r="M276" s="110"/>
      <c r="N276" s="110"/>
    </row>
    <row r="277" ht="21.75" customHeight="1">
      <c r="A277" s="111">
        <f>271</f>
        <v>271</v>
      </c>
      <c r="B277" s="112" t="s">
        <v>242</v>
      </c>
      <c r="C277" s="144" t="str">
        <f t="array" ref="C277">IF(B277="","",IFERROR(INDEX('FUNCIONÁRIOS'!$B$4:$B$501,MATCH(B277,'FUNCIONÁRIOS'!$C$4:$C$501,0)),""))</f>
        <v>REISFORT</v>
      </c>
      <c r="D277" s="144" t="str">
        <f t="array" ref="D277">IF(B277="","",IFERROR(INDEX('FUNCIONÁRIOS'!$D$4:$D$501,MATCH(B277,'FUNCIONÁRIOS'!$C$4:$C$501,0)),""))</f>
        <v>MONTADOR </v>
      </c>
      <c r="E277" s="123" t="str">
        <f t="array" ref="E277">IF(B277="","",IFERROR(INDEX('FUNCIONÁRIOS'!$E$4:$E$501,MATCH(B277,'FUNCIONÁRIOS'!$C$4:$C$501,0)),""))</f>
        <v>NÃO</v>
      </c>
      <c r="F277" s="138">
        <v>46165.0</v>
      </c>
      <c r="G277" s="115" t="str">
        <f t="shared" si="20"/>
        <v>✅ 09:19</v>
      </c>
      <c r="H277" s="121">
        <v>0.38819444444444445</v>
      </c>
      <c r="I277" s="117" t="str">
        <f t="shared" si="21"/>
        <v>✅ 18:00</v>
      </c>
      <c r="J277" s="121">
        <v>0.75</v>
      </c>
      <c r="K277" s="126">
        <f t="shared" si="24"/>
        <v>0.3618055556</v>
      </c>
      <c r="L277" s="127" t="str">
        <f t="shared" si="23"/>
        <v>✅ Finalizado</v>
      </c>
      <c r="M277" s="110"/>
      <c r="N277" s="110"/>
    </row>
    <row r="278" ht="21.75" customHeight="1">
      <c r="A278" s="111">
        <f>272</f>
        <v>272</v>
      </c>
      <c r="B278" s="112" t="s">
        <v>249</v>
      </c>
      <c r="C278" s="143" t="str">
        <f t="array" ref="C278">IF(B278="","",IFERROR(INDEX('FUNCIONÁRIOS'!$B$4:$B$501,MATCH(B278,'FUNCIONÁRIOS'!$C$4:$C$501,0)),""))</f>
        <v>REISFORT</v>
      </c>
      <c r="D278" s="143" t="str">
        <f t="array" ref="D278">IF(B278="","",IFERROR(INDEX('FUNCIONÁRIOS'!$D$4:$D$501,MATCH(B278,'FUNCIONÁRIOS'!$C$4:$C$501,0)),""))</f>
        <v>MOTORISTA </v>
      </c>
      <c r="E278" s="113" t="str">
        <f t="array" ref="E278">IF(B278="","",IFERROR(INDEX('FUNCIONÁRIOS'!$E$4:$E$501,MATCH(B278,'FUNCIONÁRIOS'!$C$4:$C$501,0)),""))</f>
        <v>NÃO</v>
      </c>
      <c r="F278" s="138">
        <v>46165.0</v>
      </c>
      <c r="G278" s="115" t="str">
        <f t="shared" si="20"/>
        <v>✅ 09:19</v>
      </c>
      <c r="H278" s="121">
        <v>0.38819444444444445</v>
      </c>
      <c r="I278" s="117" t="str">
        <f t="shared" si="21"/>
        <v>✅ 18:00</v>
      </c>
      <c r="J278" s="121">
        <v>0.75</v>
      </c>
      <c r="K278" s="126">
        <f t="shared" si="24"/>
        <v>0.3618055556</v>
      </c>
      <c r="L278" s="127" t="str">
        <f t="shared" si="23"/>
        <v>✅ Finalizado</v>
      </c>
      <c r="M278" s="110"/>
      <c r="N278" s="110"/>
    </row>
    <row r="279" ht="21.75" customHeight="1">
      <c r="A279" s="111">
        <f>273</f>
        <v>273</v>
      </c>
      <c r="B279" s="112" t="s">
        <v>455</v>
      </c>
      <c r="C279" s="144" t="str">
        <f t="array" ref="C279">IF(B279="","",IFERROR(INDEX('FUNCIONÁRIOS'!$B$4:$B$501,MATCH(B279,'FUNCIONÁRIOS'!$C$4:$C$501,0)),""))</f>
        <v>GYN EVENTS</v>
      </c>
      <c r="D279" s="144" t="str">
        <f t="array" ref="D279">IF(B279="","",IFERROR(INDEX('FUNCIONÁRIOS'!$D$4:$D$501,MATCH(B279,'FUNCIONÁRIOS'!$C$4:$C$501,0)),""))</f>
        <v>Carregador</v>
      </c>
      <c r="E279" s="123" t="str">
        <f t="array" ref="E279">IF(B279="","",IFERROR(INDEX('FUNCIONÁRIOS'!$E$4:$E$501,MATCH(B279,'FUNCIONÁRIOS'!$C$4:$C$501,0)),""))</f>
        <v>NÃO</v>
      </c>
      <c r="F279" s="138">
        <v>46165.0</v>
      </c>
      <c r="G279" s="115" t="str">
        <f t="shared" si="20"/>
        <v>✅ 09:20</v>
      </c>
      <c r="H279" s="121">
        <v>0.3888888888888889</v>
      </c>
      <c r="I279" s="117" t="str">
        <f t="shared" si="21"/>
        <v>✅ 18:00</v>
      </c>
      <c r="J279" s="121">
        <v>0.75</v>
      </c>
      <c r="K279" s="126">
        <f t="shared" si="24"/>
        <v>0.3611111111</v>
      </c>
      <c r="L279" s="127" t="str">
        <f t="shared" si="23"/>
        <v>✅ Finalizado</v>
      </c>
      <c r="M279" s="110"/>
      <c r="N279" s="110"/>
    </row>
    <row r="280" ht="21.75" customHeight="1">
      <c r="A280" s="111">
        <f>274</f>
        <v>274</v>
      </c>
      <c r="B280" s="112" t="s">
        <v>453</v>
      </c>
      <c r="C280" s="143" t="str">
        <f t="array" ref="C280">IF(B280="","",IFERROR(INDEX('FUNCIONÁRIOS'!$B$4:$B$501,MATCH(B280,'FUNCIONÁRIOS'!$C$4:$C$501,0)),""))</f>
        <v>GYN EVENTS</v>
      </c>
      <c r="D280" s="143" t="str">
        <f t="array" ref="D280">IF(B280="","",IFERROR(INDEX('FUNCIONÁRIOS'!$D$4:$D$501,MATCH(B280,'FUNCIONÁRIOS'!$C$4:$C$501,0)),""))</f>
        <v>Carregador</v>
      </c>
      <c r="E280" s="113" t="str">
        <f t="array" ref="E280">IF(B280="","",IFERROR(INDEX('FUNCIONÁRIOS'!$E$4:$E$501,MATCH(B280,'FUNCIONÁRIOS'!$C$4:$C$501,0)),""))</f>
        <v>SIM</v>
      </c>
      <c r="F280" s="138">
        <v>46165.0</v>
      </c>
      <c r="G280" s="115" t="str">
        <f t="shared" si="20"/>
        <v>✅ 09:20</v>
      </c>
      <c r="H280" s="121">
        <v>0.3888888888888889</v>
      </c>
      <c r="I280" s="117" t="str">
        <f t="shared" si="21"/>
        <v>✅ 18:00</v>
      </c>
      <c r="J280" s="121">
        <v>0.75</v>
      </c>
      <c r="K280" s="126">
        <f t="shared" si="24"/>
        <v>0.3611111111</v>
      </c>
      <c r="L280" s="127" t="str">
        <f t="shared" si="23"/>
        <v>✅ Finalizado</v>
      </c>
      <c r="M280" s="110"/>
      <c r="N280" s="110"/>
    </row>
    <row r="281" ht="21.75" customHeight="1">
      <c r="A281" s="111">
        <f>275</f>
        <v>275</v>
      </c>
      <c r="B281" s="112" t="s">
        <v>482</v>
      </c>
      <c r="C281" s="144" t="str">
        <f t="array" ref="C281">IF(B281="","",IFERROR(INDEX('FUNCIONÁRIOS'!$B$4:$B$501,MATCH(B281,'FUNCIONÁRIOS'!$C$4:$C$501,0)),""))</f>
        <v>EL SHADDAI</v>
      </c>
      <c r="D281" s="144" t="str">
        <f t="array" ref="D281">IF(B281="","",IFERROR(INDEX('FUNCIONÁRIOS'!$D$4:$D$501,MATCH(B281,'FUNCIONÁRIOS'!$C$4:$C$501,0)),""))</f>
        <v>Soldador </v>
      </c>
      <c r="E281" s="123" t="str">
        <f t="array" ref="E281">IF(B281="","",IFERROR(INDEX('FUNCIONÁRIOS'!$E$4:$E$501,MATCH(B281,'FUNCIONÁRIOS'!$C$4:$C$501,0)),""))</f>
        <v>NÃO</v>
      </c>
      <c r="F281" s="138">
        <v>46165.0</v>
      </c>
      <c r="G281" s="115" t="str">
        <f t="shared" si="20"/>
        <v>✅ 09:30</v>
      </c>
      <c r="H281" s="121">
        <v>0.3958333333333333</v>
      </c>
      <c r="I281" s="117" t="str">
        <f t="shared" si="21"/>
        <v>✅ 18:00</v>
      </c>
      <c r="J281" s="121">
        <v>0.75</v>
      </c>
      <c r="K281" s="126">
        <f t="shared" si="24"/>
        <v>0.3541666667</v>
      </c>
      <c r="L281" s="127" t="str">
        <f t="shared" si="23"/>
        <v>✅ Finalizado</v>
      </c>
      <c r="M281" s="110"/>
      <c r="N281" s="110"/>
    </row>
    <row r="282" ht="21.75" customHeight="1">
      <c r="A282" s="111">
        <f>276</f>
        <v>276</v>
      </c>
      <c r="B282" s="112" t="s">
        <v>485</v>
      </c>
      <c r="C282" s="143" t="str">
        <f t="array" ref="C282">IF(B282="","",IFERROR(INDEX('FUNCIONÁRIOS'!$B$4:$B$501,MATCH(B282,'FUNCIONÁRIOS'!$C$4:$C$501,0)),""))</f>
        <v>EL SHADDAI</v>
      </c>
      <c r="D282" s="143" t="str">
        <f t="array" ref="D282">IF(B282="","",IFERROR(INDEX('FUNCIONÁRIOS'!$D$4:$D$501,MATCH(B282,'FUNCIONÁRIOS'!$C$4:$C$501,0)),""))</f>
        <v>soldador </v>
      </c>
      <c r="E282" s="113" t="str">
        <f t="array" ref="E282">IF(B282="","",IFERROR(INDEX('FUNCIONÁRIOS'!$E$4:$E$501,MATCH(B282,'FUNCIONÁRIOS'!$C$4:$C$501,0)),""))</f>
        <v>NÃO</v>
      </c>
      <c r="F282" s="138">
        <v>46165.0</v>
      </c>
      <c r="G282" s="115" t="str">
        <f t="shared" si="20"/>
        <v>✅ 09:30</v>
      </c>
      <c r="H282" s="121">
        <v>0.3958333333333333</v>
      </c>
      <c r="I282" s="117" t="str">
        <f t="shared" si="21"/>
        <v>✅ 18:00</v>
      </c>
      <c r="J282" s="121">
        <v>0.75</v>
      </c>
      <c r="K282" s="126">
        <f t="shared" si="24"/>
        <v>0.3541666667</v>
      </c>
      <c r="L282" s="127" t="str">
        <f t="shared" si="23"/>
        <v>✅ Finalizado</v>
      </c>
      <c r="M282" s="110"/>
      <c r="N282" s="110"/>
    </row>
    <row r="283" ht="21.75" customHeight="1">
      <c r="A283" s="111">
        <f>277</f>
        <v>277</v>
      </c>
      <c r="B283" s="112" t="s">
        <v>468</v>
      </c>
      <c r="C283" s="144" t="str">
        <f t="array" ref="C283">IF(B283="","",IFERROR(INDEX('FUNCIONÁRIOS'!$B$4:$B$501,MATCH(B283,'FUNCIONÁRIOS'!$C$4:$C$501,0)),""))</f>
        <v>PIZZA GYN</v>
      </c>
      <c r="D283" s="144" t="str">
        <f t="array" ref="D283">IF(B283="","",IFERROR(INDEX('FUNCIONÁRIOS'!$D$4:$D$501,MATCH(B283,'FUNCIONÁRIOS'!$C$4:$C$501,0)),""))</f>
        <v>cordenador </v>
      </c>
      <c r="E283" s="123" t="str">
        <f t="array" ref="E283">IF(B283="","",IFERROR(INDEX('FUNCIONÁRIOS'!$E$4:$E$501,MATCH(B283,'FUNCIONÁRIOS'!$C$4:$C$501,0)),""))</f>
        <v>SIM</v>
      </c>
      <c r="F283" s="138">
        <v>46165.0</v>
      </c>
      <c r="G283" s="115" t="str">
        <f t="shared" si="20"/>
        <v>✅ 09:30</v>
      </c>
      <c r="H283" s="121">
        <v>0.3958333333333333</v>
      </c>
      <c r="I283" s="117" t="str">
        <f t="shared" si="21"/>
        <v>✅ 18:00</v>
      </c>
      <c r="J283" s="121">
        <v>0.75</v>
      </c>
      <c r="K283" s="126">
        <f t="shared" si="24"/>
        <v>0.3541666667</v>
      </c>
      <c r="L283" s="127" t="str">
        <f t="shared" si="23"/>
        <v>✅ Finalizado</v>
      </c>
      <c r="M283" s="110"/>
      <c r="N283" s="110"/>
    </row>
    <row r="284" ht="21.75" customHeight="1">
      <c r="A284" s="111">
        <f>278</f>
        <v>278</v>
      </c>
      <c r="B284" s="112" t="s">
        <v>465</v>
      </c>
      <c r="C284" s="143" t="str">
        <f t="array" ref="C284">IF(B284="","",IFERROR(INDEX('FUNCIONÁRIOS'!$B$4:$B$501,MATCH(B284,'FUNCIONÁRIOS'!$C$4:$C$501,0)),""))</f>
        <v>PIZZA GYN</v>
      </c>
      <c r="D284" s="143" t="str">
        <f t="array" ref="D284">IF(B284="","",IFERROR(INDEX('FUNCIONÁRIOS'!$D$4:$D$501,MATCH(B284,'FUNCIONÁRIOS'!$C$4:$C$501,0)),""))</f>
        <v>cordenador</v>
      </c>
      <c r="E284" s="113" t="str">
        <f t="array" ref="E284">IF(B284="","",IFERROR(INDEX('FUNCIONÁRIOS'!$E$4:$E$501,MATCH(B284,'FUNCIONÁRIOS'!$C$4:$C$501,0)),""))</f>
        <v>SIM</v>
      </c>
      <c r="F284" s="138">
        <v>46165.0</v>
      </c>
      <c r="G284" s="115" t="str">
        <f t="shared" si="20"/>
        <v>✅ 09:30</v>
      </c>
      <c r="H284" s="121">
        <v>0.3958333333333333</v>
      </c>
      <c r="I284" s="117" t="str">
        <f t="shared" si="21"/>
        <v>✅ 18:00</v>
      </c>
      <c r="J284" s="121">
        <v>0.75</v>
      </c>
      <c r="K284" s="126">
        <f t="shared" si="24"/>
        <v>0.3541666667</v>
      </c>
      <c r="L284" s="127" t="str">
        <f t="shared" si="23"/>
        <v>✅ Finalizado</v>
      </c>
      <c r="M284" s="110"/>
      <c r="N284" s="110"/>
    </row>
    <row r="285" ht="21.75" customHeight="1">
      <c r="A285" s="111">
        <f>279</f>
        <v>279</v>
      </c>
      <c r="B285" s="112" t="s">
        <v>317</v>
      </c>
      <c r="C285" s="144" t="str">
        <f t="array" ref="C285">IF(B285="","",IFERROR(INDEX('FUNCIONÁRIOS'!$B$4:$B$501,MATCH(B285,'FUNCIONÁRIOS'!$C$4:$C$501,0)),""))</f>
        <v>EL SHADDAI</v>
      </c>
      <c r="D285" s="144" t="str">
        <f t="array" ref="D285">IF(B285="","",IFERROR(INDEX('FUNCIONÁRIOS'!$D$4:$D$501,MATCH(B285,'FUNCIONÁRIOS'!$C$4:$C$501,0)),""))</f>
        <v>Montador</v>
      </c>
      <c r="E285" s="123" t="str">
        <f t="array" ref="E285">IF(B285="","",IFERROR(INDEX('FUNCIONÁRIOS'!$E$4:$E$501,MATCH(B285,'FUNCIONÁRIOS'!$C$4:$C$501,0)),""))</f>
        <v>NÃO</v>
      </c>
      <c r="F285" s="138">
        <v>46165.0</v>
      </c>
      <c r="G285" s="115" t="str">
        <f t="shared" si="20"/>
        <v>✅ 09:51</v>
      </c>
      <c r="H285" s="121">
        <v>0.41041666666666665</v>
      </c>
      <c r="I285" s="117" t="str">
        <f t="shared" si="21"/>
        <v>✅ 18:00</v>
      </c>
      <c r="J285" s="121">
        <v>0.75</v>
      </c>
      <c r="K285" s="126">
        <f t="shared" si="24"/>
        <v>0.3395833333</v>
      </c>
      <c r="L285" s="127" t="str">
        <f t="shared" si="23"/>
        <v>✅ Finalizado</v>
      </c>
      <c r="M285" s="110"/>
      <c r="N285" s="110"/>
    </row>
    <row r="286" ht="21.75" customHeight="1">
      <c r="A286" s="111">
        <f>280</f>
        <v>280</v>
      </c>
      <c r="B286" s="112" t="s">
        <v>316</v>
      </c>
      <c r="C286" s="143" t="str">
        <f t="array" ref="C286">IF(B286="","",IFERROR(INDEX('FUNCIONÁRIOS'!$B$4:$B$501,MATCH(B286,'FUNCIONÁRIOS'!$C$4:$C$501,0)),""))</f>
        <v>EL SHADDAI</v>
      </c>
      <c r="D286" s="143" t="str">
        <f t="array" ref="D286">IF(B286="","",IFERROR(INDEX('FUNCIONÁRIOS'!$D$4:$D$501,MATCH(B286,'FUNCIONÁRIOS'!$C$4:$C$501,0)),""))</f>
        <v>Montador</v>
      </c>
      <c r="E286" s="113" t="str">
        <f t="array" ref="E286">IF(B286="","",IFERROR(INDEX('FUNCIONÁRIOS'!$E$4:$E$501,MATCH(B286,'FUNCIONÁRIOS'!$C$4:$C$501,0)),""))</f>
        <v>NÃO</v>
      </c>
      <c r="F286" s="138">
        <v>46165.0</v>
      </c>
      <c r="G286" s="115" t="str">
        <f t="shared" si="20"/>
        <v>✅ 09:51</v>
      </c>
      <c r="H286" s="121">
        <v>0.41041666666666665</v>
      </c>
      <c r="I286" s="117" t="str">
        <f t="shared" si="21"/>
        <v>✅ 18:00</v>
      </c>
      <c r="J286" s="121">
        <v>0.75</v>
      </c>
      <c r="K286" s="126">
        <f t="shared" si="24"/>
        <v>0.3395833333</v>
      </c>
      <c r="L286" s="127" t="str">
        <f t="shared" si="23"/>
        <v>✅ Finalizado</v>
      </c>
      <c r="M286" s="110"/>
      <c r="N286" s="110"/>
    </row>
    <row r="287" ht="21.75" customHeight="1">
      <c r="A287" s="111">
        <f>281</f>
        <v>281</v>
      </c>
      <c r="B287" s="112" t="s">
        <v>236</v>
      </c>
      <c r="C287" s="144" t="str">
        <f t="array" ref="C287">IF(B287="","",IFERROR(INDEX('FUNCIONÁRIOS'!$B$4:$B$501,MATCH(B287,'FUNCIONÁRIOS'!$C$4:$C$501,0)),""))</f>
        <v>EL SHADDAI</v>
      </c>
      <c r="D287" s="144" t="str">
        <f t="array" ref="D287">IF(B287="","",IFERROR(INDEX('FUNCIONÁRIOS'!$D$4:$D$501,MATCH(B287,'FUNCIONÁRIOS'!$C$4:$C$501,0)),""))</f>
        <v>SOLDADOR </v>
      </c>
      <c r="E287" s="123" t="str">
        <f t="array" ref="E287">IF(B287="","",IFERROR(INDEX('FUNCIONÁRIOS'!$E$4:$E$501,MATCH(B287,'FUNCIONÁRIOS'!$C$4:$C$501,0)),""))</f>
        <v>NÃO</v>
      </c>
      <c r="F287" s="138">
        <v>46165.0</v>
      </c>
      <c r="G287" s="115" t="str">
        <f t="shared" si="20"/>
        <v>✅ 09:51</v>
      </c>
      <c r="H287" s="121">
        <v>0.41041666666666665</v>
      </c>
      <c r="I287" s="117" t="str">
        <f t="shared" si="21"/>
        <v>✅ 18:00</v>
      </c>
      <c r="J287" s="121">
        <v>0.75</v>
      </c>
      <c r="K287" s="126">
        <f t="shared" si="24"/>
        <v>0.3395833333</v>
      </c>
      <c r="L287" s="127" t="str">
        <f t="shared" si="23"/>
        <v>✅ Finalizado</v>
      </c>
      <c r="M287" s="110"/>
      <c r="N287" s="110"/>
    </row>
    <row r="288" ht="21.75" customHeight="1">
      <c r="A288" s="111">
        <f>282</f>
        <v>282</v>
      </c>
      <c r="B288" s="112" t="s">
        <v>234</v>
      </c>
      <c r="C288" s="143" t="str">
        <f t="array" ref="C288">IF(B288="","",IFERROR(INDEX('FUNCIONÁRIOS'!$B$4:$B$501,MATCH(B288,'FUNCIONÁRIOS'!$C$4:$C$501,0)),""))</f>
        <v>EL SHADDAI</v>
      </c>
      <c r="D288" s="143" t="str">
        <f t="array" ref="D288">IF(B288="","",IFERROR(INDEX('FUNCIONÁRIOS'!$D$4:$D$501,MATCH(B288,'FUNCIONÁRIOS'!$C$4:$C$501,0)),""))</f>
        <v>ENGENHARIA DE PRODUÇÃO </v>
      </c>
      <c r="E288" s="113" t="str">
        <f t="array" ref="E288">IF(B288="","",IFERROR(INDEX('FUNCIONÁRIOS'!$E$4:$E$501,MATCH(B288,'FUNCIONÁRIOS'!$C$4:$C$501,0)),""))</f>
        <v>NÃO</v>
      </c>
      <c r="F288" s="138">
        <v>46165.0</v>
      </c>
      <c r="G288" s="115" t="str">
        <f t="shared" si="20"/>
        <v>✅ 09:51</v>
      </c>
      <c r="H288" s="121">
        <v>0.41041666666666665</v>
      </c>
      <c r="I288" s="117" t="str">
        <f t="shared" si="21"/>
        <v>✅ 18:00</v>
      </c>
      <c r="J288" s="121">
        <v>0.75</v>
      </c>
      <c r="K288" s="126">
        <f t="shared" si="24"/>
        <v>0.3395833333</v>
      </c>
      <c r="L288" s="127" t="str">
        <f t="shared" si="23"/>
        <v>✅ Finalizado</v>
      </c>
      <c r="M288" s="110"/>
      <c r="N288" s="110"/>
    </row>
    <row r="289" ht="21.75" customHeight="1">
      <c r="A289" s="111">
        <f>283</f>
        <v>283</v>
      </c>
      <c r="B289" s="112" t="s">
        <v>490</v>
      </c>
      <c r="C289" s="144" t="str">
        <f t="array" ref="C289">IF(B289="","",IFERROR(INDEX('FUNCIONÁRIOS'!$B$4:$B$501,MATCH(B289,'FUNCIONÁRIOS'!$C$4:$C$501,0)),""))</f>
        <v>EL SHADDAI</v>
      </c>
      <c r="D289" s="144" t="str">
        <f t="array" ref="D289">IF(B289="","",IFERROR(INDEX('FUNCIONÁRIOS'!$D$4:$D$501,MATCH(B289,'FUNCIONÁRIOS'!$C$4:$C$501,0)),""))</f>
        <v>Montador</v>
      </c>
      <c r="E289" s="123" t="str">
        <f t="array" ref="E289">IF(B289="","",IFERROR(INDEX('FUNCIONÁRIOS'!$E$4:$E$501,MATCH(B289,'FUNCIONÁRIOS'!$C$4:$C$501,0)),""))</f>
        <v>NÃO</v>
      </c>
      <c r="F289" s="138">
        <v>46165.0</v>
      </c>
      <c r="G289" s="115" t="str">
        <f t="shared" si="20"/>
        <v>✅ 09:51</v>
      </c>
      <c r="H289" s="121">
        <v>0.41041666666666665</v>
      </c>
      <c r="I289" s="117" t="str">
        <f t="shared" si="21"/>
        <v>✅ 18:00</v>
      </c>
      <c r="J289" s="121">
        <v>0.75</v>
      </c>
      <c r="K289" s="126">
        <f t="shared" si="24"/>
        <v>0.3395833333</v>
      </c>
      <c r="L289" s="127" t="str">
        <f t="shared" si="23"/>
        <v>✅ Finalizado</v>
      </c>
      <c r="M289" s="110"/>
      <c r="N289" s="110"/>
    </row>
    <row r="290" ht="21.75" customHeight="1">
      <c r="A290" s="111">
        <f>284</f>
        <v>284</v>
      </c>
      <c r="B290" s="112" t="s">
        <v>471</v>
      </c>
      <c r="C290" s="143" t="str">
        <f t="array" ref="C290">IF(B290="","",IFERROR(INDEX('FUNCIONÁRIOS'!$B$4:$B$501,MATCH(B290,'FUNCIONÁRIOS'!$C$4:$C$501,0)),""))</f>
        <v>KOMIKETO</v>
      </c>
      <c r="D290" s="143" t="str">
        <f t="array" ref="D290">IF(B290="","",IFERROR(INDEX('FUNCIONÁRIOS'!$D$4:$D$501,MATCH(B290,'FUNCIONÁRIOS'!$C$4:$C$501,0)),""))</f>
        <v>cordenador</v>
      </c>
      <c r="E290" s="113" t="str">
        <f t="array" ref="E290">IF(B290="","",IFERROR(INDEX('FUNCIONÁRIOS'!$E$4:$E$501,MATCH(B290,'FUNCIONÁRIOS'!$C$4:$C$501,0)),""))</f>
        <v>SIM</v>
      </c>
      <c r="F290" s="138">
        <v>46165.0</v>
      </c>
      <c r="G290" s="115" t="str">
        <f t="shared" si="20"/>
        <v>✅ 09:51</v>
      </c>
      <c r="H290" s="121">
        <v>0.41041666666666665</v>
      </c>
      <c r="I290" s="117" t="str">
        <f t="shared" si="21"/>
        <v>✅ 18:00</v>
      </c>
      <c r="J290" s="121">
        <v>0.75</v>
      </c>
      <c r="K290" s="126">
        <f t="shared" si="24"/>
        <v>0.3395833333</v>
      </c>
      <c r="L290" s="127" t="str">
        <f t="shared" si="23"/>
        <v>✅ Finalizado</v>
      </c>
      <c r="M290" s="110"/>
      <c r="N290" s="110"/>
    </row>
    <row r="291" ht="21.75" customHeight="1">
      <c r="A291" s="111">
        <f>285</f>
        <v>285</v>
      </c>
      <c r="B291" s="112" t="s">
        <v>473</v>
      </c>
      <c r="C291" s="144" t="str">
        <f t="array" ref="C291">IF(B291="","",IFERROR(INDEX('FUNCIONÁRIOS'!$B$4:$B$501,MATCH(B291,'FUNCIONÁRIOS'!$C$4:$C$501,0)),""))</f>
        <v>KOMIKETO</v>
      </c>
      <c r="D291" s="144" t="str">
        <f t="array" ref="D291">IF(B291="","",IFERROR(INDEX('FUNCIONÁRIOS'!$D$4:$D$501,MATCH(B291,'FUNCIONÁRIOS'!$C$4:$C$501,0)),""))</f>
        <v>cordenador</v>
      </c>
      <c r="E291" s="123" t="str">
        <f t="array" ref="E291">IF(B291="","",IFERROR(INDEX('FUNCIONÁRIOS'!$E$4:$E$501,MATCH(B291,'FUNCIONÁRIOS'!$C$4:$C$501,0)),""))</f>
        <v>SIM</v>
      </c>
      <c r="F291" s="138">
        <v>46165.0</v>
      </c>
      <c r="G291" s="115" t="str">
        <f t="shared" si="20"/>
        <v>✅ 09:51</v>
      </c>
      <c r="H291" s="121">
        <v>0.41041666666666665</v>
      </c>
      <c r="I291" s="117" t="str">
        <f t="shared" si="21"/>
        <v>✅ 18:00</v>
      </c>
      <c r="J291" s="121">
        <v>0.75</v>
      </c>
      <c r="K291" s="126">
        <f t="shared" si="24"/>
        <v>0.3395833333</v>
      </c>
      <c r="L291" s="127" t="str">
        <f t="shared" si="23"/>
        <v>✅ Finalizado</v>
      </c>
      <c r="M291" s="110"/>
      <c r="N291" s="110"/>
    </row>
    <row r="292" ht="21.75" customHeight="1">
      <c r="A292" s="111">
        <f>286</f>
        <v>286</v>
      </c>
      <c r="B292" s="112" t="s">
        <v>290</v>
      </c>
      <c r="C292" s="143" t="str">
        <f t="array" ref="C292">IF(B292="","",IFERROR(INDEX('FUNCIONÁRIOS'!$B$4:$B$501,MATCH(B292,'FUNCIONÁRIOS'!$C$4:$C$501,0)),""))</f>
        <v>GYNLIGHT</v>
      </c>
      <c r="D292" s="143" t="str">
        <f t="array" ref="D292">IF(B292="","",IFERROR(INDEX('FUNCIONÁRIOS'!$D$4:$D$501,MATCH(B292,'FUNCIONÁRIOS'!$C$4:$C$501,0)),""))</f>
        <v>Auxiliar Técnico em Iluminação</v>
      </c>
      <c r="E292" s="113" t="str">
        <f t="array" ref="E292">IF(B292="","",IFERROR(INDEX('FUNCIONÁRIOS'!$E$4:$E$501,MATCH(B292,'FUNCIONÁRIOS'!$C$4:$C$501,0)),""))</f>
        <v>NÃO</v>
      </c>
      <c r="F292" s="138">
        <v>46165.0</v>
      </c>
      <c r="G292" s="115" t="str">
        <f t="shared" si="20"/>
        <v>✅ 09:51</v>
      </c>
      <c r="H292" s="121">
        <v>0.41041666666666665</v>
      </c>
      <c r="I292" s="117" t="str">
        <f t="shared" si="21"/>
        <v>✅ 18:00</v>
      </c>
      <c r="J292" s="121">
        <v>0.75</v>
      </c>
      <c r="K292" s="126">
        <f t="shared" si="24"/>
        <v>0.3395833333</v>
      </c>
      <c r="L292" s="127" t="str">
        <f t="shared" si="23"/>
        <v>✅ Finalizado</v>
      </c>
      <c r="M292" s="110"/>
      <c r="N292" s="110"/>
    </row>
    <row r="293" ht="21.75" customHeight="1">
      <c r="A293" s="111">
        <f>287</f>
        <v>287</v>
      </c>
      <c r="B293" s="112" t="s">
        <v>278</v>
      </c>
      <c r="C293" s="144" t="str">
        <f t="array" ref="C293">IF(B293="","",IFERROR(INDEX('FUNCIONÁRIOS'!$B$4:$B$501,MATCH(B293,'FUNCIONÁRIOS'!$C$4:$C$501,0)),""))</f>
        <v>GYNLIGHT</v>
      </c>
      <c r="D293" s="144" t="str">
        <f t="array" ref="D293">IF(B293="","",IFERROR(INDEX('FUNCIONÁRIOS'!$D$4:$D$501,MATCH(B293,'FUNCIONÁRIOS'!$C$4:$C$501,0)),""))</f>
        <v>Auxiliar Técnico em Iluminação</v>
      </c>
      <c r="E293" s="123" t="str">
        <f t="array" ref="E293">IF(B293="","",IFERROR(INDEX('FUNCIONÁRIOS'!$E$4:$E$501,MATCH(B293,'FUNCIONÁRIOS'!$C$4:$C$501,0)),""))</f>
        <v>NÃO</v>
      </c>
      <c r="F293" s="138">
        <v>46165.0</v>
      </c>
      <c r="G293" s="115" t="str">
        <f t="shared" si="20"/>
        <v>✅ 09:51</v>
      </c>
      <c r="H293" s="121">
        <v>0.41041666666666665</v>
      </c>
      <c r="I293" s="117" t="str">
        <f t="shared" si="21"/>
        <v>✅ 18:00</v>
      </c>
      <c r="J293" s="121">
        <v>0.75</v>
      </c>
      <c r="K293" s="126">
        <f t="shared" si="24"/>
        <v>0.3395833333</v>
      </c>
      <c r="L293" s="127" t="str">
        <f t="shared" si="23"/>
        <v>✅ Finalizado</v>
      </c>
      <c r="M293" s="110"/>
      <c r="N293" s="110"/>
    </row>
    <row r="294" ht="21.75" customHeight="1">
      <c r="A294" s="111">
        <f>288</f>
        <v>288</v>
      </c>
      <c r="B294" s="112" t="s">
        <v>260</v>
      </c>
      <c r="C294" s="143" t="str">
        <f t="array" ref="C294">IF(B294="","",IFERROR(INDEX('FUNCIONÁRIOS'!$B$4:$B$501,MATCH(B294,'FUNCIONÁRIOS'!$C$4:$C$501,0)),""))</f>
        <v>GYNLIGHT</v>
      </c>
      <c r="D294" s="143" t="str">
        <f t="array" ref="D294">IF(B294="","",IFERROR(INDEX('FUNCIONÁRIOS'!$D$4:$D$501,MATCH(B294,'FUNCIONÁRIOS'!$C$4:$C$501,0)),""))</f>
        <v>Cordenador Técnico</v>
      </c>
      <c r="E294" s="113" t="str">
        <f t="array" ref="E294">IF(B294="","",IFERROR(INDEX('FUNCIONÁRIOS'!$E$4:$E$501,MATCH(B294,'FUNCIONÁRIOS'!$C$4:$C$501,0)),""))</f>
        <v>SIM</v>
      </c>
      <c r="F294" s="138">
        <v>46165.0</v>
      </c>
      <c r="G294" s="115" t="str">
        <f t="shared" si="20"/>
        <v>✅ 09:51</v>
      </c>
      <c r="H294" s="121">
        <v>0.41041666666666665</v>
      </c>
      <c r="I294" s="117" t="str">
        <f t="shared" si="21"/>
        <v>✅ 18:00</v>
      </c>
      <c r="J294" s="121">
        <v>0.75</v>
      </c>
      <c r="K294" s="126">
        <f t="shared" si="24"/>
        <v>0.3395833333</v>
      </c>
      <c r="L294" s="127" t="str">
        <f t="shared" si="23"/>
        <v>✅ Finalizado</v>
      </c>
      <c r="M294" s="110"/>
      <c r="N294" s="110"/>
    </row>
    <row r="295" ht="21.75" customHeight="1">
      <c r="A295" s="111">
        <f>289</f>
        <v>289</v>
      </c>
      <c r="B295" s="112" t="s">
        <v>493</v>
      </c>
      <c r="C295" s="144" t="str">
        <f t="array" ref="C295">IF(B295="","",IFERROR(INDEX('FUNCIONÁRIOS'!$B$4:$B$501,MATCH(B295,'FUNCIONÁRIOS'!$C$4:$C$501,0)),""))</f>
        <v>EL SHADDAI</v>
      </c>
      <c r="D295" s="144" t="str">
        <f t="array" ref="D295">IF(B295="","",IFERROR(INDEX('FUNCIONÁRIOS'!$D$4:$D$501,MATCH(B295,'FUNCIONÁRIOS'!$C$4:$C$501,0)),""))</f>
        <v>Montador</v>
      </c>
      <c r="E295" s="123" t="str">
        <f t="array" ref="E295">IF(B295="","",IFERROR(INDEX('FUNCIONÁRIOS'!$E$4:$E$501,MATCH(B295,'FUNCIONÁRIOS'!$C$4:$C$501,0)),""))</f>
        <v>NÃO</v>
      </c>
      <c r="F295" s="138">
        <v>46165.0</v>
      </c>
      <c r="G295" s="115" t="str">
        <f t="shared" si="20"/>
        <v>✅ 09:51</v>
      </c>
      <c r="H295" s="121">
        <v>0.41041666666666665</v>
      </c>
      <c r="I295" s="117" t="str">
        <f t="shared" si="21"/>
        <v>✅ 18:00</v>
      </c>
      <c r="J295" s="121">
        <v>0.75</v>
      </c>
      <c r="K295" s="126">
        <f t="shared" si="24"/>
        <v>0.3395833333</v>
      </c>
      <c r="L295" s="127" t="str">
        <f t="shared" si="23"/>
        <v>✅ Finalizado</v>
      </c>
      <c r="M295" s="110"/>
      <c r="N295" s="110"/>
    </row>
    <row r="296" ht="21.75" customHeight="1">
      <c r="A296" s="111">
        <f>290</f>
        <v>290</v>
      </c>
      <c r="B296" s="112" t="s">
        <v>495</v>
      </c>
      <c r="C296" s="143" t="str">
        <f t="array" ref="C296">IF(B296="","",IFERROR(INDEX('FUNCIONÁRIOS'!$B$4:$B$501,MATCH(B296,'FUNCIONÁRIOS'!$C$4:$C$501,0)),""))</f>
        <v>EL SHADDAI</v>
      </c>
      <c r="D296" s="143" t="str">
        <f t="array" ref="D296">IF(B296="","",IFERROR(INDEX('FUNCIONÁRIOS'!$D$4:$D$501,MATCH(B296,'FUNCIONÁRIOS'!$C$4:$C$501,0)),""))</f>
        <v>montador</v>
      </c>
      <c r="E296" s="113" t="str">
        <f t="array" ref="E296">IF(B296="","",IFERROR(INDEX('FUNCIONÁRIOS'!$E$4:$E$501,MATCH(B296,'FUNCIONÁRIOS'!$C$4:$C$501,0)),""))</f>
        <v>NÃO</v>
      </c>
      <c r="F296" s="138">
        <v>46165.0</v>
      </c>
      <c r="G296" s="115" t="str">
        <f t="shared" si="20"/>
        <v>✅ 09:51</v>
      </c>
      <c r="H296" s="121">
        <v>0.41041666666666665</v>
      </c>
      <c r="I296" s="117" t="str">
        <f t="shared" si="21"/>
        <v>✅ 18:00</v>
      </c>
      <c r="J296" s="121">
        <v>0.75</v>
      </c>
      <c r="K296" s="126">
        <f t="shared" si="24"/>
        <v>0.3395833333</v>
      </c>
      <c r="L296" s="127" t="str">
        <f t="shared" si="23"/>
        <v>✅ Finalizado</v>
      </c>
      <c r="M296" s="110"/>
      <c r="N296" s="110"/>
    </row>
    <row r="297" ht="21.75" customHeight="1">
      <c r="A297" s="111">
        <f>291</f>
        <v>291</v>
      </c>
      <c r="B297" s="112" t="s">
        <v>491</v>
      </c>
      <c r="C297" s="144" t="str">
        <f t="array" ref="C297">IF(B297="","",IFERROR(INDEX('FUNCIONÁRIOS'!$B$4:$B$501,MATCH(B297,'FUNCIONÁRIOS'!$C$4:$C$501,0)),""))</f>
        <v>EL SHADDAI</v>
      </c>
      <c r="D297" s="144" t="str">
        <f t="array" ref="D297">IF(B297="","",IFERROR(INDEX('FUNCIONÁRIOS'!$D$4:$D$501,MATCH(B297,'FUNCIONÁRIOS'!$C$4:$C$501,0)),""))</f>
        <v>motorista</v>
      </c>
      <c r="E297" s="123" t="str">
        <f t="array" ref="E297">IF(B297="","",IFERROR(INDEX('FUNCIONÁRIOS'!$E$4:$E$501,MATCH(B297,'FUNCIONÁRIOS'!$C$4:$C$501,0)),""))</f>
        <v>NÃO</v>
      </c>
      <c r="F297" s="138">
        <v>46165.0</v>
      </c>
      <c r="G297" s="115" t="str">
        <f t="shared" si="20"/>
        <v>✅ 09:51</v>
      </c>
      <c r="H297" s="121">
        <v>0.41041666666666665</v>
      </c>
      <c r="I297" s="117" t="str">
        <f t="shared" si="21"/>
        <v>✅ 18:00</v>
      </c>
      <c r="J297" s="121">
        <v>0.75</v>
      </c>
      <c r="K297" s="126">
        <f t="shared" si="24"/>
        <v>0.3395833333</v>
      </c>
      <c r="L297" s="127" t="str">
        <f t="shared" si="23"/>
        <v>✅ Finalizado</v>
      </c>
      <c r="M297" s="110"/>
      <c r="N297" s="110"/>
    </row>
    <row r="298" ht="21.75" customHeight="1">
      <c r="A298" s="111">
        <f>292</f>
        <v>292</v>
      </c>
      <c r="B298" s="112" t="s">
        <v>460</v>
      </c>
      <c r="C298" s="143" t="str">
        <f t="array" ref="C298">IF(B298="","",IFERROR(INDEX('FUNCIONÁRIOS'!$B$4:$B$501,MATCH(B298,'FUNCIONÁRIOS'!$C$4:$C$501,0)),""))</f>
        <v>PIZZA GYN</v>
      </c>
      <c r="D298" s="143" t="str">
        <f t="array" ref="D298">IF(B298="","",IFERROR(INDEX('FUNCIONÁRIOS'!$D$4:$D$501,MATCH(B298,'FUNCIONÁRIOS'!$C$4:$C$501,0)),""))</f>
        <v>Cordenador Técnico</v>
      </c>
      <c r="E298" s="113" t="str">
        <f t="array" ref="E298">IF(B298="","",IFERROR(INDEX('FUNCIONÁRIOS'!$E$4:$E$501,MATCH(B298,'FUNCIONÁRIOS'!$C$4:$C$501,0)),""))</f>
        <v>SIM</v>
      </c>
      <c r="F298" s="138">
        <v>46165.0</v>
      </c>
      <c r="G298" s="115" t="str">
        <f t="shared" si="20"/>
        <v>✅ 09:51</v>
      </c>
      <c r="H298" s="121">
        <v>0.41041666666666665</v>
      </c>
      <c r="I298" s="117" t="str">
        <f t="shared" si="21"/>
        <v>✅ 18:00</v>
      </c>
      <c r="J298" s="121">
        <v>0.75</v>
      </c>
      <c r="K298" s="126">
        <f t="shared" si="24"/>
        <v>0.3395833333</v>
      </c>
      <c r="L298" s="127" t="str">
        <f t="shared" si="23"/>
        <v>✅ Finalizado</v>
      </c>
      <c r="M298" s="110"/>
      <c r="N298" s="110"/>
    </row>
    <row r="299" ht="21.75" customHeight="1">
      <c r="A299" s="111">
        <f>293</f>
        <v>293</v>
      </c>
      <c r="B299" s="112" t="s">
        <v>488</v>
      </c>
      <c r="C299" s="144" t="str">
        <f t="array" ref="C299">IF(B299="","",IFERROR(INDEX('FUNCIONÁRIOS'!$B$4:$B$501,MATCH(B299,'FUNCIONÁRIOS'!$C$4:$C$501,0)),""))</f>
        <v>EL SHADDAI</v>
      </c>
      <c r="D299" s="144" t="str">
        <f t="array" ref="D299">IF(B299="","",IFERROR(INDEX('FUNCIONÁRIOS'!$D$4:$D$501,MATCH(B299,'FUNCIONÁRIOS'!$C$4:$C$501,0)),""))</f>
        <v>Montador</v>
      </c>
      <c r="E299" s="123" t="str">
        <f t="array" ref="E299">IF(B299="","",IFERROR(INDEX('FUNCIONÁRIOS'!$E$4:$E$501,MATCH(B299,'FUNCIONÁRIOS'!$C$4:$C$501,0)),""))</f>
        <v>NÃO</v>
      </c>
      <c r="F299" s="138">
        <v>46165.0</v>
      </c>
      <c r="G299" s="115" t="str">
        <f t="shared" si="20"/>
        <v>✅ 10:00</v>
      </c>
      <c r="H299" s="121">
        <v>0.4166666666666667</v>
      </c>
      <c r="I299" s="117" t="str">
        <f t="shared" si="21"/>
        <v>✅ 18:00</v>
      </c>
      <c r="J299" s="121">
        <v>0.75</v>
      </c>
      <c r="K299" s="126">
        <f t="shared" si="24"/>
        <v>0.3333333333</v>
      </c>
      <c r="L299" s="127" t="str">
        <f t="shared" si="23"/>
        <v>✅ Finalizado</v>
      </c>
      <c r="M299" s="110"/>
      <c r="N299" s="110"/>
    </row>
    <row r="300" ht="21.75" customHeight="1">
      <c r="A300" s="111">
        <f>294</f>
        <v>294</v>
      </c>
      <c r="B300" s="112" t="s">
        <v>500</v>
      </c>
      <c r="C300" s="143" t="str">
        <f t="array" ref="C300">IF(B300="","",IFERROR(INDEX('FUNCIONÁRIOS'!$B$4:$B$501,MATCH(B300,'FUNCIONÁRIOS'!$C$4:$C$501,0)),""))</f>
        <v>GO TO </v>
      </c>
      <c r="D300" s="143" t="str">
        <f t="array" ref="D300">IF(B300="","",IFERROR(INDEX('FUNCIONÁRIOS'!$D$4:$D$501,MATCH(B300,'FUNCIONÁRIOS'!$C$4:$C$501,0)),""))</f>
        <v>Serralheiro</v>
      </c>
      <c r="E300" s="113" t="str">
        <f t="array" ref="E300">IF(B300="","",IFERROR(INDEX('FUNCIONÁRIOS'!$E$4:$E$501,MATCH(B300,'FUNCIONÁRIOS'!$C$4:$C$501,0)),""))</f>
        <v>NÃO</v>
      </c>
      <c r="F300" s="138">
        <v>46165.0</v>
      </c>
      <c r="G300" s="115" t="str">
        <f t="shared" si="20"/>
        <v>✅ 10:00</v>
      </c>
      <c r="H300" s="121">
        <v>0.4166666666666667</v>
      </c>
      <c r="I300" s="117" t="str">
        <f t="shared" si="21"/>
        <v>✅ 18:43</v>
      </c>
      <c r="J300" s="121">
        <v>0.7798611111111111</v>
      </c>
      <c r="K300" s="126">
        <f t="shared" si="24"/>
        <v>0.3631944444</v>
      </c>
      <c r="L300" s="127" t="str">
        <f t="shared" si="23"/>
        <v>✅ Finalizado</v>
      </c>
      <c r="M300" s="110"/>
      <c r="N300" s="110"/>
    </row>
    <row r="301" ht="21.75" customHeight="1">
      <c r="A301" s="111">
        <f>295</f>
        <v>295</v>
      </c>
      <c r="B301" s="112" t="s">
        <v>498</v>
      </c>
      <c r="C301" s="144" t="str">
        <f t="array" ref="C301">IF(B301="","",IFERROR(INDEX('FUNCIONÁRIOS'!$B$4:$B$501,MATCH(B301,'FUNCIONÁRIOS'!$C$4:$C$501,0)),""))</f>
        <v>SHOWNEWS</v>
      </c>
      <c r="D301" s="144" t="str">
        <f t="array" ref="D301">IF(B301="","",IFERROR(INDEX('FUNCIONÁRIOS'!$D$4:$D$501,MATCH(B301,'FUNCIONÁRIOS'!$C$4:$C$501,0)),""))</f>
        <v>Montador</v>
      </c>
      <c r="E301" s="123" t="str">
        <f t="array" ref="E301">IF(B301="","",IFERROR(INDEX('FUNCIONÁRIOS'!$E$4:$E$501,MATCH(B301,'FUNCIONÁRIOS'!$C$4:$C$501,0)),""))</f>
        <v>NÃO</v>
      </c>
      <c r="F301" s="138">
        <v>46165.0</v>
      </c>
      <c r="G301" s="115" t="str">
        <f t="shared" si="20"/>
        <v>✅ 10:00</v>
      </c>
      <c r="H301" s="121">
        <v>0.4166666666666667</v>
      </c>
      <c r="I301" s="117" t="str">
        <f t="shared" si="21"/>
        <v>✅ 16:43</v>
      </c>
      <c r="J301" s="121">
        <v>0.6965277777777777</v>
      </c>
      <c r="K301" s="126">
        <f t="shared" si="24"/>
        <v>0.2798611111</v>
      </c>
      <c r="L301" s="127" t="str">
        <f t="shared" si="23"/>
        <v>✅ Finalizado</v>
      </c>
      <c r="M301" s="110"/>
      <c r="N301" s="110"/>
    </row>
    <row r="302" ht="21.75" customHeight="1">
      <c r="A302" s="111">
        <f>296</f>
        <v>296</v>
      </c>
      <c r="B302" s="112" t="s">
        <v>503</v>
      </c>
      <c r="C302" s="143" t="str">
        <f t="array" ref="C302">IF(B302="","",IFERROR(INDEX('FUNCIONÁRIOS'!$B$4:$B$501,MATCH(B302,'FUNCIONÁRIOS'!$C$4:$C$501,0)),""))</f>
        <v>GO TO </v>
      </c>
      <c r="D302" s="143" t="str">
        <f t="array" ref="D302">IF(B302="","",IFERROR(INDEX('FUNCIONÁRIOS'!$D$4:$D$501,MATCH(B302,'FUNCIONÁRIOS'!$C$4:$C$501,0)),""))</f>
        <v>Serralheiro</v>
      </c>
      <c r="E302" s="113" t="str">
        <f t="array" ref="E302">IF(B302="","",IFERROR(INDEX('FUNCIONÁRIOS'!$E$4:$E$501,MATCH(B302,'FUNCIONÁRIOS'!$C$4:$C$501,0)),""))</f>
        <v>NÃO</v>
      </c>
      <c r="F302" s="138">
        <v>46165.0</v>
      </c>
      <c r="G302" s="115" t="str">
        <f t="shared" si="20"/>
        <v>✅ 10:00</v>
      </c>
      <c r="H302" s="121">
        <v>0.4166666666666667</v>
      </c>
      <c r="I302" s="117" t="str">
        <f t="shared" si="21"/>
        <v>✅ 18:43</v>
      </c>
      <c r="J302" s="121">
        <v>0.7798611111111111</v>
      </c>
      <c r="K302" s="126">
        <f t="shared" si="24"/>
        <v>0.3631944444</v>
      </c>
      <c r="L302" s="127" t="str">
        <f t="shared" si="23"/>
        <v>✅ Finalizado</v>
      </c>
      <c r="M302" s="110"/>
      <c r="N302" s="110"/>
    </row>
    <row r="303" ht="21.75" customHeight="1">
      <c r="A303" s="111">
        <f>297</f>
        <v>297</v>
      </c>
      <c r="B303" s="112" t="s">
        <v>505</v>
      </c>
      <c r="C303" s="144" t="str">
        <f t="array" ref="C303">IF(B303="","",IFERROR(INDEX('FUNCIONÁRIOS'!$B$4:$B$501,MATCH(B303,'FUNCIONÁRIOS'!$C$4:$C$501,0)),""))</f>
        <v>GO TO </v>
      </c>
      <c r="D303" s="144" t="str">
        <f t="array" ref="D303">IF(B303="","",IFERROR(INDEX('FUNCIONÁRIOS'!$D$4:$D$501,MATCH(B303,'FUNCIONÁRIOS'!$C$4:$C$501,0)),""))</f>
        <v>Auxiliar de Serralheiro</v>
      </c>
      <c r="E303" s="123" t="str">
        <f t="array" ref="E303">IF(B303="","",IFERROR(INDEX('FUNCIONÁRIOS'!$E$4:$E$501,MATCH(B303,'FUNCIONÁRIOS'!$C$4:$C$501,0)),""))</f>
        <v>NÃO</v>
      </c>
      <c r="F303" s="138">
        <v>46165.0</v>
      </c>
      <c r="G303" s="115" t="str">
        <f t="shared" si="20"/>
        <v>✅ 10:00</v>
      </c>
      <c r="H303" s="121">
        <v>0.4166666666666667</v>
      </c>
      <c r="I303" s="117" t="str">
        <f t="shared" si="21"/>
        <v>✅ 18:00</v>
      </c>
      <c r="J303" s="121">
        <v>0.75</v>
      </c>
      <c r="K303" s="126">
        <f t="shared" si="24"/>
        <v>0.3333333333</v>
      </c>
      <c r="L303" s="127" t="str">
        <f t="shared" si="23"/>
        <v>✅ Finalizado</v>
      </c>
      <c r="M303" s="110"/>
      <c r="N303" s="110"/>
    </row>
    <row r="304" ht="21.75" customHeight="1">
      <c r="A304" s="111">
        <f>298</f>
        <v>298</v>
      </c>
      <c r="B304" s="112" t="s">
        <v>475</v>
      </c>
      <c r="C304" s="143" t="str">
        <f t="array" ref="C304">IF(B304="","",IFERROR(INDEX('FUNCIONÁRIOS'!$B$4:$B$501,MATCH(B304,'FUNCIONÁRIOS'!$C$4:$C$501,0)),""))</f>
        <v>POPCORN E BENDITO MILHO</v>
      </c>
      <c r="D304" s="143" t="str">
        <f t="array" ref="D304">IF(B304="","",IFERROR(INDEX('FUNCIONÁRIOS'!$D$4:$D$501,MATCH(B304,'FUNCIONÁRIOS'!$C$4:$C$501,0)),""))</f>
        <v>cordenadora</v>
      </c>
      <c r="E304" s="113" t="str">
        <f t="array" ref="E304">IF(B304="","",IFERROR(INDEX('FUNCIONÁRIOS'!$E$4:$E$501,MATCH(B304,'FUNCIONÁRIOS'!$C$4:$C$501,0)),""))</f>
        <v>SIM</v>
      </c>
      <c r="F304" s="166">
        <v>46165.0</v>
      </c>
      <c r="G304" s="115" t="str">
        <f t="shared" si="20"/>
        <v>✅ 10:21</v>
      </c>
      <c r="H304" s="121">
        <v>0.43125</v>
      </c>
      <c r="I304" s="117" t="str">
        <f t="shared" si="21"/>
        <v>✅ 11:04</v>
      </c>
      <c r="J304" s="121">
        <v>0.46111111111111114</v>
      </c>
      <c r="K304" s="126">
        <f t="shared" si="24"/>
        <v>0.02986111111</v>
      </c>
      <c r="L304" s="127" t="str">
        <f t="shared" si="23"/>
        <v>✅ Finalizado</v>
      </c>
      <c r="M304" s="110"/>
      <c r="N304" s="110"/>
    </row>
    <row r="305" ht="21.75" customHeight="1">
      <c r="A305" s="111">
        <f>299</f>
        <v>299</v>
      </c>
      <c r="B305" s="112" t="s">
        <v>478</v>
      </c>
      <c r="C305" s="144" t="str">
        <f t="array" ref="C305">IF(B305="","",IFERROR(INDEX('FUNCIONÁRIOS'!$B$4:$B$501,MATCH(B305,'FUNCIONÁRIOS'!$C$4:$C$501,0)),""))</f>
        <v>POPCORN E BENDITO MILHO</v>
      </c>
      <c r="D305" s="144" t="str">
        <f t="array" ref="D305">IF(B305="","",IFERROR(INDEX('FUNCIONÁRIOS'!$D$4:$D$501,MATCH(B305,'FUNCIONÁRIOS'!$C$4:$C$501,0)),""))</f>
        <v>cordenador</v>
      </c>
      <c r="E305" s="123" t="str">
        <f t="array" ref="E305">IF(B305="","",IFERROR(INDEX('FUNCIONÁRIOS'!$E$4:$E$501,MATCH(B305,'FUNCIONÁRIOS'!$C$4:$C$501,0)),""))</f>
        <v>SIM</v>
      </c>
      <c r="F305" s="138">
        <v>46165.0</v>
      </c>
      <c r="G305" s="115" t="str">
        <f t="shared" si="20"/>
        <v>✅ 10:21</v>
      </c>
      <c r="H305" s="121">
        <v>0.43125</v>
      </c>
      <c r="I305" s="117" t="str">
        <f t="shared" si="21"/>
        <v>✅ 11:04</v>
      </c>
      <c r="J305" s="121">
        <v>0.46111111111111114</v>
      </c>
      <c r="K305" s="126">
        <f t="shared" si="24"/>
        <v>0.02986111111</v>
      </c>
      <c r="L305" s="127" t="str">
        <f t="shared" si="23"/>
        <v>✅ Finalizado</v>
      </c>
      <c r="M305" s="110"/>
      <c r="N305" s="110"/>
    </row>
    <row r="306" ht="21.75" customHeight="1">
      <c r="A306" s="111">
        <f>300</f>
        <v>300</v>
      </c>
      <c r="B306" s="112" t="s">
        <v>386</v>
      </c>
      <c r="C306" s="143" t="str">
        <f t="array" ref="C306">IF(B306="","",IFERROR(INDEX('FUNCIONÁRIOS'!$B$4:$B$501,MATCH(B306,'FUNCIONÁRIOS'!$C$4:$C$501,0)),""))</f>
        <v>GO TO </v>
      </c>
      <c r="D306" s="143" t="str">
        <f t="array" ref="D306">IF(B306="","",IFERROR(INDEX('FUNCIONÁRIOS'!$D$4:$D$501,MATCH(B306,'FUNCIONÁRIOS'!$C$4:$C$501,0)),""))</f>
        <v>MONTADOR</v>
      </c>
      <c r="E306" s="113" t="str">
        <f t="array" ref="E306">IF(B306="","",IFERROR(INDEX('FUNCIONÁRIOS'!$E$4:$E$501,MATCH(B306,'FUNCIONÁRIOS'!$C$4:$C$501,0)),""))</f>
        <v>NÃO</v>
      </c>
      <c r="F306" s="138">
        <v>46165.0</v>
      </c>
      <c r="G306" s="115" t="str">
        <f t="shared" si="20"/>
        <v>✅ 10:42</v>
      </c>
      <c r="H306" s="121">
        <v>0.44583333333333336</v>
      </c>
      <c r="I306" s="117" t="str">
        <f t="shared" si="21"/>
        <v>✅ 18:00</v>
      </c>
      <c r="J306" s="121">
        <v>0.75</v>
      </c>
      <c r="K306" s="126">
        <f t="shared" si="24"/>
        <v>0.3041666667</v>
      </c>
      <c r="L306" s="127" t="str">
        <f t="shared" si="23"/>
        <v>✅ Finalizado</v>
      </c>
      <c r="M306" s="110"/>
      <c r="N306" s="110"/>
    </row>
    <row r="307" ht="21.75" customHeight="1">
      <c r="A307" s="111">
        <f>301</f>
        <v>301</v>
      </c>
      <c r="B307" s="112" t="s">
        <v>364</v>
      </c>
      <c r="C307" s="144" t="str">
        <f t="array" ref="C307">IF(B307="","",IFERROR(INDEX('FUNCIONÁRIOS'!$B$4:$B$501,MATCH(B307,'FUNCIONÁRIOS'!$C$4:$C$501,0)),""))</f>
        <v>GO TO </v>
      </c>
      <c r="D307" s="144" t="str">
        <f t="array" ref="D307">IF(B307="","",IFERROR(INDEX('FUNCIONÁRIOS'!$D$4:$D$501,MATCH(B307,'FUNCIONÁRIOS'!$C$4:$C$501,0)),""))</f>
        <v>MONTADOR</v>
      </c>
      <c r="E307" s="123" t="str">
        <f t="array" ref="E307">IF(B307="","",IFERROR(INDEX('FUNCIONÁRIOS'!$E$4:$E$501,MATCH(B307,'FUNCIONÁRIOS'!$C$4:$C$501,0)),""))</f>
        <v>NÃO</v>
      </c>
      <c r="F307" s="138">
        <v>46165.0</v>
      </c>
      <c r="G307" s="115" t="str">
        <f t="shared" si="20"/>
        <v>✅ 10:44</v>
      </c>
      <c r="H307" s="121">
        <v>0.44722222222222224</v>
      </c>
      <c r="I307" s="117" t="str">
        <f t="shared" si="21"/>
        <v>✅ 18:00</v>
      </c>
      <c r="J307" s="121">
        <v>0.75</v>
      </c>
      <c r="K307" s="126">
        <f t="shared" si="24"/>
        <v>0.3027777778</v>
      </c>
      <c r="L307" s="127" t="str">
        <f t="shared" si="23"/>
        <v>✅ Finalizado</v>
      </c>
      <c r="M307" s="110"/>
      <c r="N307" s="110"/>
    </row>
    <row r="308" ht="21.75" customHeight="1">
      <c r="A308" s="111">
        <f>302</f>
        <v>302</v>
      </c>
      <c r="B308" s="112" t="s">
        <v>508</v>
      </c>
      <c r="C308" s="143" t="str">
        <f t="array" ref="C308">IF(B308="","",IFERROR(INDEX('FUNCIONÁRIOS'!$B$4:$B$501,MATCH(B308,'FUNCIONÁRIOS'!$C$4:$C$501,0)),""))</f>
        <v>GO TO </v>
      </c>
      <c r="D308" s="143" t="str">
        <f t="array" ref="D308">IF(B308="","",IFERROR(INDEX('FUNCIONÁRIOS'!$D$4:$D$501,MATCH(B308,'FUNCIONÁRIOS'!$C$4:$C$501,0)),""))</f>
        <v>Montaador</v>
      </c>
      <c r="E308" s="113" t="str">
        <f t="array" ref="E308">IF(B308="","",IFERROR(INDEX('FUNCIONÁRIOS'!$E$4:$E$501,MATCH(B308,'FUNCIONÁRIOS'!$C$4:$C$501,0)),""))</f>
        <v>NÃO</v>
      </c>
      <c r="F308" s="138">
        <v>46165.0</v>
      </c>
      <c r="G308" s="115" t="str">
        <f t="shared" si="20"/>
        <v>✅ 10:52</v>
      </c>
      <c r="H308" s="121">
        <v>0.4527777777777778</v>
      </c>
      <c r="I308" s="117" t="str">
        <f t="shared" si="21"/>
        <v>✅ 18:43</v>
      </c>
      <c r="J308" s="121">
        <v>0.7798611111111111</v>
      </c>
      <c r="K308" s="126">
        <f t="shared" si="24"/>
        <v>0.3270833333</v>
      </c>
      <c r="L308" s="127" t="str">
        <f t="shared" si="23"/>
        <v>✅ Finalizado</v>
      </c>
      <c r="M308" s="110"/>
      <c r="N308" s="110"/>
    </row>
    <row r="309" ht="21.75" customHeight="1">
      <c r="A309" s="111">
        <f>303</f>
        <v>303</v>
      </c>
      <c r="B309" s="112" t="s">
        <v>511</v>
      </c>
      <c r="C309" s="144" t="str">
        <f t="array" ref="C309">IF(B309="","",IFERROR(INDEX('FUNCIONÁRIOS'!$B$4:$B$501,MATCH(B309,'FUNCIONÁRIOS'!$C$4:$C$501,0)),""))</f>
        <v>GO TO </v>
      </c>
      <c r="D309" s="144" t="str">
        <f t="array" ref="D309">IF(B309="","",IFERROR(INDEX('FUNCIONÁRIOS'!$D$4:$D$501,MATCH(B309,'FUNCIONÁRIOS'!$C$4:$C$501,0)),""))</f>
        <v>Montador</v>
      </c>
      <c r="E309" s="123" t="str">
        <f t="array" ref="E309">IF(B309="","",IFERROR(INDEX('FUNCIONÁRIOS'!$E$4:$E$501,MATCH(B309,'FUNCIONÁRIOS'!$C$4:$C$501,0)),""))</f>
        <v>NÃO</v>
      </c>
      <c r="F309" s="138">
        <v>46165.0</v>
      </c>
      <c r="G309" s="115" t="str">
        <f t="shared" si="20"/>
        <v>✅ 10:52</v>
      </c>
      <c r="H309" s="121">
        <v>0.4527777777777778</v>
      </c>
      <c r="I309" s="117" t="str">
        <f t="shared" si="21"/>
        <v>✅ 18:43</v>
      </c>
      <c r="J309" s="121">
        <v>0.7798611111111111</v>
      </c>
      <c r="K309" s="126">
        <f t="shared" si="24"/>
        <v>0.3270833333</v>
      </c>
      <c r="L309" s="127" t="str">
        <f t="shared" si="23"/>
        <v>✅ Finalizado</v>
      </c>
      <c r="M309" s="110"/>
      <c r="N309" s="110"/>
    </row>
    <row r="310" ht="21.75" customHeight="1">
      <c r="A310" s="111">
        <f>304</f>
        <v>304</v>
      </c>
      <c r="B310" s="112" t="s">
        <v>513</v>
      </c>
      <c r="C310" s="143" t="str">
        <f t="array" ref="C310">IF(B310="","",IFERROR(INDEX('FUNCIONÁRIOS'!$B$4:$B$501,MATCH(B310,'FUNCIONÁRIOS'!$C$4:$C$501,0)),""))</f>
        <v>FABINHO EVENTOS </v>
      </c>
      <c r="D310" s="143" t="str">
        <f t="array" ref="D310">IF(B310="","",IFERROR(INDEX('FUNCIONÁRIOS'!$D$4:$D$501,MATCH(B310,'FUNCIONÁRIOS'!$C$4:$C$501,0)),""))</f>
        <v>cordenador</v>
      </c>
      <c r="E310" s="113" t="str">
        <f t="array" ref="E310">IF(B310="","",IFERROR(INDEX('FUNCIONÁRIOS'!$E$4:$E$501,MATCH(B310,'FUNCIONÁRIOS'!$C$4:$C$501,0)),""))</f>
        <v>SIM</v>
      </c>
      <c r="F310" s="138">
        <v>46165.0</v>
      </c>
      <c r="G310" s="115" t="str">
        <f t="shared" si="20"/>
        <v>✅ 11:24</v>
      </c>
      <c r="H310" s="121">
        <v>0.475</v>
      </c>
      <c r="I310" s="117" t="str">
        <f t="shared" si="21"/>
        <v>✅ 12:21</v>
      </c>
      <c r="J310" s="121">
        <v>0.5145833333333333</v>
      </c>
      <c r="K310" s="126">
        <f t="shared" si="24"/>
        <v>0.03958333333</v>
      </c>
      <c r="L310" s="127" t="str">
        <f t="shared" si="23"/>
        <v>✅ Finalizado</v>
      </c>
      <c r="M310" s="110"/>
      <c r="N310" s="110"/>
    </row>
    <row r="311" ht="21.75" customHeight="1">
      <c r="A311" s="111">
        <f>305</f>
        <v>305</v>
      </c>
      <c r="B311" s="112" t="s">
        <v>334</v>
      </c>
      <c r="C311" s="144" t="str">
        <f t="array" ref="C311">IF(B311="","",IFERROR(INDEX('FUNCIONÁRIOS'!$B$4:$B$501,MATCH(B311,'FUNCIONÁRIOS'!$C$4:$C$501,0)),""))</f>
        <v>GO TO </v>
      </c>
      <c r="D311" s="144" t="str">
        <f t="array" ref="D311">IF(B311="","",IFERROR(INDEX('FUNCIONÁRIOS'!$D$4:$D$501,MATCH(B311,'FUNCIONÁRIOS'!$C$4:$C$501,0)),""))</f>
        <v>motorista</v>
      </c>
      <c r="E311" s="123" t="str">
        <f t="array" ref="E311">IF(B311="","",IFERROR(INDEX('FUNCIONÁRIOS'!$E$4:$E$501,MATCH(B311,'FUNCIONÁRIOS'!$C$4:$C$501,0)),""))</f>
        <v>NÃO</v>
      </c>
      <c r="F311" s="138">
        <v>46165.0</v>
      </c>
      <c r="G311" s="115" t="str">
        <f t="shared" si="20"/>
        <v>✅ 12:24</v>
      </c>
      <c r="H311" s="121">
        <v>0.5166666666666667</v>
      </c>
      <c r="I311" s="117" t="str">
        <f t="shared" si="21"/>
        <v>✅ 18:00</v>
      </c>
      <c r="J311" s="121">
        <v>0.75</v>
      </c>
      <c r="K311" s="126">
        <f t="shared" si="24"/>
        <v>0.2333333333</v>
      </c>
      <c r="L311" s="127" t="str">
        <f t="shared" si="23"/>
        <v>✅ Finalizado</v>
      </c>
      <c r="M311" s="110"/>
      <c r="N311" s="110"/>
    </row>
    <row r="312" ht="21.75" customHeight="1">
      <c r="A312" s="111">
        <f>306</f>
        <v>306</v>
      </c>
      <c r="B312" s="112" t="s">
        <v>515</v>
      </c>
      <c r="C312" s="143" t="str">
        <f t="array" ref="C312">IF(B312="","",IFERROR(INDEX('FUNCIONÁRIOS'!$B$4:$B$501,MATCH(B312,'FUNCIONÁRIOS'!$C$4:$C$501,0)),""))</f>
        <v>CALAI CHURROS</v>
      </c>
      <c r="D312" s="143" t="str">
        <f t="array" ref="D312">IF(B312="","",IFERROR(INDEX('FUNCIONÁRIOS'!$D$4:$D$501,MATCH(B312,'FUNCIONÁRIOS'!$C$4:$C$501,0)),""))</f>
        <v>cordenador</v>
      </c>
      <c r="E312" s="113" t="str">
        <f t="array" ref="E312">IF(B312="","",IFERROR(INDEX('FUNCIONÁRIOS'!$E$4:$E$501,MATCH(B312,'FUNCIONÁRIOS'!$C$4:$C$501,0)),""))</f>
        <v>SIM</v>
      </c>
      <c r="F312" s="138">
        <v>46165.0</v>
      </c>
      <c r="G312" s="115" t="str">
        <f t="shared" si="20"/>
        <v>✅ 12:56</v>
      </c>
      <c r="H312" s="121">
        <v>0.5388888888888889</v>
      </c>
      <c r="I312" s="117" t="str">
        <f t="shared" si="21"/>
        <v>✅ 18:00</v>
      </c>
      <c r="J312" s="121">
        <v>0.75</v>
      </c>
      <c r="K312" s="126">
        <f t="shared" si="24"/>
        <v>0.2111111111</v>
      </c>
      <c r="L312" s="127" t="str">
        <f t="shared" si="23"/>
        <v>✅ Finalizado</v>
      </c>
      <c r="M312" s="110"/>
      <c r="N312" s="110"/>
    </row>
    <row r="313" ht="21.75" customHeight="1">
      <c r="A313" s="111">
        <f>307</f>
        <v>307</v>
      </c>
      <c r="B313" s="112" t="s">
        <v>519</v>
      </c>
      <c r="C313" s="144" t="str">
        <f t="array" ref="C313">IF(B313="","",IFERROR(INDEX('FUNCIONÁRIOS'!$B$4:$B$501,MATCH(B313,'FUNCIONÁRIOS'!$C$4:$C$501,0)),""))</f>
        <v>DORORÔ</v>
      </c>
      <c r="D313" s="144" t="str">
        <f t="array" ref="D313">IF(B313="","",IFERROR(INDEX('FUNCIONÁRIOS'!$D$4:$D$501,MATCH(B313,'FUNCIONÁRIOS'!$C$4:$C$501,0)),""))</f>
        <v>cordenador</v>
      </c>
      <c r="E313" s="123" t="str">
        <f t="array" ref="E313">IF(B313="","",IFERROR(INDEX('FUNCIONÁRIOS'!$E$4:$E$501,MATCH(B313,'FUNCIONÁRIOS'!$C$4:$C$501,0)),""))</f>
        <v>SIM</v>
      </c>
      <c r="F313" s="138">
        <v>46165.0</v>
      </c>
      <c r="G313" s="115" t="str">
        <f t="shared" si="20"/>
        <v>✅ 13:52</v>
      </c>
      <c r="H313" s="121">
        <v>0.5777777777777777</v>
      </c>
      <c r="I313" s="117" t="str">
        <f t="shared" si="21"/>
        <v>✅ 15:20</v>
      </c>
      <c r="J313" s="121">
        <v>0.6388888888888888</v>
      </c>
      <c r="K313" s="126">
        <f t="shared" si="24"/>
        <v>0.06111111111</v>
      </c>
      <c r="L313" s="127" t="str">
        <f t="shared" si="23"/>
        <v>✅ Finalizado</v>
      </c>
      <c r="M313" s="110"/>
      <c r="N313" s="110"/>
    </row>
    <row r="314" ht="21.75" customHeight="1">
      <c r="A314" s="111">
        <f>308</f>
        <v>308</v>
      </c>
      <c r="B314" s="112" t="s">
        <v>517</v>
      </c>
      <c r="C314" s="143" t="str">
        <f t="array" ref="C314">IF(B314="","",IFERROR(INDEX('FUNCIONÁRIOS'!$B$4:$B$501,MATCH(B314,'FUNCIONÁRIOS'!$C$4:$C$501,0)),""))</f>
        <v>DORORÔ</v>
      </c>
      <c r="D314" s="143" t="str">
        <f t="array" ref="D314">IF(B314="","",IFERROR(INDEX('FUNCIONÁRIOS'!$D$4:$D$501,MATCH(B314,'FUNCIONÁRIOS'!$C$4:$C$501,0)),""))</f>
        <v>cordenador</v>
      </c>
      <c r="E314" s="113" t="str">
        <f t="array" ref="E314">IF(B314="","",IFERROR(INDEX('FUNCIONÁRIOS'!$E$4:$E$501,MATCH(B314,'FUNCIONÁRIOS'!$C$4:$C$501,0)),""))</f>
        <v>SIM</v>
      </c>
      <c r="F314" s="138">
        <v>46165.0</v>
      </c>
      <c r="G314" s="115" t="str">
        <f t="shared" si="20"/>
        <v>✅ 13:52</v>
      </c>
      <c r="H314" s="121">
        <v>0.5777777777777777</v>
      </c>
      <c r="I314" s="117" t="str">
        <f t="shared" si="21"/>
        <v>✅ 15:20</v>
      </c>
      <c r="J314" s="121">
        <v>0.6388888888888888</v>
      </c>
      <c r="K314" s="126">
        <f t="shared" si="24"/>
        <v>0.06111111111</v>
      </c>
      <c r="L314" s="127" t="str">
        <f t="shared" si="23"/>
        <v>✅ Finalizado</v>
      </c>
      <c r="M314" s="110"/>
      <c r="N314" s="110"/>
    </row>
    <row r="315" ht="21.75" customHeight="1">
      <c r="A315" s="111">
        <f>309</f>
        <v>309</v>
      </c>
      <c r="B315" s="112" t="s">
        <v>131</v>
      </c>
      <c r="C315" s="144" t="str">
        <f t="array" ref="C315">IF(B315="","",IFERROR(INDEX('FUNCIONÁRIOS'!$B$4:$B$501,MATCH(B315,'FUNCIONÁRIOS'!$C$4:$C$501,0)),""))</f>
        <v>TJ SERVIÇOS</v>
      </c>
      <c r="D315" s="144" t="str">
        <f t="array" ref="D315">IF(B315="","",IFERROR(INDEX('FUNCIONÁRIOS'!$D$4:$D$501,MATCH(B315,'FUNCIONÁRIOS'!$C$4:$C$501,0)),""))</f>
        <v>COORDENADOR/CEO</v>
      </c>
      <c r="E315" s="123" t="str">
        <f t="array" ref="E315">IF(B315="","",IFERROR(INDEX('FUNCIONÁRIOS'!$E$4:$E$501,MATCH(B315,'FUNCIONÁRIOS'!$C$4:$C$501,0)),""))</f>
        <v>SIM</v>
      </c>
      <c r="F315" s="138">
        <v>46165.0</v>
      </c>
      <c r="G315" s="115" t="str">
        <f t="shared" si="20"/>
        <v>✅ 17:08</v>
      </c>
      <c r="H315" s="121">
        <v>0.7138888888888889</v>
      </c>
      <c r="I315" s="117" t="str">
        <f t="shared" si="21"/>
        <v>✅ 18:50</v>
      </c>
      <c r="J315" s="121">
        <v>0.7847222222222222</v>
      </c>
      <c r="K315" s="126">
        <f t="shared" si="24"/>
        <v>0.07083333333</v>
      </c>
      <c r="L315" s="127" t="str">
        <f t="shared" si="23"/>
        <v>✅ Finalizado</v>
      </c>
      <c r="M315" s="110"/>
      <c r="N315" s="110"/>
    </row>
    <row r="316" ht="21.75" customHeight="1">
      <c r="A316" s="111">
        <f>310</f>
        <v>310</v>
      </c>
      <c r="B316" s="112" t="s">
        <v>182</v>
      </c>
      <c r="C316" s="143" t="str">
        <f t="array" ref="C316">IF(B316="","",IFERROR(INDEX('FUNCIONÁRIOS'!$B$4:$B$501,MATCH(B316,'FUNCIONÁRIOS'!$C$4:$C$501,0)),""))</f>
        <v>TJ SERVIÇOS</v>
      </c>
      <c r="D316" s="143" t="str">
        <f t="array" ref="D316">IF(B316="","",IFERROR(INDEX('FUNCIONÁRIOS'!$D$4:$D$501,MATCH(B316,'FUNCIONÁRIOS'!$C$4:$C$501,0)),""))</f>
        <v>COORDENADOR/CEO</v>
      </c>
      <c r="E316" s="113" t="str">
        <f t="array" ref="E316">IF(B316="","",IFERROR(INDEX('FUNCIONÁRIOS'!$E$4:$E$501,MATCH(B316,'FUNCIONÁRIOS'!$C$4:$C$501,0)),""))</f>
        <v>SIM</v>
      </c>
      <c r="F316" s="138">
        <v>46165.0</v>
      </c>
      <c r="G316" s="115" t="str">
        <f t="shared" si="20"/>
        <v>✅ 17:08</v>
      </c>
      <c r="H316" s="121">
        <v>0.7138888888888889</v>
      </c>
      <c r="I316" s="117" t="str">
        <f t="shared" si="21"/>
        <v>✅ 18:50</v>
      </c>
      <c r="J316" s="121">
        <v>0.7847222222222222</v>
      </c>
      <c r="K316" s="126">
        <f t="shared" si="24"/>
        <v>0.07083333333</v>
      </c>
      <c r="L316" s="127" t="str">
        <f t="shared" si="23"/>
        <v>✅ Finalizado</v>
      </c>
      <c r="M316" s="110"/>
      <c r="N316" s="110"/>
    </row>
    <row r="317" ht="21.75" customHeight="1">
      <c r="A317" s="167"/>
      <c r="B317" s="128"/>
      <c r="C317" s="140"/>
      <c r="D317" s="140"/>
      <c r="E317" s="130"/>
      <c r="F317" s="131"/>
      <c r="G317" s="132"/>
      <c r="H317" s="135"/>
      <c r="I317" s="134"/>
      <c r="J317" s="135"/>
      <c r="K317" s="147"/>
      <c r="L317" s="137"/>
      <c r="M317" s="110"/>
      <c r="N317" s="110"/>
    </row>
    <row r="318" ht="21.75" customHeight="1">
      <c r="A318" s="111">
        <f>311</f>
        <v>311</v>
      </c>
      <c r="B318" s="112" t="s">
        <v>350</v>
      </c>
      <c r="C318" s="144" t="str">
        <f t="array" ref="C318">IF(B318="","",IFERROR(INDEX('FUNCIONÁRIOS'!$B$4:$B$501,MATCH(B318,'FUNCIONÁRIOS'!$C$4:$C$501,0)),""))</f>
        <v>GO TO </v>
      </c>
      <c r="D318" s="144" t="str">
        <f t="array" ref="D318">IF(B318="","",IFERROR(INDEX('FUNCIONÁRIOS'!$D$4:$D$501,MATCH(B318,'FUNCIONÁRIOS'!$C$4:$C$501,0)),""))</f>
        <v>MONTADOR</v>
      </c>
      <c r="E318" s="123" t="str">
        <f t="array" ref="E318">IF(B318="","",IFERROR(INDEX('FUNCIONÁRIOS'!$E$4:$E$501,MATCH(B318,'FUNCIONÁRIOS'!$C$4:$C$501,0)),""))</f>
        <v>NÃO</v>
      </c>
      <c r="F318" s="138">
        <v>46166.0</v>
      </c>
      <c r="G318" s="115" t="str">
        <f t="shared" ref="G318:G357" si="25">IF(H318&lt;&gt;"","✅ "&amp;TEXT(H318,"HH:MM"),"→ Selecione a linha e use o menu ⏱️ Ponto")</f>
        <v>✅ 07:54</v>
      </c>
      <c r="H318" s="121">
        <v>0.32916666666666666</v>
      </c>
      <c r="I318" s="117" t="str">
        <f t="shared" ref="I318:I357" si="26">IF(J318&lt;&gt;"","✅ "&amp;TEXT(J318,"HH:MM"),"→ Selecione a linha e use o menu ⏱️ Ponto")</f>
        <v>✅ 14:52</v>
      </c>
      <c r="J318" s="121">
        <v>0.6194444444444445</v>
      </c>
      <c r="K318" s="126">
        <f t="shared" ref="K318:K357" si="27">IF(AND(H318&lt;&gt;"",J318&lt;&gt;""),J318-H318,"")</f>
        <v>0.2902777778</v>
      </c>
      <c r="L318" s="127" t="str">
        <f t="shared" ref="L318:L357" si="28">IF(AND(H318&lt;&gt;"",J318=""),"🟢 No Evento",IF(AND(H318&lt;&gt;"",J318&lt;&gt;""),"✅ Finalizado",IF(B318&lt;&gt;"","⏳ Não entrou","")))</f>
        <v>✅ Finalizado</v>
      </c>
      <c r="M318" s="110"/>
      <c r="N318" s="110"/>
    </row>
    <row r="319" ht="21.75" customHeight="1">
      <c r="A319" s="111">
        <f>312</f>
        <v>312</v>
      </c>
      <c r="B319" s="112" t="s">
        <v>436</v>
      </c>
      <c r="C319" s="143" t="str">
        <f t="array" ref="C319">IF(B319="","",IFERROR(INDEX('FUNCIONÁRIOS'!$B$4:$B$501,MATCH(B319,'FUNCIONÁRIOS'!$C$4:$C$501,0)),""))</f>
        <v>SHOWNEWS</v>
      </c>
      <c r="D319" s="143" t="str">
        <f t="array" ref="D319">IF(B319="","",IFERROR(INDEX('FUNCIONÁRIOS'!$D$4:$D$501,MATCH(B319,'FUNCIONÁRIOS'!$C$4:$C$501,0)),""))</f>
        <v>Montador</v>
      </c>
      <c r="E319" s="113" t="str">
        <f t="array" ref="E319">IF(B319="","",IFERROR(INDEX('FUNCIONÁRIOS'!$E$4:$E$501,MATCH(B319,'FUNCIONÁRIOS'!$C$4:$C$501,0)),""))</f>
        <v>NÃO</v>
      </c>
      <c r="F319" s="138">
        <v>46166.0</v>
      </c>
      <c r="G319" s="115" t="str">
        <f t="shared" si="25"/>
        <v>✅ 07:54</v>
      </c>
      <c r="H319" s="121">
        <v>0.32916666666666666</v>
      </c>
      <c r="I319" s="117" t="str">
        <f t="shared" si="26"/>
        <v>✅ 16:14</v>
      </c>
      <c r="J319" s="121">
        <v>0.6763888888888889</v>
      </c>
      <c r="K319" s="126">
        <f t="shared" si="27"/>
        <v>0.3472222222</v>
      </c>
      <c r="L319" s="127" t="str">
        <f t="shared" si="28"/>
        <v>✅ Finalizado</v>
      </c>
      <c r="M319" s="110"/>
      <c r="N319" s="110"/>
    </row>
    <row r="320" ht="21.75" customHeight="1">
      <c r="A320" s="111">
        <f>313</f>
        <v>313</v>
      </c>
      <c r="B320" s="112" t="s">
        <v>434</v>
      </c>
      <c r="C320" s="144" t="str">
        <f t="array" ref="C320">IF(B320="","",IFERROR(INDEX('FUNCIONÁRIOS'!$B$4:$B$501,MATCH(B320,'FUNCIONÁRIOS'!$C$4:$C$501,0)),""))</f>
        <v>SHOWNEWS</v>
      </c>
      <c r="D320" s="144" t="str">
        <f t="array" ref="D320">IF(B320="","",IFERROR(INDEX('FUNCIONÁRIOS'!$D$4:$D$501,MATCH(B320,'FUNCIONÁRIOS'!$C$4:$C$501,0)),""))</f>
        <v>Montador</v>
      </c>
      <c r="E320" s="123" t="str">
        <f t="array" ref="E320">IF(B320="","",IFERROR(INDEX('FUNCIONÁRIOS'!$E$4:$E$501,MATCH(B320,'FUNCIONÁRIOS'!$C$4:$C$501,0)),""))</f>
        <v>NÃO</v>
      </c>
      <c r="F320" s="138">
        <v>46166.0</v>
      </c>
      <c r="G320" s="115" t="str">
        <f t="shared" si="25"/>
        <v>✅ 07:55</v>
      </c>
      <c r="H320" s="121">
        <v>0.3298611111111111</v>
      </c>
      <c r="I320" s="117" t="str">
        <f t="shared" si="26"/>
        <v>→ Selecione a linha e use o menu ⏱️ Ponto</v>
      </c>
      <c r="J320" s="168"/>
      <c r="K320" s="126" t="str">
        <f t="shared" si="27"/>
        <v/>
      </c>
      <c r="L320" s="127" t="str">
        <f t="shared" si="28"/>
        <v>🟢 No Evento</v>
      </c>
      <c r="M320" s="110"/>
      <c r="N320" s="110"/>
    </row>
    <row r="321" ht="21.75" customHeight="1">
      <c r="A321" s="111">
        <f>314</f>
        <v>314</v>
      </c>
      <c r="B321" s="112" t="s">
        <v>430</v>
      </c>
      <c r="C321" s="143" t="str">
        <f t="array" ref="C321">IF(B321="","",IFERROR(INDEX('FUNCIONÁRIOS'!$B$4:$B$501,MATCH(B321,'FUNCIONÁRIOS'!$C$4:$C$501,0)),""))</f>
        <v>SHOWNEWS</v>
      </c>
      <c r="D321" s="143" t="str">
        <f t="array" ref="D321">IF(B321="","",IFERROR(INDEX('FUNCIONÁRIOS'!$D$4:$D$501,MATCH(B321,'FUNCIONÁRIOS'!$C$4:$C$501,0)),""))</f>
        <v>Montador</v>
      </c>
      <c r="E321" s="113" t="str">
        <f t="array" ref="E321">IF(B321="","",IFERROR(INDEX('FUNCIONÁRIOS'!$E$4:$E$501,MATCH(B321,'FUNCIONÁRIOS'!$C$4:$C$501,0)),""))</f>
        <v>NÃO</v>
      </c>
      <c r="F321" s="138">
        <v>46166.0</v>
      </c>
      <c r="G321" s="115" t="str">
        <f t="shared" si="25"/>
        <v>✅ 07:55</v>
      </c>
      <c r="H321" s="121">
        <v>0.3298611111111111</v>
      </c>
      <c r="I321" s="117" t="str">
        <f t="shared" si="26"/>
        <v>✅ 16:16</v>
      </c>
      <c r="J321" s="121">
        <v>0.6777777777777778</v>
      </c>
      <c r="K321" s="126">
        <f t="shared" si="27"/>
        <v>0.3479166667</v>
      </c>
      <c r="L321" s="127" t="str">
        <f t="shared" si="28"/>
        <v>✅ Finalizado</v>
      </c>
      <c r="M321" s="110"/>
      <c r="N321" s="110"/>
    </row>
    <row r="322" ht="21.75" customHeight="1">
      <c r="A322" s="111">
        <f>315</f>
        <v>315</v>
      </c>
      <c r="B322" s="112" t="s">
        <v>438</v>
      </c>
      <c r="C322" s="144" t="str">
        <f t="array" ref="C322">IF(B322="","",IFERROR(INDEX('FUNCIONÁRIOS'!$B$4:$B$501,MATCH(B322,'FUNCIONÁRIOS'!$C$4:$C$501,0)),""))</f>
        <v>SHOWNEWS</v>
      </c>
      <c r="D322" s="144" t="str">
        <f t="array" ref="D322">IF(B322="","",IFERROR(INDEX('FUNCIONÁRIOS'!$D$4:$D$501,MATCH(B322,'FUNCIONÁRIOS'!$C$4:$C$501,0)),""))</f>
        <v>Montador</v>
      </c>
      <c r="E322" s="123" t="str">
        <f t="array" ref="E322">IF(B322="","",IFERROR(INDEX('FUNCIONÁRIOS'!$E$4:$E$501,MATCH(B322,'FUNCIONÁRIOS'!$C$4:$C$501,0)),""))</f>
        <v>NÃO</v>
      </c>
      <c r="F322" s="138">
        <v>46166.0</v>
      </c>
      <c r="G322" s="115" t="str">
        <f t="shared" si="25"/>
        <v>✅ 07:55</v>
      </c>
      <c r="H322" s="121">
        <v>0.3298611111111111</v>
      </c>
      <c r="I322" s="117" t="str">
        <f t="shared" si="26"/>
        <v>→ Selecione a linha e use o menu ⏱️ Ponto</v>
      </c>
      <c r="J322" s="121"/>
      <c r="K322" s="126" t="str">
        <f t="shared" si="27"/>
        <v/>
      </c>
      <c r="L322" s="127" t="str">
        <f t="shared" si="28"/>
        <v>🟢 No Evento</v>
      </c>
      <c r="M322" s="110"/>
      <c r="N322" s="110"/>
    </row>
    <row r="323" ht="21.75" customHeight="1">
      <c r="A323" s="111">
        <f>316</f>
        <v>316</v>
      </c>
      <c r="B323" s="112" t="s">
        <v>140</v>
      </c>
      <c r="C323" s="143" t="str">
        <f t="array" ref="C323">IF(B323="","",IFERROR(INDEX('FUNCIONÁRIOS'!$B$4:$B$501,MATCH(B323,'FUNCIONÁRIOS'!$C$4:$C$501,0)),""))</f>
        <v>BIGODE </v>
      </c>
      <c r="D323" s="143" t="str">
        <f t="array" ref="D323">IF(B323="","",IFERROR(INDEX('FUNCIONÁRIOS'!$D$4:$D$501,MATCH(B323,'FUNCIONÁRIOS'!$C$4:$C$501,0)),""))</f>
        <v>CONTROLE DE ACESSO</v>
      </c>
      <c r="E323" s="113" t="str">
        <f t="array" ref="E323">IF(B323="","",IFERROR(INDEX('FUNCIONÁRIOS'!$E$4:$E$501,MATCH(B323,'FUNCIONÁRIOS'!$C$4:$C$501,0)),""))</f>
        <v>NÃO</v>
      </c>
      <c r="F323" s="138">
        <v>46166.0</v>
      </c>
      <c r="G323" s="115" t="str">
        <f t="shared" si="25"/>
        <v>✅ 07:59</v>
      </c>
      <c r="H323" s="121">
        <v>0.3326388888888889</v>
      </c>
      <c r="I323" s="117" t="str">
        <f t="shared" si="26"/>
        <v>✅ 18:02</v>
      </c>
      <c r="J323" s="121">
        <v>0.7513888888888889</v>
      </c>
      <c r="K323" s="126">
        <f t="shared" si="27"/>
        <v>0.41875</v>
      </c>
      <c r="L323" s="127" t="str">
        <f t="shared" si="28"/>
        <v>✅ Finalizado</v>
      </c>
      <c r="M323" s="110"/>
      <c r="N323" s="110"/>
    </row>
    <row r="324" ht="21.75" customHeight="1">
      <c r="A324" s="111">
        <f>317</f>
        <v>317</v>
      </c>
      <c r="B324" s="112" t="s">
        <v>142</v>
      </c>
      <c r="C324" s="144" t="str">
        <f t="array" ref="C324">IF(B324="","",IFERROR(INDEX('FUNCIONÁRIOS'!$B$4:$B$501,MATCH(B324,'FUNCIONÁRIOS'!$C$4:$C$501,0)),""))</f>
        <v>BIGODE </v>
      </c>
      <c r="D324" s="144" t="str">
        <f t="array" ref="D324">IF(B324="","",IFERROR(INDEX('FUNCIONÁRIOS'!$D$4:$D$501,MATCH(B324,'FUNCIONÁRIOS'!$C$4:$C$501,0)),""))</f>
        <v>CONTROLE DE ACESSO</v>
      </c>
      <c r="E324" s="123" t="str">
        <f t="array" ref="E324">IF(B324="","",IFERROR(INDEX('FUNCIONÁRIOS'!$E$4:$E$501,MATCH(B324,'FUNCIONÁRIOS'!$C$4:$C$501,0)),""))</f>
        <v>NÃO</v>
      </c>
      <c r="F324" s="138">
        <v>46166.0</v>
      </c>
      <c r="G324" s="115" t="str">
        <f t="shared" si="25"/>
        <v>✅ 07:59</v>
      </c>
      <c r="H324" s="121">
        <v>0.3326388888888889</v>
      </c>
      <c r="I324" s="117" t="str">
        <f t="shared" si="26"/>
        <v>✅ 18:02</v>
      </c>
      <c r="J324" s="121">
        <v>0.7513888888888889</v>
      </c>
      <c r="K324" s="126">
        <f t="shared" si="27"/>
        <v>0.41875</v>
      </c>
      <c r="L324" s="127" t="str">
        <f t="shared" si="28"/>
        <v>✅ Finalizado</v>
      </c>
      <c r="M324" s="110"/>
      <c r="N324" s="110"/>
    </row>
    <row r="325" ht="21.75" customHeight="1">
      <c r="A325" s="111">
        <f>318</f>
        <v>318</v>
      </c>
      <c r="B325" s="112" t="s">
        <v>253</v>
      </c>
      <c r="C325" s="143" t="str">
        <f t="array" ref="C325">IF(B325="","",IFERROR(INDEX('FUNCIONÁRIOS'!$B$4:$B$501,MATCH(B325,'FUNCIONÁRIOS'!$C$4:$C$501,0)),""))</f>
        <v>BIGODE </v>
      </c>
      <c r="D325" s="143" t="str">
        <f t="array" ref="D325">IF(B325="","",IFERROR(INDEX('FUNCIONÁRIOS'!$D$4:$D$501,MATCH(B325,'FUNCIONÁRIOS'!$C$4:$C$501,0)),""))</f>
        <v>CONTROLE DE ACESSO</v>
      </c>
      <c r="E325" s="113" t="str">
        <f t="array" ref="E325">IF(B325="","",IFERROR(INDEX('FUNCIONÁRIOS'!$E$4:$E$501,MATCH(B325,'FUNCIONÁRIOS'!$C$4:$C$501,0)),""))</f>
        <v>NÃO</v>
      </c>
      <c r="F325" s="138">
        <v>46166.0</v>
      </c>
      <c r="G325" s="115" t="str">
        <f t="shared" si="25"/>
        <v>✅ 07:59</v>
      </c>
      <c r="H325" s="121">
        <v>0.3326388888888889</v>
      </c>
      <c r="I325" s="117" t="str">
        <f t="shared" si="26"/>
        <v>✅ 18:02</v>
      </c>
      <c r="J325" s="121">
        <v>0.7513888888888889</v>
      </c>
      <c r="K325" s="126">
        <f t="shared" si="27"/>
        <v>0.41875</v>
      </c>
      <c r="L325" s="127" t="str">
        <f t="shared" si="28"/>
        <v>✅ Finalizado</v>
      </c>
      <c r="M325" s="110"/>
      <c r="N325" s="110"/>
    </row>
    <row r="326" ht="21.75" customHeight="1">
      <c r="A326" s="111">
        <f>319</f>
        <v>319</v>
      </c>
      <c r="B326" s="112" t="s">
        <v>200</v>
      </c>
      <c r="C326" s="144" t="str">
        <f t="array" ref="C326">IF(B326="","",IFERROR(INDEX('FUNCIONÁRIOS'!$B$4:$B$501,MATCH(B326,'FUNCIONÁRIOS'!$C$4:$C$501,0)),""))</f>
        <v>FLASH MED</v>
      </c>
      <c r="D326" s="144" t="str">
        <f t="array" ref="D326">IF(B326="","",IFERROR(INDEX('FUNCIONÁRIOS'!$D$4:$D$501,MATCH(B326,'FUNCIONÁRIOS'!$C$4:$C$501,0)),""))</f>
        <v>ENFERMAGEM </v>
      </c>
      <c r="E326" s="123" t="str">
        <f t="array" ref="E326">IF(B326="","",IFERROR(INDEX('FUNCIONÁRIOS'!$E$4:$E$501,MATCH(B326,'FUNCIONÁRIOS'!$C$4:$C$501,0)),""))</f>
        <v>NÃO</v>
      </c>
      <c r="F326" s="138">
        <v>46166.0</v>
      </c>
      <c r="G326" s="115" t="str">
        <f t="shared" si="25"/>
        <v>✅ 08:00</v>
      </c>
      <c r="H326" s="121">
        <v>0.3333333333333333</v>
      </c>
      <c r="I326" s="117" t="str">
        <f t="shared" si="26"/>
        <v>✅ 18:01</v>
      </c>
      <c r="J326" s="121">
        <v>0.7506944444444444</v>
      </c>
      <c r="K326" s="126">
        <f t="shared" si="27"/>
        <v>0.4173611111</v>
      </c>
      <c r="L326" s="127" t="str">
        <f t="shared" si="28"/>
        <v>✅ Finalizado</v>
      </c>
      <c r="M326" s="110"/>
      <c r="N326" s="110"/>
    </row>
    <row r="327" ht="21.75" customHeight="1">
      <c r="A327" s="111">
        <f>320</f>
        <v>320</v>
      </c>
      <c r="B327" s="112" t="s">
        <v>187</v>
      </c>
      <c r="C327" s="143" t="str">
        <f t="array" ref="C327">IF(B327="","",IFERROR(INDEX('FUNCIONÁRIOS'!$B$4:$B$501,MATCH(B327,'FUNCIONÁRIOS'!$C$4:$C$501,0)),""))</f>
        <v>FLASH MED</v>
      </c>
      <c r="D327" s="143" t="str">
        <f t="array" ref="D327">IF(B327="","",IFERROR(INDEX('FUNCIONÁRIOS'!$D$4:$D$501,MATCH(B327,'FUNCIONÁRIOS'!$C$4:$C$501,0)),""))</f>
        <v>Socorrista </v>
      </c>
      <c r="E327" s="113" t="str">
        <f t="array" ref="E327">IF(B327="","",IFERROR(INDEX('FUNCIONÁRIOS'!$E$4:$E$501,MATCH(B327,'FUNCIONÁRIOS'!$C$4:$C$501,0)),""))</f>
        <v>NÃO</v>
      </c>
      <c r="F327" s="138">
        <v>46166.0</v>
      </c>
      <c r="G327" s="115" t="str">
        <f t="shared" si="25"/>
        <v>✅ 08:00</v>
      </c>
      <c r="H327" s="121">
        <v>0.3333333333333333</v>
      </c>
      <c r="I327" s="117" t="str">
        <f t="shared" si="26"/>
        <v>✅ 18:01</v>
      </c>
      <c r="J327" s="121">
        <v>0.7506944444444444</v>
      </c>
      <c r="K327" s="126">
        <f t="shared" si="27"/>
        <v>0.4173611111</v>
      </c>
      <c r="L327" s="127" t="str">
        <f t="shared" si="28"/>
        <v>✅ Finalizado</v>
      </c>
      <c r="M327" s="110"/>
      <c r="N327" s="110"/>
    </row>
    <row r="328" ht="21.75" customHeight="1">
      <c r="A328" s="111">
        <f>321</f>
        <v>321</v>
      </c>
      <c r="B328" s="112" t="s">
        <v>185</v>
      </c>
      <c r="C328" s="144" t="str">
        <f t="array" ref="C328">IF(B328="","",IFERROR(INDEX('FUNCIONÁRIOS'!$B$4:$B$501,MATCH(B328,'FUNCIONÁRIOS'!$C$4:$C$501,0)),""))</f>
        <v>MONTE EVENTOS </v>
      </c>
      <c r="D328" s="144" t="str">
        <f t="array" ref="D328">IF(B328="","",IFERROR(INDEX('FUNCIONÁRIOS'!$D$4:$D$501,MATCH(B328,'FUNCIONÁRIOS'!$C$4:$C$501,0)),""))</f>
        <v>montador </v>
      </c>
      <c r="E328" s="123" t="str">
        <f t="array" ref="E328">IF(B328="","",IFERROR(INDEX('FUNCIONÁRIOS'!$E$4:$E$501,MATCH(B328,'FUNCIONÁRIOS'!$C$4:$C$501,0)),""))</f>
        <v>NÃO</v>
      </c>
      <c r="F328" s="138">
        <v>46166.0</v>
      </c>
      <c r="G328" s="115" t="str">
        <f t="shared" si="25"/>
        <v>✅ 08:05</v>
      </c>
      <c r="H328" s="121">
        <v>0.3368055555555556</v>
      </c>
      <c r="I328" s="117" t="str">
        <f t="shared" si="26"/>
        <v>✅ 17:55</v>
      </c>
      <c r="J328" s="121">
        <v>0.7465277777777778</v>
      </c>
      <c r="K328" s="126">
        <f t="shared" si="27"/>
        <v>0.4097222222</v>
      </c>
      <c r="L328" s="127" t="str">
        <f t="shared" si="28"/>
        <v>✅ Finalizado</v>
      </c>
      <c r="M328" s="110"/>
      <c r="N328" s="110"/>
    </row>
    <row r="329" ht="21.75" customHeight="1">
      <c r="A329" s="111">
        <f>322</f>
        <v>322</v>
      </c>
      <c r="B329" s="112" t="s">
        <v>124</v>
      </c>
      <c r="C329" s="143" t="str">
        <f t="array" ref="C329">IF(B329="","",IFERROR(INDEX('FUNCIONÁRIOS'!$B$4:$B$501,MATCH(B329,'FUNCIONÁRIOS'!$C$4:$C$501,0)),""))</f>
        <v>MONTE EVENTOS </v>
      </c>
      <c r="D329" s="143" t="str">
        <f t="array" ref="D329">IF(B329="","",IFERROR(INDEX('FUNCIONÁRIOS'!$D$4:$D$501,MATCH(B329,'FUNCIONÁRIOS'!$C$4:$C$501,0)),""))</f>
        <v>MONTADOR</v>
      </c>
      <c r="E329" s="113" t="str">
        <f t="array" ref="E329">IF(B329="","",IFERROR(INDEX('FUNCIONÁRIOS'!$E$4:$E$501,MATCH(B329,'FUNCIONÁRIOS'!$C$4:$C$501,0)),""))</f>
        <v>NÃO</v>
      </c>
      <c r="F329" s="138">
        <v>46166.0</v>
      </c>
      <c r="G329" s="115" t="str">
        <f t="shared" si="25"/>
        <v>✅ 08:05</v>
      </c>
      <c r="H329" s="121">
        <v>0.3368055555555556</v>
      </c>
      <c r="I329" s="117" t="str">
        <f t="shared" si="26"/>
        <v>✅ 17:56</v>
      </c>
      <c r="J329" s="121">
        <v>0.7472222222222222</v>
      </c>
      <c r="K329" s="126">
        <f t="shared" si="27"/>
        <v>0.4104166667</v>
      </c>
      <c r="L329" s="127" t="str">
        <f t="shared" si="28"/>
        <v>✅ Finalizado</v>
      </c>
      <c r="M329" s="110"/>
      <c r="N329" s="110"/>
    </row>
    <row r="330" ht="21.75" customHeight="1">
      <c r="A330" s="111">
        <f>323</f>
        <v>323</v>
      </c>
      <c r="B330" s="112" t="s">
        <v>126</v>
      </c>
      <c r="C330" s="144" t="str">
        <f t="array" ref="C330">IF(B330="","",IFERROR(INDEX('FUNCIONÁRIOS'!$B$4:$B$501,MATCH(B330,'FUNCIONÁRIOS'!$C$4:$C$501,0)),""))</f>
        <v>MONTE EVENTOS </v>
      </c>
      <c r="D330" s="144" t="str">
        <f t="array" ref="D330">IF(B330="","",IFERROR(INDEX('FUNCIONÁRIOS'!$D$4:$D$501,MATCH(B330,'FUNCIONÁRIOS'!$C$4:$C$501,0)),""))</f>
        <v>MONTADOR</v>
      </c>
      <c r="E330" s="123" t="str">
        <f t="array" ref="E330">IF(B330="","",IFERROR(INDEX('FUNCIONÁRIOS'!$E$4:$E$501,MATCH(B330,'FUNCIONÁRIOS'!$C$4:$C$501,0)),""))</f>
        <v>NÃO</v>
      </c>
      <c r="F330" s="138">
        <v>46166.0</v>
      </c>
      <c r="G330" s="115" t="str">
        <f t="shared" si="25"/>
        <v>✅ 08:05</v>
      </c>
      <c r="H330" s="121">
        <v>0.3368055555555556</v>
      </c>
      <c r="I330" s="117" t="str">
        <f t="shared" si="26"/>
        <v>✅ 17:53</v>
      </c>
      <c r="J330" s="121">
        <v>0.7451388888888889</v>
      </c>
      <c r="K330" s="126">
        <f t="shared" si="27"/>
        <v>0.4083333333</v>
      </c>
      <c r="L330" s="127" t="str">
        <f t="shared" si="28"/>
        <v>✅ Finalizado</v>
      </c>
      <c r="M330" s="110"/>
      <c r="N330" s="110"/>
    </row>
    <row r="331" ht="21.75" customHeight="1">
      <c r="A331" s="111">
        <f>324</f>
        <v>324</v>
      </c>
      <c r="B331" s="112" t="s">
        <v>118</v>
      </c>
      <c r="C331" s="143" t="str">
        <f t="array" ref="C331">IF(B331="","",IFERROR(INDEX('FUNCIONÁRIOS'!$B$4:$B$501,MATCH(B331,'FUNCIONÁRIOS'!$C$4:$C$501,0)),""))</f>
        <v>MONTE EVENTOS </v>
      </c>
      <c r="D331" s="143" t="str">
        <f t="array" ref="D331">IF(B331="","",IFERROR(INDEX('FUNCIONÁRIOS'!$D$4:$D$501,MATCH(B331,'FUNCIONÁRIOS'!$C$4:$C$501,0)),""))</f>
        <v>MONTADOR</v>
      </c>
      <c r="E331" s="113" t="str">
        <f t="array" ref="E331">IF(B331="","",IFERROR(INDEX('FUNCIONÁRIOS'!$E$4:$E$501,MATCH(B331,'FUNCIONÁRIOS'!$C$4:$C$501,0)),""))</f>
        <v>NÃO</v>
      </c>
      <c r="F331" s="138">
        <v>46166.0</v>
      </c>
      <c r="G331" s="115" t="str">
        <f t="shared" si="25"/>
        <v>✅ 08:05</v>
      </c>
      <c r="H331" s="121">
        <v>0.3368055555555556</v>
      </c>
      <c r="I331" s="117" t="str">
        <f t="shared" si="26"/>
        <v>✅ 17:52</v>
      </c>
      <c r="J331" s="121">
        <v>0.7444444444444445</v>
      </c>
      <c r="K331" s="126">
        <f t="shared" si="27"/>
        <v>0.4076388889</v>
      </c>
      <c r="L331" s="127" t="str">
        <f t="shared" si="28"/>
        <v>✅ Finalizado</v>
      </c>
      <c r="M331" s="110"/>
      <c r="N331" s="110"/>
    </row>
    <row r="332" ht="21.75" customHeight="1">
      <c r="A332" s="111">
        <f>325</f>
        <v>325</v>
      </c>
      <c r="B332" s="112" t="s">
        <v>342</v>
      </c>
      <c r="C332" s="144" t="str">
        <f t="array" ref="C332">IF(B332="","",IFERROR(INDEX('FUNCIONÁRIOS'!$B$4:$B$501,MATCH(B332,'FUNCIONÁRIOS'!$C$4:$C$501,0)),""))</f>
        <v>GO TO </v>
      </c>
      <c r="D332" s="144" t="str">
        <f t="array" ref="D332">IF(B332="","",IFERROR(INDEX('FUNCIONÁRIOS'!$D$4:$D$501,MATCH(B332,'FUNCIONÁRIOS'!$C$4:$C$501,0)),""))</f>
        <v>MONTADOR</v>
      </c>
      <c r="E332" s="123" t="str">
        <f t="array" ref="E332">IF(B332="","",IFERROR(INDEX('FUNCIONÁRIOS'!$E$4:$E$501,MATCH(B332,'FUNCIONÁRIOS'!$C$4:$C$501,0)),""))</f>
        <v>NÃO</v>
      </c>
      <c r="F332" s="138">
        <v>46166.0</v>
      </c>
      <c r="G332" s="115" t="str">
        <f t="shared" si="25"/>
        <v>✅ 08:07</v>
      </c>
      <c r="H332" s="121">
        <v>0.33819444444444446</v>
      </c>
      <c r="I332" s="117" t="str">
        <f t="shared" si="26"/>
        <v>✅ 14:52</v>
      </c>
      <c r="J332" s="121">
        <v>0.6194444444444445</v>
      </c>
      <c r="K332" s="126">
        <f t="shared" si="27"/>
        <v>0.28125</v>
      </c>
      <c r="L332" s="127" t="str">
        <f t="shared" si="28"/>
        <v>✅ Finalizado</v>
      </c>
      <c r="M332" s="110"/>
      <c r="N332" s="110"/>
    </row>
    <row r="333" ht="21.75" customHeight="1">
      <c r="A333" s="111">
        <f>326</f>
        <v>326</v>
      </c>
      <c r="B333" s="112" t="s">
        <v>340</v>
      </c>
      <c r="C333" s="143" t="str">
        <f t="array" ref="C333">IF(B333="","",IFERROR(INDEX('FUNCIONÁRIOS'!$B$4:$B$501,MATCH(B333,'FUNCIONÁRIOS'!$C$4:$C$501,0)),""))</f>
        <v>GO TO </v>
      </c>
      <c r="D333" s="143" t="str">
        <f t="array" ref="D333">IF(B333="","",IFERROR(INDEX('FUNCIONÁRIOS'!$D$4:$D$501,MATCH(B333,'FUNCIONÁRIOS'!$C$4:$C$501,0)),""))</f>
        <v>MONTADOR</v>
      </c>
      <c r="E333" s="113" t="str">
        <f t="array" ref="E333">IF(B333="","",IFERROR(INDEX('FUNCIONÁRIOS'!$E$4:$E$501,MATCH(B333,'FUNCIONÁRIOS'!$C$4:$C$501,0)),""))</f>
        <v>NÃO</v>
      </c>
      <c r="F333" s="138">
        <v>46166.0</v>
      </c>
      <c r="G333" s="115" t="str">
        <f t="shared" si="25"/>
        <v>✅ 08:07</v>
      </c>
      <c r="H333" s="121">
        <v>0.33819444444444446</v>
      </c>
      <c r="I333" s="117" t="str">
        <f t="shared" si="26"/>
        <v>✅ 14:52</v>
      </c>
      <c r="J333" s="121">
        <v>0.6194444444444445</v>
      </c>
      <c r="K333" s="126">
        <f t="shared" si="27"/>
        <v>0.28125</v>
      </c>
      <c r="L333" s="127" t="str">
        <f t="shared" si="28"/>
        <v>✅ Finalizado</v>
      </c>
      <c r="M333" s="110"/>
      <c r="N333" s="110"/>
    </row>
    <row r="334" ht="21.75" customHeight="1">
      <c r="A334" s="111">
        <f>327</f>
        <v>327</v>
      </c>
      <c r="B334" s="112" t="s">
        <v>113</v>
      </c>
      <c r="C334" s="144" t="str">
        <f t="array" ref="C334">IF(B334="","",IFERROR(INDEX('FUNCIONÁRIOS'!$B$4:$B$501,MATCH(B334,'FUNCIONÁRIOS'!$C$4:$C$501,0)),""))</f>
        <v>MONTE EVENTOS </v>
      </c>
      <c r="D334" s="144" t="str">
        <f t="array" ref="D334">IF(B334="","",IFERROR(INDEX('FUNCIONÁRIOS'!$D$4:$D$501,MATCH(B334,'FUNCIONÁRIOS'!$C$4:$C$501,0)),""))</f>
        <v>COORDENADOR/CEO</v>
      </c>
      <c r="E334" s="123" t="str">
        <f t="array" ref="E334">IF(B334="","",IFERROR(INDEX('FUNCIONÁRIOS'!$E$4:$E$501,MATCH(B334,'FUNCIONÁRIOS'!$C$4:$C$501,0)),""))</f>
        <v>SIM</v>
      </c>
      <c r="F334" s="138">
        <v>46166.0</v>
      </c>
      <c r="G334" s="115" t="str">
        <f t="shared" si="25"/>
        <v>✅ 08:17</v>
      </c>
      <c r="H334" s="121">
        <v>0.3451388888888889</v>
      </c>
      <c r="I334" s="117" t="str">
        <f t="shared" si="26"/>
        <v>✅ 17:53</v>
      </c>
      <c r="J334" s="121">
        <v>0.7451388888888889</v>
      </c>
      <c r="K334" s="126">
        <f t="shared" si="27"/>
        <v>0.4</v>
      </c>
      <c r="L334" s="127" t="str">
        <f t="shared" si="28"/>
        <v>✅ Finalizado</v>
      </c>
      <c r="M334" s="110"/>
      <c r="N334" s="110"/>
    </row>
    <row r="335" ht="21.75" customHeight="1">
      <c r="A335" s="111">
        <f>328</f>
        <v>328</v>
      </c>
      <c r="B335" s="112" t="s">
        <v>123</v>
      </c>
      <c r="C335" s="143" t="str">
        <f t="array" ref="C335">IF(B335="","",IFERROR(INDEX('FUNCIONÁRIOS'!$B$4:$B$501,MATCH(B335,'FUNCIONÁRIOS'!$C$4:$C$501,0)),""))</f>
        <v>MONTE EVENTOS </v>
      </c>
      <c r="D335" s="143" t="str">
        <f t="array" ref="D335">IF(B335="","",IFERROR(INDEX('FUNCIONÁRIOS'!$D$4:$D$501,MATCH(B335,'FUNCIONÁRIOS'!$C$4:$C$501,0)),""))</f>
        <v>MONTADOR</v>
      </c>
      <c r="E335" s="113" t="str">
        <f t="array" ref="E335">IF(B335="","",IFERROR(INDEX('FUNCIONÁRIOS'!$E$4:$E$501,MATCH(B335,'FUNCIONÁRIOS'!$C$4:$C$501,0)),""))</f>
        <v>NÃO</v>
      </c>
      <c r="F335" s="138">
        <v>46166.0</v>
      </c>
      <c r="G335" s="115" t="str">
        <f t="shared" si="25"/>
        <v>✅ 08:17</v>
      </c>
      <c r="H335" s="121">
        <v>0.3451388888888889</v>
      </c>
      <c r="I335" s="117" t="str">
        <f t="shared" si="26"/>
        <v>✅ 17:55</v>
      </c>
      <c r="J335" s="121">
        <v>0.7465277777777778</v>
      </c>
      <c r="K335" s="126">
        <f t="shared" si="27"/>
        <v>0.4013888889</v>
      </c>
      <c r="L335" s="127" t="str">
        <f t="shared" si="28"/>
        <v>✅ Finalizado</v>
      </c>
      <c r="M335" s="110"/>
      <c r="N335" s="110"/>
    </row>
    <row r="336" ht="21.75" customHeight="1">
      <c r="A336" s="111">
        <f>329</f>
        <v>329</v>
      </c>
      <c r="B336" s="112" t="s">
        <v>111</v>
      </c>
      <c r="C336" s="144" t="str">
        <f t="array" ref="C336">IF(B336="","",IFERROR(INDEX('FUNCIONÁRIOS'!$B$4:$B$501,MATCH(B336,'FUNCIONÁRIOS'!$C$4:$C$501,0)),""))</f>
        <v>MONTE EVENTOS </v>
      </c>
      <c r="D336" s="144" t="str">
        <f t="array" ref="D336">IF(B336="","",IFERROR(INDEX('FUNCIONÁRIOS'!$D$4:$D$501,MATCH(B336,'FUNCIONÁRIOS'!$C$4:$C$501,0)),""))</f>
        <v>MONTADOR</v>
      </c>
      <c r="E336" s="123" t="str">
        <f t="array" ref="E336">IF(B336="","",IFERROR(INDEX('FUNCIONÁRIOS'!$E$4:$E$501,MATCH(B336,'FUNCIONÁRIOS'!$C$4:$C$501,0)),""))</f>
        <v>NÃO</v>
      </c>
      <c r="F336" s="138">
        <v>46166.0</v>
      </c>
      <c r="G336" s="115" t="str">
        <f t="shared" si="25"/>
        <v>✅ 08:17</v>
      </c>
      <c r="H336" s="121">
        <v>0.3451388888888889</v>
      </c>
      <c r="I336" s="117" t="str">
        <f t="shared" si="26"/>
        <v>✅ 17:53</v>
      </c>
      <c r="J336" s="121">
        <v>0.7451388888888889</v>
      </c>
      <c r="K336" s="126">
        <f t="shared" si="27"/>
        <v>0.4</v>
      </c>
      <c r="L336" s="127" t="str">
        <f t="shared" si="28"/>
        <v>✅ Finalizado</v>
      </c>
      <c r="M336" s="110"/>
      <c r="N336" s="110"/>
    </row>
    <row r="337" ht="21.75" customHeight="1">
      <c r="A337" s="111">
        <f>330</f>
        <v>330</v>
      </c>
      <c r="B337" s="112" t="s">
        <v>112</v>
      </c>
      <c r="C337" s="143" t="str">
        <f t="array" ref="C337">IF(B337="","",IFERROR(INDEX('FUNCIONÁRIOS'!$B$4:$B$501,MATCH(B337,'FUNCIONÁRIOS'!$C$4:$C$501,0)),""))</f>
        <v>MONTE EVENTOS </v>
      </c>
      <c r="D337" s="143" t="str">
        <f t="array" ref="D337">IF(B337="","",IFERROR(INDEX('FUNCIONÁRIOS'!$D$4:$D$501,MATCH(B337,'FUNCIONÁRIOS'!$C$4:$C$501,0)),""))</f>
        <v>MONTADOR</v>
      </c>
      <c r="E337" s="113" t="str">
        <f t="array" ref="E337">IF(B337="","",IFERROR(INDEX('FUNCIONÁRIOS'!$E$4:$E$501,MATCH(B337,'FUNCIONÁRIOS'!$C$4:$C$501,0)),""))</f>
        <v>NÃO</v>
      </c>
      <c r="F337" s="138">
        <v>46166.0</v>
      </c>
      <c r="G337" s="115" t="str">
        <f t="shared" si="25"/>
        <v>✅ 08:17</v>
      </c>
      <c r="H337" s="121">
        <v>0.3451388888888889</v>
      </c>
      <c r="I337" s="117" t="str">
        <f t="shared" si="26"/>
        <v>✅ 17:53</v>
      </c>
      <c r="J337" s="121">
        <v>0.7451388888888889</v>
      </c>
      <c r="K337" s="126">
        <f t="shared" si="27"/>
        <v>0.4</v>
      </c>
      <c r="L337" s="127" t="str">
        <f t="shared" si="28"/>
        <v>✅ Finalizado</v>
      </c>
      <c r="M337" s="110"/>
      <c r="N337" s="110"/>
    </row>
    <row r="338" ht="21.75" customHeight="1">
      <c r="A338" s="111">
        <f>331</f>
        <v>331</v>
      </c>
      <c r="B338" s="112" t="s">
        <v>128</v>
      </c>
      <c r="C338" s="144" t="str">
        <f t="array" ref="C338">IF(B338="","",IFERROR(INDEX('FUNCIONÁRIOS'!$B$4:$B$501,MATCH(B338,'FUNCIONÁRIOS'!$C$4:$C$501,0)),""))</f>
        <v>MONTE EVENTOS </v>
      </c>
      <c r="D338" s="144" t="str">
        <f t="array" ref="D338">IF(B338="","",IFERROR(INDEX('FUNCIONÁRIOS'!$D$4:$D$501,MATCH(B338,'FUNCIONÁRIOS'!$C$4:$C$501,0)),""))</f>
        <v>MONTADOR</v>
      </c>
      <c r="E338" s="123" t="str">
        <f t="array" ref="E338">IF(B338="","",IFERROR(INDEX('FUNCIONÁRIOS'!$E$4:$E$501,MATCH(B338,'FUNCIONÁRIOS'!$C$4:$C$501,0)),""))</f>
        <v>NÃO</v>
      </c>
      <c r="F338" s="138">
        <v>46166.0</v>
      </c>
      <c r="G338" s="115" t="str">
        <f t="shared" si="25"/>
        <v>✅ 08:17</v>
      </c>
      <c r="H338" s="121">
        <v>0.3451388888888889</v>
      </c>
      <c r="I338" s="117" t="str">
        <f t="shared" si="26"/>
        <v>✅ 17:55</v>
      </c>
      <c r="J338" s="121">
        <v>0.7465277777777778</v>
      </c>
      <c r="K338" s="126">
        <f t="shared" si="27"/>
        <v>0.4013888889</v>
      </c>
      <c r="L338" s="127" t="str">
        <f t="shared" si="28"/>
        <v>✅ Finalizado</v>
      </c>
      <c r="M338" s="110"/>
      <c r="N338" s="110"/>
    </row>
    <row r="339" ht="21.75" customHeight="1">
      <c r="A339" s="111">
        <f>332</f>
        <v>332</v>
      </c>
      <c r="B339" s="112" t="s">
        <v>358</v>
      </c>
      <c r="C339" s="143" t="str">
        <f t="array" ref="C339">IF(B339="","",IFERROR(INDEX('FUNCIONÁRIOS'!$B$4:$B$501,MATCH(B339,'FUNCIONÁRIOS'!$C$4:$C$501,0)),""))</f>
        <v>GO TO </v>
      </c>
      <c r="D339" s="143" t="str">
        <f t="array" ref="D339">IF(B339="","",IFERROR(INDEX('FUNCIONÁRIOS'!$D$4:$D$501,MATCH(B339,'FUNCIONÁRIOS'!$C$4:$C$501,0)),""))</f>
        <v>MONTADOR</v>
      </c>
      <c r="E339" s="113" t="str">
        <f t="array" ref="E339">IF(B339="","",IFERROR(INDEX('FUNCIONÁRIOS'!$E$4:$E$501,MATCH(B339,'FUNCIONÁRIOS'!$C$4:$C$501,0)),""))</f>
        <v>NÃO</v>
      </c>
      <c r="F339" s="138">
        <v>46166.0</v>
      </c>
      <c r="G339" s="115" t="str">
        <f t="shared" si="25"/>
        <v>✅ 08:17</v>
      </c>
      <c r="H339" s="121">
        <v>0.3451388888888889</v>
      </c>
      <c r="I339" s="117" t="str">
        <f t="shared" si="26"/>
        <v>✅ 18:00</v>
      </c>
      <c r="J339" s="121">
        <v>0.75</v>
      </c>
      <c r="K339" s="126">
        <f t="shared" si="27"/>
        <v>0.4048611111</v>
      </c>
      <c r="L339" s="127" t="str">
        <f t="shared" si="28"/>
        <v>✅ Finalizado</v>
      </c>
      <c r="M339" s="110"/>
      <c r="N339" s="110"/>
    </row>
    <row r="340" ht="21.75" customHeight="1">
      <c r="A340" s="111">
        <f>333</f>
        <v>333</v>
      </c>
      <c r="B340" s="112" t="s">
        <v>122</v>
      </c>
      <c r="C340" s="144" t="str">
        <f t="array" ref="C340">IF(B340="","",IFERROR(INDEX('FUNCIONÁRIOS'!$B$4:$B$501,MATCH(B340,'FUNCIONÁRIOS'!$C$4:$C$501,0)),""))</f>
        <v>MONTE EVENTOS </v>
      </c>
      <c r="D340" s="144" t="str">
        <f t="array" ref="D340">IF(B340="","",IFERROR(INDEX('FUNCIONÁRIOS'!$D$4:$D$501,MATCH(B340,'FUNCIONÁRIOS'!$C$4:$C$501,0)),""))</f>
        <v>MONTADOR</v>
      </c>
      <c r="E340" s="123" t="str">
        <f t="array" ref="E340">IF(B340="","",IFERROR(INDEX('FUNCIONÁRIOS'!$E$4:$E$501,MATCH(B340,'FUNCIONÁRIOS'!$C$4:$C$501,0)),""))</f>
        <v>NÃO</v>
      </c>
      <c r="F340" s="138">
        <v>46166.0</v>
      </c>
      <c r="G340" s="115" t="str">
        <f t="shared" si="25"/>
        <v>✅ 08:17</v>
      </c>
      <c r="H340" s="121">
        <v>0.3451388888888889</v>
      </c>
      <c r="I340" s="117" t="str">
        <f t="shared" si="26"/>
        <v>✅ 18:00</v>
      </c>
      <c r="J340" s="121">
        <v>0.75</v>
      </c>
      <c r="K340" s="126">
        <f t="shared" si="27"/>
        <v>0.4048611111</v>
      </c>
      <c r="L340" s="127" t="str">
        <f t="shared" si="28"/>
        <v>✅ Finalizado</v>
      </c>
      <c r="M340" s="110"/>
      <c r="N340" s="110"/>
    </row>
    <row r="341" ht="21.75" customHeight="1">
      <c r="A341" s="111">
        <f>334</f>
        <v>334</v>
      </c>
      <c r="B341" s="112" t="s">
        <v>521</v>
      </c>
      <c r="C341" s="143" t="str">
        <f t="array" ref="C341">IF(B341="","",IFERROR(INDEX('FUNCIONÁRIOS'!$B$4:$B$501,MATCH(B341,'FUNCIONÁRIOS'!$C$4:$C$501,0)),""))</f>
        <v>TJ SERVIÇOS</v>
      </c>
      <c r="D341" s="143" t="str">
        <f t="array" ref="D341">IF(B341="","",IFERROR(INDEX('FUNCIONÁRIOS'!$D$4:$D$501,MATCH(B341,'FUNCIONÁRIOS'!$C$4:$C$501,0)),""))</f>
        <v>Brigadista</v>
      </c>
      <c r="E341" s="113" t="str">
        <f t="array" ref="E341">IF(B341="","",IFERROR(INDEX('FUNCIONÁRIOS'!$E$4:$E$501,MATCH(B341,'FUNCIONÁRIOS'!$C$4:$C$501,0)),""))</f>
        <v>NÃO</v>
      </c>
      <c r="F341" s="138">
        <v>46166.0</v>
      </c>
      <c r="G341" s="115" t="str">
        <f t="shared" si="25"/>
        <v>✅ 08:25</v>
      </c>
      <c r="H341" s="121">
        <v>0.3506944444444444</v>
      </c>
      <c r="I341" s="117" t="str">
        <f t="shared" si="26"/>
        <v>✅ 17:59</v>
      </c>
      <c r="J341" s="121">
        <v>0.7493055555555556</v>
      </c>
      <c r="K341" s="126">
        <f t="shared" si="27"/>
        <v>0.3986111111</v>
      </c>
      <c r="L341" s="127" t="str">
        <f t="shared" si="28"/>
        <v>✅ Finalizado</v>
      </c>
      <c r="M341" s="110"/>
      <c r="N341" s="110"/>
    </row>
    <row r="342" ht="21.75" customHeight="1">
      <c r="A342" s="111">
        <f>335</f>
        <v>335</v>
      </c>
      <c r="B342" s="112" t="s">
        <v>524</v>
      </c>
      <c r="C342" s="144" t="str">
        <f t="array" ref="C342">IF(B342="","",IFERROR(INDEX('FUNCIONÁRIOS'!$B$4:$B$501,MATCH(B342,'FUNCIONÁRIOS'!$C$4:$C$501,0)),""))</f>
        <v>TJ SERVIÇOS</v>
      </c>
      <c r="D342" s="144" t="str">
        <f t="array" ref="D342">IF(B342="","",IFERROR(INDEX('FUNCIONÁRIOS'!$D$4:$D$501,MATCH(B342,'FUNCIONÁRIOS'!$C$4:$C$501,0)),""))</f>
        <v>Brigadista</v>
      </c>
      <c r="E342" s="123" t="str">
        <f t="array" ref="E342">IF(B342="","",IFERROR(INDEX('FUNCIONÁRIOS'!$E$4:$E$501,MATCH(B342,'FUNCIONÁRIOS'!$C$4:$C$501,0)),""))</f>
        <v>NÃO</v>
      </c>
      <c r="F342" s="138">
        <v>46166.0</v>
      </c>
      <c r="G342" s="115" t="str">
        <f t="shared" si="25"/>
        <v>✅ 08:25</v>
      </c>
      <c r="H342" s="121">
        <v>0.3506944444444444</v>
      </c>
      <c r="I342" s="117" t="str">
        <f t="shared" si="26"/>
        <v>✅ 17:58</v>
      </c>
      <c r="J342" s="121">
        <v>0.7486111111111111</v>
      </c>
      <c r="K342" s="126">
        <f t="shared" si="27"/>
        <v>0.3979166667</v>
      </c>
      <c r="L342" s="127" t="str">
        <f t="shared" si="28"/>
        <v>✅ Finalizado</v>
      </c>
      <c r="M342" s="110"/>
      <c r="N342" s="110"/>
    </row>
    <row r="343" ht="21.75" customHeight="1">
      <c r="A343" s="111">
        <f>336</f>
        <v>336</v>
      </c>
      <c r="B343" s="112" t="s">
        <v>444</v>
      </c>
      <c r="C343" s="143" t="str">
        <f t="array" ref="C343">IF(B343="","",IFERROR(INDEX('FUNCIONÁRIOS'!$B$4:$B$501,MATCH(B343,'FUNCIONÁRIOS'!$C$4:$C$501,0)),""))</f>
        <v>SHOWNEWS</v>
      </c>
      <c r="D343" s="143" t="str">
        <f t="array" ref="D343">IF(B343="","",IFERROR(INDEX('FUNCIONÁRIOS'!$D$4:$D$501,MATCH(B343,'FUNCIONÁRIOS'!$C$4:$C$501,0)),""))</f>
        <v>Montador</v>
      </c>
      <c r="E343" s="113" t="str">
        <f t="array" ref="E343">IF(B343="","",IFERROR(INDEX('FUNCIONÁRIOS'!$E$4:$E$501,MATCH(B343,'FUNCIONÁRIOS'!$C$4:$C$501,0)),""))</f>
        <v>NÃO</v>
      </c>
      <c r="F343" s="138">
        <v>46166.0</v>
      </c>
      <c r="G343" s="115" t="str">
        <f t="shared" si="25"/>
        <v>✅ 08:25</v>
      </c>
      <c r="H343" s="121">
        <v>0.3506944444444444</v>
      </c>
      <c r="I343" s="117" t="str">
        <f t="shared" si="26"/>
        <v>✅ 16:16</v>
      </c>
      <c r="J343" s="121">
        <v>0.6777777777777778</v>
      </c>
      <c r="K343" s="126">
        <f t="shared" si="27"/>
        <v>0.3270833333</v>
      </c>
      <c r="L343" s="127" t="str">
        <f t="shared" si="28"/>
        <v>✅ Finalizado</v>
      </c>
      <c r="M343" s="110"/>
      <c r="N343" s="110"/>
    </row>
    <row r="344" ht="21.75" customHeight="1">
      <c r="A344" s="111">
        <f>337</f>
        <v>337</v>
      </c>
      <c r="B344" s="112" t="s">
        <v>344</v>
      </c>
      <c r="C344" s="144" t="str">
        <f t="array" ref="C344">IF(B344="","",IFERROR(INDEX('FUNCIONÁRIOS'!$B$4:$B$501,MATCH(B344,'FUNCIONÁRIOS'!$C$4:$C$501,0)),""))</f>
        <v>GO TO </v>
      </c>
      <c r="D344" s="144" t="str">
        <f t="array" ref="D344">IF(B344="","",IFERROR(INDEX('FUNCIONÁRIOS'!$D$4:$D$501,MATCH(B344,'FUNCIONÁRIOS'!$C$4:$C$501,0)),""))</f>
        <v>MONTADOR</v>
      </c>
      <c r="E344" s="123" t="str">
        <f t="array" ref="E344">IF(B344="","",IFERROR(INDEX('FUNCIONÁRIOS'!$E$4:$E$501,MATCH(B344,'FUNCIONÁRIOS'!$C$4:$C$501,0)),""))</f>
        <v>NÃO</v>
      </c>
      <c r="F344" s="138">
        <v>46166.0</v>
      </c>
      <c r="G344" s="115" t="str">
        <f t="shared" si="25"/>
        <v>✅ 08:25</v>
      </c>
      <c r="H344" s="121">
        <v>0.3506944444444444</v>
      </c>
      <c r="I344" s="117" t="str">
        <f t="shared" si="26"/>
        <v>✅ 14:52</v>
      </c>
      <c r="J344" s="121">
        <v>0.6194444444444445</v>
      </c>
      <c r="K344" s="126">
        <f t="shared" si="27"/>
        <v>0.26875</v>
      </c>
      <c r="L344" s="127" t="str">
        <f t="shared" si="28"/>
        <v>✅ Finalizado</v>
      </c>
      <c r="M344" s="110"/>
      <c r="N344" s="110"/>
    </row>
    <row r="345" ht="21.75" customHeight="1">
      <c r="A345" s="111">
        <f>338</f>
        <v>338</v>
      </c>
      <c r="B345" s="112" t="s">
        <v>526</v>
      </c>
      <c r="C345" s="143" t="str">
        <f t="array" ref="C345">IF(B345="","",IFERROR(INDEX('FUNCIONÁRIOS'!$B$4:$B$501,MATCH(B345,'FUNCIONÁRIOS'!$C$4:$C$501,0)),""))</f>
        <v>SHOWNEWS</v>
      </c>
      <c r="D345" s="143" t="str">
        <f t="array" ref="D345">IF(B345="","",IFERROR(INDEX('FUNCIONÁRIOS'!$D$4:$D$501,MATCH(B345,'FUNCIONÁRIOS'!$C$4:$C$501,0)),""))</f>
        <v>Montador</v>
      </c>
      <c r="E345" s="113" t="str">
        <f t="array" ref="E345">IF(B345="","",IFERROR(INDEX('FUNCIONÁRIOS'!$E$4:$E$501,MATCH(B345,'FUNCIONÁRIOS'!$C$4:$C$501,0)),""))</f>
        <v>NÃO</v>
      </c>
      <c r="F345" s="138">
        <v>46166.0</v>
      </c>
      <c r="G345" s="115" t="str">
        <f t="shared" si="25"/>
        <v>✅ 08:25</v>
      </c>
      <c r="H345" s="121">
        <v>0.3506944444444444</v>
      </c>
      <c r="I345" s="117" t="str">
        <f t="shared" si="26"/>
        <v>✅ 16:15</v>
      </c>
      <c r="J345" s="121">
        <v>0.6770833333333334</v>
      </c>
      <c r="K345" s="126">
        <f t="shared" si="27"/>
        <v>0.3263888889</v>
      </c>
      <c r="L345" s="127" t="str">
        <f t="shared" si="28"/>
        <v>✅ Finalizado</v>
      </c>
      <c r="M345" s="110"/>
      <c r="N345" s="110"/>
    </row>
    <row r="346" ht="21.75" customHeight="1">
      <c r="A346" s="111">
        <f>339</f>
        <v>339</v>
      </c>
      <c r="B346" s="112" t="s">
        <v>528</v>
      </c>
      <c r="C346" s="144" t="str">
        <f t="array" ref="C346">IF(B346="","",IFERROR(INDEX('FUNCIONÁRIOS'!$B$4:$B$501,MATCH(B346,'FUNCIONÁRIOS'!$C$4:$C$501,0)),""))</f>
        <v>SHOWNEWS</v>
      </c>
      <c r="D346" s="144" t="str">
        <f t="array" ref="D346">IF(B346="","",IFERROR(INDEX('FUNCIONÁRIOS'!$D$4:$D$501,MATCH(B346,'FUNCIONÁRIOS'!$C$4:$C$501,0)),""))</f>
        <v>Montador</v>
      </c>
      <c r="E346" s="123" t="str">
        <f t="array" ref="E346">IF(B346="","",IFERROR(INDEX('FUNCIONÁRIOS'!$E$4:$E$501,MATCH(B346,'FUNCIONÁRIOS'!$C$4:$C$501,0)),""))</f>
        <v>NÃO</v>
      </c>
      <c r="F346" s="138">
        <v>46166.0</v>
      </c>
      <c r="G346" s="115" t="str">
        <f t="shared" si="25"/>
        <v>✅ 08:25</v>
      </c>
      <c r="H346" s="121">
        <v>0.3506944444444444</v>
      </c>
      <c r="I346" s="117" t="str">
        <f t="shared" si="26"/>
        <v>✅ 18:00</v>
      </c>
      <c r="J346" s="121">
        <v>0.75</v>
      </c>
      <c r="K346" s="126">
        <f t="shared" si="27"/>
        <v>0.3993055556</v>
      </c>
      <c r="L346" s="127" t="str">
        <f t="shared" si="28"/>
        <v>✅ Finalizado</v>
      </c>
      <c r="M346" s="110"/>
      <c r="N346" s="110"/>
    </row>
    <row r="347" ht="21.75" customHeight="1">
      <c r="A347" s="111">
        <f>340</f>
        <v>340</v>
      </c>
      <c r="B347" s="112" t="s">
        <v>432</v>
      </c>
      <c r="C347" s="143" t="str">
        <f t="array" ref="C347">IF(B347="","",IFERROR(INDEX('FUNCIONÁRIOS'!$B$4:$B$501,MATCH(B347,'FUNCIONÁRIOS'!$C$4:$C$501,0)),""))</f>
        <v>SHOWNEWS</v>
      </c>
      <c r="D347" s="143" t="str">
        <f t="array" ref="D347">IF(B347="","",IFERROR(INDEX('FUNCIONÁRIOS'!$D$4:$D$501,MATCH(B347,'FUNCIONÁRIOS'!$C$4:$C$501,0)),""))</f>
        <v>Montador</v>
      </c>
      <c r="E347" s="113" t="str">
        <f t="array" ref="E347">IF(B347="","",IFERROR(INDEX('FUNCIONÁRIOS'!$E$4:$E$501,MATCH(B347,'FUNCIONÁRIOS'!$C$4:$C$501,0)),""))</f>
        <v>NÃO</v>
      </c>
      <c r="F347" s="138">
        <v>46166.0</v>
      </c>
      <c r="G347" s="115" t="str">
        <f t="shared" si="25"/>
        <v>✅ 08:31</v>
      </c>
      <c r="H347" s="121">
        <v>0.3548611111111111</v>
      </c>
      <c r="I347" s="117" t="str">
        <f t="shared" si="26"/>
        <v>✅ 18:00</v>
      </c>
      <c r="J347" s="121">
        <v>0.75</v>
      </c>
      <c r="K347" s="126">
        <f t="shared" si="27"/>
        <v>0.3951388889</v>
      </c>
      <c r="L347" s="127" t="str">
        <f t="shared" si="28"/>
        <v>✅ Finalizado</v>
      </c>
      <c r="M347" s="110"/>
      <c r="N347" s="110"/>
    </row>
    <row r="348" ht="21.75" customHeight="1">
      <c r="A348" s="111">
        <f>341</f>
        <v>341</v>
      </c>
      <c r="B348" s="112" t="s">
        <v>428</v>
      </c>
      <c r="C348" s="144" t="str">
        <f t="array" ref="C348">IF(B348="","",IFERROR(INDEX('FUNCIONÁRIOS'!$B$4:$B$501,MATCH(B348,'FUNCIONÁRIOS'!$C$4:$C$501,0)),""))</f>
        <v>SHOWNEWS</v>
      </c>
      <c r="D348" s="144" t="str">
        <f t="array" ref="D348">IF(B348="","",IFERROR(INDEX('FUNCIONÁRIOS'!$D$4:$D$501,MATCH(B348,'FUNCIONÁRIOS'!$C$4:$C$501,0)),""))</f>
        <v>Montador</v>
      </c>
      <c r="E348" s="123" t="str">
        <f t="array" ref="E348">IF(B348="","",IFERROR(INDEX('FUNCIONÁRIOS'!$E$4:$E$501,MATCH(B348,'FUNCIONÁRIOS'!$C$4:$C$501,0)),""))</f>
        <v>NÃO</v>
      </c>
      <c r="F348" s="138">
        <v>46166.0</v>
      </c>
      <c r="G348" s="115" t="str">
        <f t="shared" si="25"/>
        <v>✅ 08:31</v>
      </c>
      <c r="H348" s="121">
        <v>0.3548611111111111</v>
      </c>
      <c r="I348" s="117" t="str">
        <f t="shared" si="26"/>
        <v>✅ 18:00</v>
      </c>
      <c r="J348" s="121">
        <v>0.75</v>
      </c>
      <c r="K348" s="126">
        <f t="shared" si="27"/>
        <v>0.3951388889</v>
      </c>
      <c r="L348" s="127" t="str">
        <f t="shared" si="28"/>
        <v>✅ Finalizado</v>
      </c>
      <c r="M348" s="110"/>
      <c r="N348" s="110"/>
    </row>
    <row r="349" ht="21.75" customHeight="1">
      <c r="A349" s="111">
        <f>342</f>
        <v>342</v>
      </c>
      <c r="B349" s="112" t="s">
        <v>446</v>
      </c>
      <c r="C349" s="143" t="str">
        <f t="array" ref="C349">IF(B349="","",IFERROR(INDEX('FUNCIONÁRIOS'!$B$4:$B$501,MATCH(B349,'FUNCIONÁRIOS'!$C$4:$C$501,0)),""))</f>
        <v>SHOWNEWS</v>
      </c>
      <c r="D349" s="143" t="str">
        <f t="array" ref="D349">IF(B349="","",IFERROR(INDEX('FUNCIONÁRIOS'!$D$4:$D$501,MATCH(B349,'FUNCIONÁRIOS'!$C$4:$C$501,0)),""))</f>
        <v>Montador</v>
      </c>
      <c r="E349" s="113" t="str">
        <f t="array" ref="E349">IF(B349="","",IFERROR(INDEX('FUNCIONÁRIOS'!$E$4:$E$501,MATCH(B349,'FUNCIONÁRIOS'!$C$4:$C$501,0)),""))</f>
        <v>NÃO</v>
      </c>
      <c r="F349" s="138">
        <v>46166.0</v>
      </c>
      <c r="G349" s="115" t="str">
        <f t="shared" si="25"/>
        <v>✅ 08:31</v>
      </c>
      <c r="H349" s="121">
        <v>0.3548611111111111</v>
      </c>
      <c r="I349" s="117" t="str">
        <f t="shared" si="26"/>
        <v>✅ 18:00</v>
      </c>
      <c r="J349" s="121">
        <v>0.75</v>
      </c>
      <c r="K349" s="126">
        <f t="shared" si="27"/>
        <v>0.3951388889</v>
      </c>
      <c r="L349" s="127" t="str">
        <f t="shared" si="28"/>
        <v>✅ Finalizado</v>
      </c>
      <c r="M349" s="110"/>
      <c r="N349" s="110"/>
    </row>
    <row r="350" ht="21.75" customHeight="1">
      <c r="A350" s="111">
        <f>343</f>
        <v>343</v>
      </c>
      <c r="B350" s="112" t="s">
        <v>442</v>
      </c>
      <c r="C350" s="144" t="str">
        <f t="array" ref="C350">IF(B350="","",IFERROR(INDEX('FUNCIONÁRIOS'!$B$4:$B$501,MATCH(B350,'FUNCIONÁRIOS'!$C$4:$C$501,0)),""))</f>
        <v>SHOWNEWS</v>
      </c>
      <c r="D350" s="144" t="str">
        <f t="array" ref="D350">IF(B350="","",IFERROR(INDEX('FUNCIONÁRIOS'!$D$4:$D$501,MATCH(B350,'FUNCIONÁRIOS'!$C$4:$C$501,0)),""))</f>
        <v>Montador</v>
      </c>
      <c r="E350" s="123" t="str">
        <f t="array" ref="E350">IF(B350="","",IFERROR(INDEX('FUNCIONÁRIOS'!$E$4:$E$501,MATCH(B350,'FUNCIONÁRIOS'!$C$4:$C$501,0)),""))</f>
        <v>NÃO</v>
      </c>
      <c r="F350" s="138">
        <v>46166.0</v>
      </c>
      <c r="G350" s="115" t="str">
        <f t="shared" si="25"/>
        <v>✅ 08:31</v>
      </c>
      <c r="H350" s="121">
        <v>0.3548611111111111</v>
      </c>
      <c r="I350" s="117" t="str">
        <f t="shared" si="26"/>
        <v>✅ 16:15</v>
      </c>
      <c r="J350" s="121">
        <v>0.6770833333333334</v>
      </c>
      <c r="K350" s="126">
        <f t="shared" si="27"/>
        <v>0.3222222222</v>
      </c>
      <c r="L350" s="127" t="str">
        <f t="shared" si="28"/>
        <v>✅ Finalizado</v>
      </c>
      <c r="M350" s="110"/>
      <c r="N350" s="110"/>
    </row>
    <row r="351" ht="21.75" customHeight="1">
      <c r="A351" s="111">
        <f>344</f>
        <v>344</v>
      </c>
      <c r="B351" s="112" t="s">
        <v>530</v>
      </c>
      <c r="C351" s="143" t="str">
        <f t="array" ref="C351">IF(B351="","",IFERROR(INDEX('FUNCIONÁRIOS'!$B$4:$B$501,MATCH(B351,'FUNCIONÁRIOS'!$C$4:$C$501,0)),""))</f>
        <v>SHOWNEWS</v>
      </c>
      <c r="D351" s="143" t="str">
        <f t="array" ref="D351">IF(B351="","",IFERROR(INDEX('FUNCIONÁRIOS'!$D$4:$D$501,MATCH(B351,'FUNCIONÁRIOS'!$C$4:$C$501,0)),""))</f>
        <v>Montador</v>
      </c>
      <c r="E351" s="113" t="str">
        <f t="array" ref="E351">IF(B351="","",IFERROR(INDEX('FUNCIONÁRIOS'!$E$4:$E$501,MATCH(B351,'FUNCIONÁRIOS'!$C$4:$C$501,0)),""))</f>
        <v>NÃO</v>
      </c>
      <c r="F351" s="138">
        <v>46166.0</v>
      </c>
      <c r="G351" s="115" t="str">
        <f t="shared" si="25"/>
        <v>✅ 08:31</v>
      </c>
      <c r="H351" s="121">
        <v>0.3548611111111111</v>
      </c>
      <c r="I351" s="117" t="str">
        <f t="shared" si="26"/>
        <v>✅ 18:00</v>
      </c>
      <c r="J351" s="121">
        <v>0.75</v>
      </c>
      <c r="K351" s="126">
        <f t="shared" si="27"/>
        <v>0.3951388889</v>
      </c>
      <c r="L351" s="127" t="str">
        <f t="shared" si="28"/>
        <v>✅ Finalizado</v>
      </c>
      <c r="M351" s="110"/>
      <c r="N351" s="110"/>
    </row>
    <row r="352" ht="21.75" customHeight="1">
      <c r="A352" s="111">
        <f>345</f>
        <v>345</v>
      </c>
      <c r="B352" s="112" t="s">
        <v>498</v>
      </c>
      <c r="C352" s="144" t="str">
        <f t="array" ref="C352">IF(B352="","",IFERROR(INDEX('FUNCIONÁRIOS'!$B$4:$B$501,MATCH(B352,'FUNCIONÁRIOS'!$C$4:$C$501,0)),""))</f>
        <v>SHOWNEWS</v>
      </c>
      <c r="D352" s="144" t="str">
        <f t="array" ref="D352">IF(B352="","",IFERROR(INDEX('FUNCIONÁRIOS'!$D$4:$D$501,MATCH(B352,'FUNCIONÁRIOS'!$C$4:$C$501,0)),""))</f>
        <v>Montador</v>
      </c>
      <c r="E352" s="123" t="str">
        <f t="array" ref="E352">IF(B352="","",IFERROR(INDEX('FUNCIONÁRIOS'!$E$4:$E$501,MATCH(B352,'FUNCIONÁRIOS'!$C$4:$C$501,0)),""))</f>
        <v>NÃO</v>
      </c>
      <c r="F352" s="138">
        <v>46166.0</v>
      </c>
      <c r="G352" s="115" t="str">
        <f t="shared" si="25"/>
        <v>✅ 08:43</v>
      </c>
      <c r="H352" s="121">
        <v>0.36319444444444443</v>
      </c>
      <c r="I352" s="117" t="str">
        <f t="shared" si="26"/>
        <v>✅ 16:15</v>
      </c>
      <c r="J352" s="121">
        <v>0.6770833333333334</v>
      </c>
      <c r="K352" s="126">
        <f t="shared" si="27"/>
        <v>0.3138888889</v>
      </c>
      <c r="L352" s="127" t="str">
        <f t="shared" si="28"/>
        <v>✅ Finalizado</v>
      </c>
      <c r="M352" s="110"/>
      <c r="N352" s="110"/>
    </row>
    <row r="353" ht="21.75" customHeight="1">
      <c r="A353" s="111">
        <f>346</f>
        <v>346</v>
      </c>
      <c r="B353" s="112" t="s">
        <v>220</v>
      </c>
      <c r="C353" s="143" t="str">
        <f t="array" ref="C353">IF(B353="","",IFERROR(INDEX('FUNCIONÁRIOS'!$B$4:$B$501,MATCH(B353,'FUNCIONÁRIOS'!$C$4:$C$501,0)),""))</f>
        <v>ELEMENT </v>
      </c>
      <c r="D353" s="143" t="str">
        <f t="array" ref="D353">IF(B353="","",IFERROR(INDEX('FUNCIONÁRIOS'!$D$4:$D$501,MATCH(B353,'FUNCIONÁRIOS'!$C$4:$C$501,0)),""))</f>
        <v>PRODUÇÃO </v>
      </c>
      <c r="E353" s="113" t="str">
        <f t="array" ref="E353">IF(B353="","",IFERROR(INDEX('FUNCIONÁRIOS'!$E$4:$E$501,MATCH(B353,'FUNCIONÁRIOS'!$C$4:$C$501,0)),""))</f>
        <v>NÃO</v>
      </c>
      <c r="F353" s="138">
        <v>46166.0</v>
      </c>
      <c r="G353" s="115" t="str">
        <f t="shared" si="25"/>
        <v>✅ 08:43</v>
      </c>
      <c r="H353" s="121">
        <v>0.36319444444444443</v>
      </c>
      <c r="I353" s="117" t="str">
        <f t="shared" si="26"/>
        <v>✅ 14:50</v>
      </c>
      <c r="J353" s="121">
        <v>0.6180555555555556</v>
      </c>
      <c r="K353" s="126">
        <f t="shared" si="27"/>
        <v>0.2548611111</v>
      </c>
      <c r="L353" s="127" t="str">
        <f t="shared" si="28"/>
        <v>✅ Finalizado</v>
      </c>
      <c r="M353" s="110"/>
      <c r="N353" s="110"/>
    </row>
    <row r="354" ht="21.75" customHeight="1">
      <c r="A354" s="111">
        <f>347</f>
        <v>347</v>
      </c>
      <c r="B354" s="112" t="s">
        <v>232</v>
      </c>
      <c r="C354" s="144" t="str">
        <f t="array" ref="C354">IF(B354="","",IFERROR(INDEX('FUNCIONÁRIOS'!$B$4:$B$501,MATCH(B354,'FUNCIONÁRIOS'!$C$4:$C$501,0)),""))</f>
        <v>UP MUSIC </v>
      </c>
      <c r="D354" s="144" t="str">
        <f t="array" ref="D354">IF(B354="","",IFERROR(INDEX('FUNCIONÁRIOS'!$D$4:$D$501,MATCH(B354,'FUNCIONÁRIOS'!$C$4:$C$501,0)),""))</f>
        <v>PRODUTOR GERAL </v>
      </c>
      <c r="E354" s="123" t="str">
        <f t="array" ref="E354">IF(B354="","",IFERROR(INDEX('FUNCIONÁRIOS'!$E$4:$E$501,MATCH(B354,'FUNCIONÁRIOS'!$C$4:$C$501,0)),""))</f>
        <v>SIM</v>
      </c>
      <c r="F354" s="138">
        <v>46166.0</v>
      </c>
      <c r="G354" s="115" t="str">
        <f t="shared" si="25"/>
        <v>✅ 08:43</v>
      </c>
      <c r="H354" s="121">
        <v>0.36319444444444443</v>
      </c>
      <c r="I354" s="117" t="str">
        <f t="shared" si="26"/>
        <v>✅ 14:50</v>
      </c>
      <c r="J354" s="121">
        <v>0.6180555555555556</v>
      </c>
      <c r="K354" s="126">
        <f t="shared" si="27"/>
        <v>0.2548611111</v>
      </c>
      <c r="L354" s="127" t="str">
        <f t="shared" si="28"/>
        <v>✅ Finalizado</v>
      </c>
      <c r="M354" s="110"/>
      <c r="N354" s="110"/>
    </row>
    <row r="355" ht="21.75" customHeight="1">
      <c r="A355" s="111">
        <f>348</f>
        <v>348</v>
      </c>
      <c r="B355" s="112" t="s">
        <v>532</v>
      </c>
      <c r="C355" s="143" t="str">
        <f t="array" ref="C355">IF(B355="","",IFERROR(INDEX('FUNCIONÁRIOS'!$B$4:$B$501,MATCH(B355,'FUNCIONÁRIOS'!$C$4:$C$501,0)),""))</f>
        <v>GRUPO IZA</v>
      </c>
      <c r="D355" s="143" t="str">
        <f t="array" ref="D355">IF(B355="","",IFERROR(INDEX('FUNCIONÁRIOS'!$D$4:$D$501,MATCH(B355,'FUNCIONÁRIOS'!$C$4:$C$501,0)),""))</f>
        <v>Motorista</v>
      </c>
      <c r="E355" s="113" t="str">
        <f t="array" ref="E355">IF(B355="","",IFERROR(INDEX('FUNCIONÁRIOS'!$E$4:$E$501,MATCH(B355,'FUNCIONÁRIOS'!$C$4:$C$501,0)),""))</f>
        <v>NÃO</v>
      </c>
      <c r="F355" s="138">
        <v>46166.0</v>
      </c>
      <c r="G355" s="115" t="str">
        <f t="shared" si="25"/>
        <v>✅ 11:36</v>
      </c>
      <c r="H355" s="121">
        <v>0.48333333333333334</v>
      </c>
      <c r="I355" s="117" t="str">
        <f t="shared" si="26"/>
        <v>✅ 12:00</v>
      </c>
      <c r="J355" s="121">
        <v>0.5</v>
      </c>
      <c r="K355" s="126">
        <f t="shared" si="27"/>
        <v>0.01666666667</v>
      </c>
      <c r="L355" s="127" t="str">
        <f t="shared" si="28"/>
        <v>✅ Finalizado</v>
      </c>
      <c r="M355" s="110"/>
      <c r="N355" s="110"/>
    </row>
    <row r="356" ht="21.75" customHeight="1">
      <c r="A356" s="111">
        <f>349</f>
        <v>349</v>
      </c>
      <c r="B356" s="112" t="s">
        <v>125</v>
      </c>
      <c r="C356" s="144" t="str">
        <f t="array" ref="C356">IF(B356="","",IFERROR(INDEX('FUNCIONÁRIOS'!$B$4:$B$501,MATCH(B356,'FUNCIONÁRIOS'!$C$4:$C$501,0)),""))</f>
        <v>MONTE EVENTOS </v>
      </c>
      <c r="D356" s="144" t="str">
        <f t="array" ref="D356">IF(B356="","",IFERROR(INDEX('FUNCIONÁRIOS'!$D$4:$D$501,MATCH(B356,'FUNCIONÁRIOS'!$C$4:$C$501,0)),""))</f>
        <v>MONTADOR</v>
      </c>
      <c r="E356" s="123" t="str">
        <f t="array" ref="E356">IF(B356="","",IFERROR(INDEX('FUNCIONÁRIOS'!$E$4:$E$501,MATCH(B356,'FUNCIONÁRIOS'!$C$4:$C$501,0)),""))</f>
        <v>NÃO</v>
      </c>
      <c r="F356" s="138">
        <v>46166.0</v>
      </c>
      <c r="G356" s="115" t="str">
        <f t="shared" si="25"/>
        <v>✅ 08:00</v>
      </c>
      <c r="H356" s="121">
        <v>0.3333333333333333</v>
      </c>
      <c r="I356" s="117" t="str">
        <f t="shared" si="26"/>
        <v>✅ 17:56</v>
      </c>
      <c r="J356" s="121">
        <v>0.7472222222222222</v>
      </c>
      <c r="K356" s="126">
        <f t="shared" si="27"/>
        <v>0.4138888889</v>
      </c>
      <c r="L356" s="127" t="str">
        <f t="shared" si="28"/>
        <v>✅ Finalizado</v>
      </c>
      <c r="M356" s="110"/>
      <c r="N356" s="110"/>
    </row>
    <row r="357" ht="21.75" customHeight="1">
      <c r="A357" s="111">
        <f>350</f>
        <v>350</v>
      </c>
      <c r="B357" s="112" t="s">
        <v>136</v>
      </c>
      <c r="C357" s="143" t="str">
        <f t="array" ref="C357">IF(B357="","",IFERROR(INDEX('FUNCIONÁRIOS'!$B$4:$B$501,MATCH(B357,'FUNCIONÁRIOS'!$C$4:$C$501,0)),""))</f>
        <v>YES </v>
      </c>
      <c r="D357" s="143" t="str">
        <f t="array" ref="D357">IF(B357="","",IFERROR(INDEX('FUNCIONÁRIOS'!$D$4:$D$501,MATCH(B357,'FUNCIONÁRIOS'!$C$4:$C$501,0)),""))</f>
        <v>TEC SEGURANÇA</v>
      </c>
      <c r="E357" s="113" t="str">
        <f t="array" ref="E357">IF(B357="","",IFERROR(INDEX('FUNCIONÁRIOS'!$E$4:$E$501,MATCH(B357,'FUNCIONÁRIOS'!$C$4:$C$501,0)),""))</f>
        <v>NÃO</v>
      </c>
      <c r="F357" s="138">
        <v>46166.0</v>
      </c>
      <c r="G357" s="115" t="str">
        <f t="shared" si="25"/>
        <v>✅ 08:00</v>
      </c>
      <c r="H357" s="121">
        <v>0.3333333333333333</v>
      </c>
      <c r="I357" s="117" t="str">
        <f t="shared" si="26"/>
        <v>✅ 17:57</v>
      </c>
      <c r="J357" s="121">
        <v>0.7479166666666667</v>
      </c>
      <c r="K357" s="126">
        <f t="shared" si="27"/>
        <v>0.4145833333</v>
      </c>
      <c r="L357" s="127" t="str">
        <f t="shared" si="28"/>
        <v>✅ Finalizado</v>
      </c>
      <c r="M357" s="110"/>
      <c r="N357" s="110"/>
    </row>
    <row r="358" ht="21.75" customHeight="1">
      <c r="A358" s="167"/>
      <c r="B358" s="128"/>
      <c r="C358" s="140"/>
      <c r="D358" s="140"/>
      <c r="E358" s="130"/>
      <c r="F358" s="131"/>
      <c r="G358" s="132"/>
      <c r="H358" s="135"/>
      <c r="I358" s="134"/>
      <c r="J358" s="141"/>
      <c r="K358" s="147"/>
      <c r="L358" s="137"/>
      <c r="M358" s="110"/>
      <c r="N358" s="110"/>
    </row>
    <row r="359" ht="21.75" customHeight="1">
      <c r="A359" s="111">
        <f>351</f>
        <v>351</v>
      </c>
      <c r="B359" s="112" t="s">
        <v>350</v>
      </c>
      <c r="C359" s="144" t="str">
        <f t="array" ref="C359">IF(B359="","",IFERROR(INDEX('FUNCIONÁRIOS'!$B$4:$B$501,MATCH(B359,'FUNCIONÁRIOS'!$C$4:$C$501,0)),""))</f>
        <v>GO TO </v>
      </c>
      <c r="D359" s="144" t="str">
        <f t="array" ref="D359">IF(B359="","",IFERROR(INDEX('FUNCIONÁRIOS'!$D$4:$D$501,MATCH(B359,'FUNCIONÁRIOS'!$C$4:$C$501,0)),""))</f>
        <v>MONTADOR</v>
      </c>
      <c r="E359" s="123" t="str">
        <f t="array" ref="E359">IF(B359="","",IFERROR(INDEX('FUNCIONÁRIOS'!$E$4:$E$501,MATCH(B359,'FUNCIONÁRIOS'!$C$4:$C$501,0)),""))</f>
        <v>NÃO</v>
      </c>
      <c r="F359" s="138">
        <v>46167.0</v>
      </c>
      <c r="G359" s="115" t="str">
        <f t="shared" ref="G359:G477" si="29">IF(H359&lt;&gt;"","✅ "&amp;TEXT(H359,"HH:MM"),"→ Selecione a linha e use o menu ⏱️ Ponto")</f>
        <v>✅ 07:50</v>
      </c>
      <c r="H359" s="121">
        <v>0.3263888888888889</v>
      </c>
      <c r="I359" s="117" t="str">
        <f t="shared" ref="I359:I393" si="30">IF(J359&lt;&gt;"","✅ "&amp;TEXT(J359,"HH:MM"),"→ Selecione a linha e use o menu ⏱️ Ponto")</f>
        <v>✅ 21:52</v>
      </c>
      <c r="J359" s="116" t="s">
        <v>1651</v>
      </c>
      <c r="K359" s="118">
        <v>0.5847222222222221</v>
      </c>
      <c r="L359" s="127" t="str">
        <f t="shared" ref="L359:L477" si="31">IF(AND(H359&lt;&gt;"",J359=""),"🟢 No Evento",IF(AND(H359&lt;&gt;"",J359&lt;&gt;""),"✅ Finalizado",IF(B359&lt;&gt;"","⏳ Não entrou","")))</f>
        <v>✅ Finalizado</v>
      </c>
      <c r="M359" s="110"/>
      <c r="N359" s="110"/>
    </row>
    <row r="360" ht="21.75" customHeight="1">
      <c r="A360" s="111">
        <f>352</f>
        <v>352</v>
      </c>
      <c r="B360" s="112" t="s">
        <v>140</v>
      </c>
      <c r="C360" s="143" t="str">
        <f t="array" ref="C360">IF(B360="","",IFERROR(INDEX('FUNCIONÁRIOS'!$B$4:$B$501,MATCH(B360,'FUNCIONÁRIOS'!$C$4:$C$501,0)),""))</f>
        <v>BIGODE </v>
      </c>
      <c r="D360" s="143" t="str">
        <f t="array" ref="D360">IF(B360="","",IFERROR(INDEX('FUNCIONÁRIOS'!$D$4:$D$501,MATCH(B360,'FUNCIONÁRIOS'!$C$4:$C$501,0)),""))</f>
        <v>CONTROLE DE ACESSO</v>
      </c>
      <c r="E360" s="113" t="str">
        <f t="array" ref="E360">IF(B360="","",IFERROR(INDEX('FUNCIONÁRIOS'!$E$4:$E$501,MATCH(B360,'FUNCIONÁRIOS'!$C$4:$C$501,0)),""))</f>
        <v>NÃO</v>
      </c>
      <c r="F360" s="138">
        <v>46167.0</v>
      </c>
      <c r="G360" s="115" t="str">
        <f t="shared" si="29"/>
        <v>✅ 07:52</v>
      </c>
      <c r="H360" s="121">
        <v>0.3277777777777778</v>
      </c>
      <c r="I360" s="117" t="str">
        <f t="shared" si="30"/>
        <v>✅ 22:00</v>
      </c>
      <c r="J360" s="121">
        <v>0.9166666666666666</v>
      </c>
      <c r="K360" s="126">
        <f t="shared" ref="K360:K363" si="32">IF(AND(H360&lt;&gt;"",J360&lt;&gt;""),J360-H360,"")</f>
        <v>0.5888888889</v>
      </c>
      <c r="L360" s="127" t="str">
        <f t="shared" si="31"/>
        <v>✅ Finalizado</v>
      </c>
      <c r="M360" s="110"/>
      <c r="N360" s="110"/>
    </row>
    <row r="361" ht="21.75" customHeight="1">
      <c r="A361" s="111">
        <f>353</f>
        <v>353</v>
      </c>
      <c r="B361" s="112" t="s">
        <v>142</v>
      </c>
      <c r="C361" s="144" t="str">
        <f t="array" ref="C361">IF(B361="","",IFERROR(INDEX('FUNCIONÁRIOS'!$B$4:$B$501,MATCH(B361,'FUNCIONÁRIOS'!$C$4:$C$501,0)),""))</f>
        <v>BIGODE </v>
      </c>
      <c r="D361" s="144" t="str">
        <f t="array" ref="D361">IF(B361="","",IFERROR(INDEX('FUNCIONÁRIOS'!$D$4:$D$501,MATCH(B361,'FUNCIONÁRIOS'!$C$4:$C$501,0)),""))</f>
        <v>CONTROLE DE ACESSO</v>
      </c>
      <c r="E361" s="123" t="str">
        <f t="array" ref="E361">IF(B361="","",IFERROR(INDEX('FUNCIONÁRIOS'!$E$4:$E$501,MATCH(B361,'FUNCIONÁRIOS'!$C$4:$C$501,0)),""))</f>
        <v>NÃO</v>
      </c>
      <c r="F361" s="138">
        <v>46167.0</v>
      </c>
      <c r="G361" s="115" t="str">
        <f t="shared" si="29"/>
        <v>✅ 07:52</v>
      </c>
      <c r="H361" s="121">
        <v>0.3277777777777778</v>
      </c>
      <c r="I361" s="117" t="str">
        <f t="shared" si="30"/>
        <v>✅ 22:00</v>
      </c>
      <c r="J361" s="121">
        <v>0.9166666666666666</v>
      </c>
      <c r="K361" s="126">
        <f t="shared" si="32"/>
        <v>0.5888888889</v>
      </c>
      <c r="L361" s="127" t="str">
        <f t="shared" si="31"/>
        <v>✅ Finalizado</v>
      </c>
      <c r="M361" s="110"/>
      <c r="N361" s="110"/>
    </row>
    <row r="362" ht="21.75" customHeight="1">
      <c r="A362" s="111">
        <f>354</f>
        <v>354</v>
      </c>
      <c r="B362" s="112" t="s">
        <v>253</v>
      </c>
      <c r="C362" s="143" t="str">
        <f t="array" ref="C362">IF(B362="","",IFERROR(INDEX('FUNCIONÁRIOS'!$B$4:$B$501,MATCH(B362,'FUNCIONÁRIOS'!$C$4:$C$501,0)),""))</f>
        <v>BIGODE </v>
      </c>
      <c r="D362" s="143" t="str">
        <f t="array" ref="D362">IF(B362="","",IFERROR(INDEX('FUNCIONÁRIOS'!$D$4:$D$501,MATCH(B362,'FUNCIONÁRIOS'!$C$4:$C$501,0)),""))</f>
        <v>CONTROLE DE ACESSO</v>
      </c>
      <c r="E362" s="113" t="str">
        <f t="array" ref="E362">IF(B362="","",IFERROR(INDEX('FUNCIONÁRIOS'!$E$4:$E$501,MATCH(B362,'FUNCIONÁRIOS'!$C$4:$C$501,0)),""))</f>
        <v>NÃO</v>
      </c>
      <c r="F362" s="138">
        <v>46167.0</v>
      </c>
      <c r="G362" s="115" t="str">
        <f t="shared" si="29"/>
        <v>✅ 07:52</v>
      </c>
      <c r="H362" s="121">
        <v>0.3277777777777778</v>
      </c>
      <c r="I362" s="117" t="str">
        <f t="shared" si="30"/>
        <v>✅ 22:00</v>
      </c>
      <c r="J362" s="121">
        <v>0.9166666666666666</v>
      </c>
      <c r="K362" s="126">
        <f t="shared" si="32"/>
        <v>0.5888888889</v>
      </c>
      <c r="L362" s="127" t="str">
        <f t="shared" si="31"/>
        <v>✅ Finalizado</v>
      </c>
      <c r="M362" s="110"/>
      <c r="N362" s="110"/>
    </row>
    <row r="363" ht="21.75" customHeight="1">
      <c r="A363" s="111">
        <f>355</f>
        <v>355</v>
      </c>
      <c r="B363" s="112" t="s">
        <v>187</v>
      </c>
      <c r="C363" s="144" t="str">
        <f t="array" ref="C363">IF(B363="","",IFERROR(INDEX('FUNCIONÁRIOS'!$B$4:$B$501,MATCH(B363,'FUNCIONÁRIOS'!$C$4:$C$501,0)),""))</f>
        <v>FLASH MED</v>
      </c>
      <c r="D363" s="144" t="str">
        <f t="array" ref="D363">IF(B363="","",IFERROR(INDEX('FUNCIONÁRIOS'!$D$4:$D$501,MATCH(B363,'FUNCIONÁRIOS'!$C$4:$C$501,0)),""))</f>
        <v>Socorrista </v>
      </c>
      <c r="E363" s="123" t="str">
        <f t="array" ref="E363">IF(B363="","",IFERROR(INDEX('FUNCIONÁRIOS'!$E$4:$E$501,MATCH(B363,'FUNCIONÁRIOS'!$C$4:$C$501,0)),""))</f>
        <v>NÃO</v>
      </c>
      <c r="F363" s="138">
        <v>46167.0</v>
      </c>
      <c r="G363" s="115" t="str">
        <f t="shared" si="29"/>
        <v>✅ 07:55</v>
      </c>
      <c r="H363" s="121">
        <v>0.3298611111111111</v>
      </c>
      <c r="I363" s="117" t="str">
        <f t="shared" si="30"/>
        <v>✅ 18:50</v>
      </c>
      <c r="J363" s="121">
        <v>0.7847222222222222</v>
      </c>
      <c r="K363" s="126">
        <f t="shared" si="32"/>
        <v>0.4548611111</v>
      </c>
      <c r="L363" s="127" t="str">
        <f t="shared" si="31"/>
        <v>✅ Finalizado</v>
      </c>
      <c r="M363" s="110"/>
      <c r="N363" s="110"/>
    </row>
    <row r="364" ht="21.75" customHeight="1">
      <c r="A364" s="111">
        <f>356</f>
        <v>356</v>
      </c>
      <c r="B364" s="112" t="s">
        <v>143</v>
      </c>
      <c r="C364" s="143" t="str">
        <f t="array" ref="C364">IF(B364="","",IFERROR(INDEX('FUNCIONÁRIOS'!$B$4:$B$501,MATCH(B364,'FUNCIONÁRIOS'!$C$4:$C$501,0)),""))</f>
        <v/>
      </c>
      <c r="D364" s="143" t="str">
        <f t="array" ref="D364">IF(B364="","",IFERROR(INDEX('FUNCIONÁRIOS'!$D$4:$D$501,MATCH(B364,'FUNCIONÁRIOS'!$C$4:$C$501,0)),""))</f>
        <v>OPERADOR DE EMPILHADEIRA </v>
      </c>
      <c r="E364" s="113" t="str">
        <f t="array" ref="E364">IF(B364="","",IFERROR(INDEX('FUNCIONÁRIOS'!$E$4:$E$501,MATCH(B364,'FUNCIONÁRIOS'!$C$4:$C$501,0)),""))</f>
        <v>NÃO</v>
      </c>
      <c r="F364" s="138">
        <v>46167.0</v>
      </c>
      <c r="G364" s="115" t="str">
        <f t="shared" si="29"/>
        <v>✅ 08:07</v>
      </c>
      <c r="H364" s="121">
        <v>0.33819444444444446</v>
      </c>
      <c r="I364" s="117" t="str">
        <f t="shared" si="30"/>
        <v>✅ 18:08</v>
      </c>
      <c r="J364" s="116" t="s">
        <v>1652</v>
      </c>
      <c r="K364" s="118">
        <v>0.41736111111111107</v>
      </c>
      <c r="L364" s="127" t="str">
        <f t="shared" si="31"/>
        <v>✅ Finalizado</v>
      </c>
      <c r="M364" s="110"/>
      <c r="N364" s="110"/>
    </row>
    <row r="365" ht="21.75" customHeight="1">
      <c r="A365" s="111">
        <f>357</f>
        <v>357</v>
      </c>
      <c r="B365" s="112" t="s">
        <v>232</v>
      </c>
      <c r="C365" s="144" t="str">
        <f t="array" ref="C365">IF(B365="","",IFERROR(INDEX('FUNCIONÁRIOS'!$B$4:$B$501,MATCH(B365,'FUNCIONÁRIOS'!$C$4:$C$501,0)),""))</f>
        <v>UP MUSIC </v>
      </c>
      <c r="D365" s="144" t="str">
        <f t="array" ref="D365">IF(B365="","",IFERROR(INDEX('FUNCIONÁRIOS'!$D$4:$D$501,MATCH(B365,'FUNCIONÁRIOS'!$C$4:$C$501,0)),""))</f>
        <v>PRODUTOR GERAL </v>
      </c>
      <c r="E365" s="123" t="str">
        <f t="array" ref="E365">IF(B365="","",IFERROR(INDEX('FUNCIONÁRIOS'!$E$4:$E$501,MATCH(B365,'FUNCIONÁRIOS'!$C$4:$C$501,0)),""))</f>
        <v>SIM</v>
      </c>
      <c r="F365" s="138">
        <v>46167.0</v>
      </c>
      <c r="G365" s="115" t="str">
        <f t="shared" si="29"/>
        <v>✅ 08:12</v>
      </c>
      <c r="H365" s="121">
        <v>0.3416666666666667</v>
      </c>
      <c r="I365" s="117" t="str">
        <f t="shared" si="30"/>
        <v>✅ 18:30</v>
      </c>
      <c r="J365" s="121">
        <v>0.7708333333333334</v>
      </c>
      <c r="K365" s="126">
        <f t="shared" ref="K365:K366" si="33">IF(AND(H365&lt;&gt;"",J365&lt;&gt;""),J365-H365,"")</f>
        <v>0.4291666667</v>
      </c>
      <c r="L365" s="127" t="str">
        <f t="shared" si="31"/>
        <v>✅ Finalizado</v>
      </c>
      <c r="M365" s="110"/>
      <c r="N365" s="110"/>
    </row>
    <row r="366" ht="21.75" customHeight="1">
      <c r="A366" s="111">
        <f>358</f>
        <v>358</v>
      </c>
      <c r="B366" s="112" t="s">
        <v>220</v>
      </c>
      <c r="C366" s="143" t="str">
        <f t="array" ref="C366">IF(B366="","",IFERROR(INDEX('FUNCIONÁRIOS'!$B$4:$B$501,MATCH(B366,'FUNCIONÁRIOS'!$C$4:$C$501,0)),""))</f>
        <v>ELEMENT </v>
      </c>
      <c r="D366" s="143" t="str">
        <f t="array" ref="D366">IF(B366="","",IFERROR(INDEX('FUNCIONÁRIOS'!$D$4:$D$501,MATCH(B366,'FUNCIONÁRIOS'!$C$4:$C$501,0)),""))</f>
        <v>PRODUÇÃO </v>
      </c>
      <c r="E366" s="113" t="str">
        <f t="array" ref="E366">IF(B366="","",IFERROR(INDEX('FUNCIONÁRIOS'!$E$4:$E$501,MATCH(B366,'FUNCIONÁRIOS'!$C$4:$C$501,0)),""))</f>
        <v>NÃO</v>
      </c>
      <c r="F366" s="138">
        <v>46167.0</v>
      </c>
      <c r="G366" s="115" t="str">
        <f t="shared" si="29"/>
        <v>✅ 08:13</v>
      </c>
      <c r="H366" s="121">
        <v>0.3423611111111111</v>
      </c>
      <c r="I366" s="117" t="str">
        <f t="shared" si="30"/>
        <v>✅ 18:30</v>
      </c>
      <c r="J366" s="121">
        <v>0.7708333333333334</v>
      </c>
      <c r="K366" s="126">
        <f t="shared" si="33"/>
        <v>0.4284722222</v>
      </c>
      <c r="L366" s="127" t="str">
        <f t="shared" si="31"/>
        <v>✅ Finalizado</v>
      </c>
      <c r="M366" s="110"/>
      <c r="N366" s="110"/>
    </row>
    <row r="367" ht="21.75" customHeight="1">
      <c r="A367" s="111">
        <f>359</f>
        <v>359</v>
      </c>
      <c r="B367" s="112" t="s">
        <v>344</v>
      </c>
      <c r="C367" s="144" t="str">
        <f t="array" ref="C367">IF(B367="","",IFERROR(INDEX('FUNCIONÁRIOS'!$B$4:$B$501,MATCH(B367,'FUNCIONÁRIOS'!$C$4:$C$501,0)),""))</f>
        <v>GO TO </v>
      </c>
      <c r="D367" s="144" t="str">
        <f t="array" ref="D367">IF(B367="","",IFERROR(INDEX('FUNCIONÁRIOS'!$D$4:$D$501,MATCH(B367,'FUNCIONÁRIOS'!$C$4:$C$501,0)),""))</f>
        <v>MONTADOR</v>
      </c>
      <c r="E367" s="123" t="str">
        <f t="array" ref="E367">IF(B367="","",IFERROR(INDEX('FUNCIONÁRIOS'!$E$4:$E$501,MATCH(B367,'FUNCIONÁRIOS'!$C$4:$C$501,0)),""))</f>
        <v>NÃO</v>
      </c>
      <c r="F367" s="138">
        <v>46167.0</v>
      </c>
      <c r="G367" s="115" t="str">
        <f t="shared" si="29"/>
        <v>✅ 08:13</v>
      </c>
      <c r="H367" s="121">
        <v>0.3423611111111111</v>
      </c>
      <c r="I367" s="117" t="str">
        <f t="shared" si="30"/>
        <v>✅ 21:51</v>
      </c>
      <c r="J367" s="116" t="s">
        <v>1653</v>
      </c>
      <c r="K367" s="118">
        <v>0.5680555555555555</v>
      </c>
      <c r="L367" s="127" t="str">
        <f t="shared" si="31"/>
        <v>✅ Finalizado</v>
      </c>
      <c r="M367" s="110"/>
      <c r="N367" s="110"/>
    </row>
    <row r="368" ht="21.75" customHeight="1">
      <c r="A368" s="111">
        <f>360</f>
        <v>360</v>
      </c>
      <c r="B368" s="112" t="s">
        <v>352</v>
      </c>
      <c r="C368" s="143" t="str">
        <f t="array" ref="C368">IF(B368="","",IFERROR(INDEX('FUNCIONÁRIOS'!$B$4:$B$501,MATCH(B368,'FUNCIONÁRIOS'!$C$4:$C$501,0)),""))</f>
        <v>GO TO </v>
      </c>
      <c r="D368" s="143" t="str">
        <f t="array" ref="D368">IF(B368="","",IFERROR(INDEX('FUNCIONÁRIOS'!$D$4:$D$501,MATCH(B368,'FUNCIONÁRIOS'!$C$4:$C$501,0)),""))</f>
        <v>MONTADOR</v>
      </c>
      <c r="E368" s="113" t="str">
        <f t="array" ref="E368">IF(B368="","",IFERROR(INDEX('FUNCIONÁRIOS'!$E$4:$E$501,MATCH(B368,'FUNCIONÁRIOS'!$C$4:$C$501,0)),""))</f>
        <v>NÃO</v>
      </c>
      <c r="F368" s="138">
        <v>46167.0</v>
      </c>
      <c r="G368" s="115" t="str">
        <f t="shared" si="29"/>
        <v>✅ 08:13</v>
      </c>
      <c r="H368" s="121">
        <v>0.3423611111111111</v>
      </c>
      <c r="I368" s="117" t="str">
        <f t="shared" si="30"/>
        <v>✅ 21:48</v>
      </c>
      <c r="J368" s="116" t="s">
        <v>1654</v>
      </c>
      <c r="K368" s="118">
        <v>0.5659722222222222</v>
      </c>
      <c r="L368" s="127" t="str">
        <f t="shared" si="31"/>
        <v>✅ Finalizado</v>
      </c>
      <c r="M368" s="110"/>
      <c r="N368" s="110"/>
    </row>
    <row r="369" ht="21.75" customHeight="1">
      <c r="A369" s="111">
        <f>361</f>
        <v>361</v>
      </c>
      <c r="B369" s="112" t="s">
        <v>176</v>
      </c>
      <c r="C369" s="144" t="str">
        <f t="array" ref="C369">IF(B369="","",IFERROR(INDEX('FUNCIONÁRIOS'!$B$4:$B$501,MATCH(B369,'FUNCIONÁRIOS'!$C$4:$C$501,0)),""))</f>
        <v>TJ SERVIÇOS</v>
      </c>
      <c r="D369" s="144" t="str">
        <f t="array" ref="D369">IF(B369="","",IFERROR(INDEX('FUNCIONÁRIOS'!$D$4:$D$501,MATCH(B369,'FUNCIONÁRIOS'!$C$4:$C$501,0)),""))</f>
        <v>BRIGADISTA</v>
      </c>
      <c r="E369" s="123" t="str">
        <f t="array" ref="E369">IF(B369="","",IFERROR(INDEX('FUNCIONÁRIOS'!$E$4:$E$501,MATCH(B369,'FUNCIONÁRIOS'!$C$4:$C$501,0)),""))</f>
        <v>NÃO</v>
      </c>
      <c r="F369" s="138">
        <v>46167.0</v>
      </c>
      <c r="G369" s="115" t="str">
        <f t="shared" si="29"/>
        <v>✅ 08:16</v>
      </c>
      <c r="H369" s="121">
        <v>0.34444444444444444</v>
      </c>
      <c r="I369" s="117" t="str">
        <f t="shared" si="30"/>
        <v>✅ 21:55</v>
      </c>
      <c r="J369" s="116" t="s">
        <v>1655</v>
      </c>
      <c r="K369" s="118">
        <v>0.56875</v>
      </c>
      <c r="L369" s="127" t="str">
        <f t="shared" si="31"/>
        <v>✅ Finalizado</v>
      </c>
      <c r="M369" s="110"/>
      <c r="N369" s="110"/>
    </row>
    <row r="370" ht="21.75" customHeight="1">
      <c r="A370" s="111">
        <f>362</f>
        <v>362</v>
      </c>
      <c r="B370" s="112" t="s">
        <v>129</v>
      </c>
      <c r="C370" s="143" t="str">
        <f t="array" ref="C370">IF(B370="","",IFERROR(INDEX('FUNCIONÁRIOS'!$B$4:$B$501,MATCH(B370,'FUNCIONÁRIOS'!$C$4:$C$501,0)),""))</f>
        <v>TJ SERVIÇOS</v>
      </c>
      <c r="D370" s="143" t="str">
        <f t="array" ref="D370">IF(B370="","",IFERROR(INDEX('FUNCIONÁRIOS'!$D$4:$D$501,MATCH(B370,'FUNCIONÁRIOS'!$C$4:$C$501,0)),""))</f>
        <v>BRIGADISTA </v>
      </c>
      <c r="E370" s="113" t="str">
        <f t="array" ref="E370">IF(B370="","",IFERROR(INDEX('FUNCIONÁRIOS'!$E$4:$E$501,MATCH(B370,'FUNCIONÁRIOS'!$C$4:$C$501,0)),""))</f>
        <v>NÃO</v>
      </c>
      <c r="F370" s="138">
        <v>46167.0</v>
      </c>
      <c r="G370" s="115" t="str">
        <f t="shared" si="29"/>
        <v>✅ 08:16</v>
      </c>
      <c r="H370" s="121">
        <v>0.34444444444444444</v>
      </c>
      <c r="I370" s="117" t="str">
        <f t="shared" si="30"/>
        <v>✅ 21:55</v>
      </c>
      <c r="J370" s="116" t="s">
        <v>1655</v>
      </c>
      <c r="K370" s="118">
        <v>0.56875</v>
      </c>
      <c r="L370" s="127" t="str">
        <f t="shared" si="31"/>
        <v>✅ Finalizado</v>
      </c>
      <c r="M370" s="110"/>
      <c r="N370" s="110"/>
    </row>
    <row r="371" ht="21.75" customHeight="1">
      <c r="A371" s="111">
        <f>363</f>
        <v>363</v>
      </c>
      <c r="B371" s="112" t="s">
        <v>342</v>
      </c>
      <c r="C371" s="144" t="str">
        <f t="array" ref="C371">IF(B371="","",IFERROR(INDEX('FUNCIONÁRIOS'!$B$4:$B$501,MATCH(B371,'FUNCIONÁRIOS'!$C$4:$C$501,0)),""))</f>
        <v>GO TO </v>
      </c>
      <c r="D371" s="144" t="str">
        <f t="array" ref="D371">IF(B371="","",IFERROR(INDEX('FUNCIONÁRIOS'!$D$4:$D$501,MATCH(B371,'FUNCIONÁRIOS'!$C$4:$C$501,0)),""))</f>
        <v>MONTADOR</v>
      </c>
      <c r="E371" s="123" t="str">
        <f t="array" ref="E371">IF(B371="","",IFERROR(INDEX('FUNCIONÁRIOS'!$E$4:$E$501,MATCH(B371,'FUNCIONÁRIOS'!$C$4:$C$501,0)),""))</f>
        <v>NÃO</v>
      </c>
      <c r="F371" s="138">
        <v>46167.0</v>
      </c>
      <c r="G371" s="115" t="str">
        <f t="shared" si="29"/>
        <v>✅ 08:16</v>
      </c>
      <c r="H371" s="121">
        <v>0.34444444444444444</v>
      </c>
      <c r="I371" s="117" t="str">
        <f t="shared" si="30"/>
        <v>✅ 21:52</v>
      </c>
      <c r="J371" s="116" t="s">
        <v>1651</v>
      </c>
      <c r="K371" s="118">
        <v>0.5666666666666667</v>
      </c>
      <c r="L371" s="127" t="str">
        <f t="shared" si="31"/>
        <v>✅ Finalizado</v>
      </c>
      <c r="M371" s="110"/>
      <c r="N371" s="110"/>
    </row>
    <row r="372" ht="21.75" customHeight="1">
      <c r="A372" s="111">
        <f>364</f>
        <v>364</v>
      </c>
      <c r="B372" s="112" t="s">
        <v>340</v>
      </c>
      <c r="C372" s="143" t="str">
        <f t="array" ref="C372">IF(B372="","",IFERROR(INDEX('FUNCIONÁRIOS'!$B$4:$B$501,MATCH(B372,'FUNCIONÁRIOS'!$C$4:$C$501,0)),""))</f>
        <v>GO TO </v>
      </c>
      <c r="D372" s="143" t="str">
        <f t="array" ref="D372">IF(B372="","",IFERROR(INDEX('FUNCIONÁRIOS'!$D$4:$D$501,MATCH(B372,'FUNCIONÁRIOS'!$C$4:$C$501,0)),""))</f>
        <v>MONTADOR</v>
      </c>
      <c r="E372" s="113" t="str">
        <f t="array" ref="E372">IF(B372="","",IFERROR(INDEX('FUNCIONÁRIOS'!$E$4:$E$501,MATCH(B372,'FUNCIONÁRIOS'!$C$4:$C$501,0)),""))</f>
        <v>NÃO</v>
      </c>
      <c r="F372" s="138">
        <v>46167.0</v>
      </c>
      <c r="G372" s="115" t="str">
        <f t="shared" si="29"/>
        <v>✅ 08:16</v>
      </c>
      <c r="H372" s="121">
        <v>0.34444444444444444</v>
      </c>
      <c r="I372" s="117" t="str">
        <f t="shared" si="30"/>
        <v>→ Selecione a linha e use o menu ⏱️ Ponto</v>
      </c>
      <c r="J372" s="168"/>
      <c r="K372" s="126" t="str">
        <f t="shared" ref="K372:K374" si="34">IF(AND(H372&lt;&gt;"",J372&lt;&gt;""),J372-H372,"")</f>
        <v/>
      </c>
      <c r="L372" s="127" t="str">
        <f t="shared" si="31"/>
        <v>🟢 No Evento</v>
      </c>
      <c r="M372" s="110"/>
      <c r="N372" s="110"/>
    </row>
    <row r="373" ht="21.75" customHeight="1">
      <c r="A373" s="111">
        <f>365</f>
        <v>365</v>
      </c>
      <c r="B373" s="112" t="s">
        <v>338</v>
      </c>
      <c r="C373" s="144" t="str">
        <f t="array" ref="C373">IF(B373="","",IFERROR(INDEX('FUNCIONÁRIOS'!$B$4:$B$501,MATCH(B373,'FUNCIONÁRIOS'!$C$4:$C$501,0)),""))</f>
        <v>GO TO </v>
      </c>
      <c r="D373" s="144" t="str">
        <f t="array" ref="D373">IF(B373="","",IFERROR(INDEX('FUNCIONÁRIOS'!$D$4:$D$501,MATCH(B373,'FUNCIONÁRIOS'!$C$4:$C$501,0)),""))</f>
        <v>MONTADOR</v>
      </c>
      <c r="E373" s="123" t="str">
        <f t="array" ref="E373">IF(B373="","",IFERROR(INDEX('FUNCIONÁRIOS'!$E$4:$E$501,MATCH(B373,'FUNCIONÁRIOS'!$C$4:$C$501,0)),""))</f>
        <v>NÃO</v>
      </c>
      <c r="F373" s="138">
        <v>46167.0</v>
      </c>
      <c r="G373" s="115" t="str">
        <f t="shared" si="29"/>
        <v>✅ 08:16</v>
      </c>
      <c r="H373" s="121">
        <v>0.34444444444444444</v>
      </c>
      <c r="I373" s="117" t="str">
        <f t="shared" si="30"/>
        <v>→ Selecione a linha e use o menu ⏱️ Ponto</v>
      </c>
      <c r="J373" s="168"/>
      <c r="K373" s="126" t="str">
        <f t="shared" si="34"/>
        <v/>
      </c>
      <c r="L373" s="127" t="str">
        <f t="shared" si="31"/>
        <v>🟢 No Evento</v>
      </c>
      <c r="M373" s="110"/>
      <c r="N373" s="110"/>
    </row>
    <row r="374" ht="21.75" customHeight="1">
      <c r="A374" s="111">
        <f>366</f>
        <v>366</v>
      </c>
      <c r="B374" s="112" t="s">
        <v>224</v>
      </c>
      <c r="C374" s="143" t="str">
        <f t="array" ref="C374">IF(B374="","",IFERROR(INDEX('FUNCIONÁRIOS'!$B$4:$B$501,MATCH(B374,'FUNCIONÁRIOS'!$C$4:$C$501,0)),""))</f>
        <v/>
      </c>
      <c r="D374" s="143" t="str">
        <f t="array" ref="D374">IF(B374="","",IFERROR(INDEX('FUNCIONÁRIOS'!$D$4:$D$501,MATCH(B374,'FUNCIONÁRIOS'!$C$4:$C$501,0)),""))</f>
        <v>PRODUTOR </v>
      </c>
      <c r="E374" s="113" t="str">
        <f t="array" ref="E374">IF(B374="","",IFERROR(INDEX('FUNCIONÁRIOS'!$E$4:$E$501,MATCH(B374,'FUNCIONÁRIOS'!$C$4:$C$501,0)),""))</f>
        <v/>
      </c>
      <c r="F374" s="138">
        <v>46167.0</v>
      </c>
      <c r="G374" s="115" t="str">
        <f t="shared" si="29"/>
        <v>✅ 08:16</v>
      </c>
      <c r="H374" s="121">
        <v>0.34444444444444444</v>
      </c>
      <c r="I374" s="117" t="str">
        <f t="shared" si="30"/>
        <v>→ Selecione a linha e use o menu ⏱️ Ponto</v>
      </c>
      <c r="J374" s="168"/>
      <c r="K374" s="126" t="str">
        <f t="shared" si="34"/>
        <v/>
      </c>
      <c r="L374" s="127" t="str">
        <f t="shared" si="31"/>
        <v>🟢 No Evento</v>
      </c>
      <c r="M374" s="110"/>
      <c r="N374" s="110"/>
    </row>
    <row r="375" ht="21.75" customHeight="1">
      <c r="A375" s="111">
        <f>367</f>
        <v>367</v>
      </c>
      <c r="B375" s="112" t="s">
        <v>121</v>
      </c>
      <c r="C375" s="144" t="str">
        <f t="array" ref="C375">IF(B375="","",IFERROR(INDEX('FUNCIONÁRIOS'!$B$4:$B$501,MATCH(B375,'FUNCIONÁRIOS'!$C$4:$C$501,0)),""))</f>
        <v>MONTE EVENTOS </v>
      </c>
      <c r="D375" s="144" t="str">
        <f t="array" ref="D375">IF(B375="","",IFERROR(INDEX('FUNCIONÁRIOS'!$D$4:$D$501,MATCH(B375,'FUNCIONÁRIOS'!$C$4:$C$501,0)),""))</f>
        <v>MONTADOR</v>
      </c>
      <c r="E375" s="123" t="str">
        <f t="array" ref="E375">IF(B375="","",IFERROR(INDEX('FUNCIONÁRIOS'!$E$4:$E$501,MATCH(B375,'FUNCIONÁRIOS'!$C$4:$C$501,0)),""))</f>
        <v>NÃO</v>
      </c>
      <c r="F375" s="138">
        <v>46167.0</v>
      </c>
      <c r="G375" s="115" t="str">
        <f t="shared" si="29"/>
        <v>✅ 08:23</v>
      </c>
      <c r="H375" s="121">
        <v>0.34930555555555554</v>
      </c>
      <c r="I375" s="117" t="str">
        <f t="shared" si="30"/>
        <v>✅ 13:41</v>
      </c>
      <c r="J375" s="116" t="s">
        <v>1656</v>
      </c>
      <c r="K375" s="118">
        <v>0.22083333333333333</v>
      </c>
      <c r="L375" s="127" t="str">
        <f t="shared" si="31"/>
        <v>✅ Finalizado</v>
      </c>
      <c r="M375" s="110"/>
      <c r="N375" s="110"/>
    </row>
    <row r="376" ht="21.75" customHeight="1">
      <c r="A376" s="111">
        <f>368</f>
        <v>368</v>
      </c>
      <c r="B376" s="112" t="s">
        <v>126</v>
      </c>
      <c r="C376" s="143" t="str">
        <f t="array" ref="C376">IF(B376="","",IFERROR(INDEX('FUNCIONÁRIOS'!$B$4:$B$501,MATCH(B376,'FUNCIONÁRIOS'!$C$4:$C$501,0)),""))</f>
        <v>MONTE EVENTOS </v>
      </c>
      <c r="D376" s="143" t="str">
        <f t="array" ref="D376">IF(B376="","",IFERROR(INDEX('FUNCIONÁRIOS'!$D$4:$D$501,MATCH(B376,'FUNCIONÁRIOS'!$C$4:$C$501,0)),""))</f>
        <v>MONTADOR</v>
      </c>
      <c r="E376" s="113" t="str">
        <f t="array" ref="E376">IF(B376="","",IFERROR(INDEX('FUNCIONÁRIOS'!$E$4:$E$501,MATCH(B376,'FUNCIONÁRIOS'!$C$4:$C$501,0)),""))</f>
        <v>NÃO</v>
      </c>
      <c r="F376" s="138">
        <v>46167.0</v>
      </c>
      <c r="G376" s="115" t="str">
        <f t="shared" si="29"/>
        <v>✅ 08:23</v>
      </c>
      <c r="H376" s="121">
        <v>0.34930555555555554</v>
      </c>
      <c r="I376" s="117" t="str">
        <f t="shared" si="30"/>
        <v>→ Selecione a linha e use o menu ⏱️ Ponto</v>
      </c>
      <c r="J376" s="168"/>
      <c r="K376" s="126" t="str">
        <f t="shared" ref="K376:K378" si="35">IF(AND(H376&lt;&gt;"",J376&lt;&gt;""),J376-H376,"")</f>
        <v/>
      </c>
      <c r="L376" s="127" t="str">
        <f t="shared" si="31"/>
        <v>🟢 No Evento</v>
      </c>
      <c r="M376" s="110"/>
      <c r="N376" s="110"/>
    </row>
    <row r="377" ht="21.75" customHeight="1">
      <c r="A377" s="111">
        <f>369</f>
        <v>369</v>
      </c>
      <c r="B377" s="112" t="s">
        <v>124</v>
      </c>
      <c r="C377" s="144" t="str">
        <f t="array" ref="C377">IF(B377="","",IFERROR(INDEX('FUNCIONÁRIOS'!$B$4:$B$501,MATCH(B377,'FUNCIONÁRIOS'!$C$4:$C$501,0)),""))</f>
        <v>MONTE EVENTOS </v>
      </c>
      <c r="D377" s="144" t="str">
        <f t="array" ref="D377">IF(B377="","",IFERROR(INDEX('FUNCIONÁRIOS'!$D$4:$D$501,MATCH(B377,'FUNCIONÁRIOS'!$C$4:$C$501,0)),""))</f>
        <v>MONTADOR</v>
      </c>
      <c r="E377" s="123" t="str">
        <f t="array" ref="E377">IF(B377="","",IFERROR(INDEX('FUNCIONÁRIOS'!$E$4:$E$501,MATCH(B377,'FUNCIONÁRIOS'!$C$4:$C$501,0)),""))</f>
        <v>NÃO</v>
      </c>
      <c r="F377" s="138">
        <v>46167.0</v>
      </c>
      <c r="G377" s="115" t="str">
        <f t="shared" si="29"/>
        <v>✅ 08:23</v>
      </c>
      <c r="H377" s="121">
        <v>0.34930555555555554</v>
      </c>
      <c r="I377" s="117" t="str">
        <f t="shared" si="30"/>
        <v>→ Selecione a linha e use o menu ⏱️ Ponto</v>
      </c>
      <c r="J377" s="168"/>
      <c r="K377" s="126" t="str">
        <f t="shared" si="35"/>
        <v/>
      </c>
      <c r="L377" s="127" t="str">
        <f t="shared" si="31"/>
        <v>🟢 No Evento</v>
      </c>
      <c r="M377" s="110"/>
      <c r="N377" s="110"/>
    </row>
    <row r="378" ht="21.75" customHeight="1">
      <c r="A378" s="111">
        <f>370</f>
        <v>370</v>
      </c>
      <c r="B378" s="112" t="s">
        <v>118</v>
      </c>
      <c r="C378" s="143" t="str">
        <f t="array" ref="C378">IF(B378="","",IFERROR(INDEX('FUNCIONÁRIOS'!$B$4:$B$501,MATCH(B378,'FUNCIONÁRIOS'!$C$4:$C$501,0)),""))</f>
        <v>MONTE EVENTOS </v>
      </c>
      <c r="D378" s="143" t="str">
        <f t="array" ref="D378">IF(B378="","",IFERROR(INDEX('FUNCIONÁRIOS'!$D$4:$D$501,MATCH(B378,'FUNCIONÁRIOS'!$C$4:$C$501,0)),""))</f>
        <v>MONTADOR</v>
      </c>
      <c r="E378" s="113" t="str">
        <f t="array" ref="E378">IF(B378="","",IFERROR(INDEX('FUNCIONÁRIOS'!$E$4:$E$501,MATCH(B378,'FUNCIONÁRIOS'!$C$4:$C$501,0)),""))</f>
        <v>NÃO</v>
      </c>
      <c r="F378" s="138">
        <v>46167.0</v>
      </c>
      <c r="G378" s="115" t="str">
        <f t="shared" si="29"/>
        <v>✅ 08:23</v>
      </c>
      <c r="H378" s="121">
        <v>0.34930555555555554</v>
      </c>
      <c r="I378" s="117" t="str">
        <f t="shared" si="30"/>
        <v>→ Selecione a linha e use o menu ⏱️ Ponto</v>
      </c>
      <c r="J378" s="168"/>
      <c r="K378" s="126" t="str">
        <f t="shared" si="35"/>
        <v/>
      </c>
      <c r="L378" s="127" t="str">
        <f t="shared" si="31"/>
        <v>🟢 No Evento</v>
      </c>
      <c r="M378" s="110"/>
      <c r="N378" s="110"/>
    </row>
    <row r="379" ht="21.75" customHeight="1">
      <c r="A379" s="111">
        <f>371</f>
        <v>371</v>
      </c>
      <c r="B379" s="112" t="s">
        <v>498</v>
      </c>
      <c r="C379" s="144" t="str">
        <f t="array" ref="C379">IF(B379="","",IFERROR(INDEX('FUNCIONÁRIOS'!$B$4:$B$501,MATCH(B379,'FUNCIONÁRIOS'!$C$4:$C$501,0)),""))</f>
        <v>SHOWNEWS</v>
      </c>
      <c r="D379" s="144" t="str">
        <f t="array" ref="D379">IF(B379="","",IFERROR(INDEX('FUNCIONÁRIOS'!$D$4:$D$501,MATCH(B379,'FUNCIONÁRIOS'!$C$4:$C$501,0)),""))</f>
        <v>Montador</v>
      </c>
      <c r="E379" s="123" t="str">
        <f t="array" ref="E379">IF(B379="","",IFERROR(INDEX('FUNCIONÁRIOS'!$E$4:$E$501,MATCH(B379,'FUNCIONÁRIOS'!$C$4:$C$501,0)),""))</f>
        <v>NÃO</v>
      </c>
      <c r="F379" s="138">
        <v>46167.0</v>
      </c>
      <c r="G379" s="115" t="str">
        <f t="shared" si="29"/>
        <v>✅ 12:14</v>
      </c>
      <c r="H379" s="116" t="s">
        <v>1657</v>
      </c>
      <c r="I379" s="117" t="str">
        <f t="shared" si="30"/>
        <v>✅ 15:48</v>
      </c>
      <c r="J379" s="116" t="s">
        <v>1658</v>
      </c>
      <c r="K379" s="118">
        <v>0.14861111111111114</v>
      </c>
      <c r="L379" s="127" t="str">
        <f t="shared" si="31"/>
        <v>✅ Finalizado</v>
      </c>
      <c r="M379" s="110"/>
      <c r="N379" s="110"/>
    </row>
    <row r="380" ht="21.75" customHeight="1">
      <c r="A380" s="111">
        <f>372</f>
        <v>372</v>
      </c>
      <c r="B380" s="112" t="s">
        <v>113</v>
      </c>
      <c r="C380" s="143" t="str">
        <f t="array" ref="C380">IF(B380="","",IFERROR(INDEX('FUNCIONÁRIOS'!$B$4:$B$501,MATCH(B380,'FUNCIONÁRIOS'!$C$4:$C$501,0)),""))</f>
        <v>MONTE EVENTOS </v>
      </c>
      <c r="D380" s="143" t="str">
        <f t="array" ref="D380">IF(B380="","",IFERROR(INDEX('FUNCIONÁRIOS'!$D$4:$D$501,MATCH(B380,'FUNCIONÁRIOS'!$C$4:$C$501,0)),""))</f>
        <v>COORDENADOR/CEO</v>
      </c>
      <c r="E380" s="113" t="str">
        <f t="array" ref="E380">IF(B380="","",IFERROR(INDEX('FUNCIONÁRIOS'!$E$4:$E$501,MATCH(B380,'FUNCIONÁRIOS'!$C$4:$C$501,0)),""))</f>
        <v>SIM</v>
      </c>
      <c r="F380" s="138">
        <v>46167.0</v>
      </c>
      <c r="G380" s="115" t="str">
        <f t="shared" si="29"/>
        <v>✅ 08:30</v>
      </c>
      <c r="H380" s="121">
        <v>0.3541666666666667</v>
      </c>
      <c r="I380" s="117" t="str">
        <f t="shared" si="30"/>
        <v>→ Selecione a linha e use o menu ⏱️ Ponto</v>
      </c>
      <c r="J380" s="168"/>
      <c r="K380" s="126" t="str">
        <f t="shared" ref="K380:K382" si="36">IF(AND(H380&lt;&gt;"",J380&lt;&gt;""),J380-H380,"")</f>
        <v/>
      </c>
      <c r="L380" s="127" t="str">
        <f t="shared" si="31"/>
        <v>🟢 No Evento</v>
      </c>
      <c r="M380" s="110"/>
      <c r="N380" s="110"/>
    </row>
    <row r="381" ht="21.75" customHeight="1">
      <c r="A381" s="111">
        <f>373</f>
        <v>373</v>
      </c>
      <c r="B381" s="112" t="s">
        <v>112</v>
      </c>
      <c r="C381" s="144" t="str">
        <f t="array" ref="C381">IF(B381="","",IFERROR(INDEX('FUNCIONÁRIOS'!$B$4:$B$501,MATCH(B381,'FUNCIONÁRIOS'!$C$4:$C$501,0)),""))</f>
        <v>MONTE EVENTOS </v>
      </c>
      <c r="D381" s="144" t="str">
        <f t="array" ref="D381">IF(B381="","",IFERROR(INDEX('FUNCIONÁRIOS'!$D$4:$D$501,MATCH(B381,'FUNCIONÁRIOS'!$C$4:$C$501,0)),""))</f>
        <v>MONTADOR</v>
      </c>
      <c r="E381" s="123" t="str">
        <f t="array" ref="E381">IF(B381="","",IFERROR(INDEX('FUNCIONÁRIOS'!$E$4:$E$501,MATCH(B381,'FUNCIONÁRIOS'!$C$4:$C$501,0)),""))</f>
        <v>NÃO</v>
      </c>
      <c r="F381" s="138">
        <v>46167.0</v>
      </c>
      <c r="G381" s="115" t="str">
        <f t="shared" si="29"/>
        <v>✅ 08:30</v>
      </c>
      <c r="H381" s="121">
        <v>0.3541666666666667</v>
      </c>
      <c r="I381" s="117" t="str">
        <f t="shared" si="30"/>
        <v>→ Selecione a linha e use o menu ⏱️ Ponto</v>
      </c>
      <c r="J381" s="168"/>
      <c r="K381" s="126" t="str">
        <f t="shared" si="36"/>
        <v/>
      </c>
      <c r="L381" s="127" t="str">
        <f t="shared" si="31"/>
        <v>🟢 No Evento</v>
      </c>
      <c r="M381" s="110"/>
      <c r="N381" s="110"/>
    </row>
    <row r="382" ht="21.75" customHeight="1">
      <c r="A382" s="111">
        <f>374</f>
        <v>374</v>
      </c>
      <c r="B382" s="112" t="s">
        <v>111</v>
      </c>
      <c r="C382" s="143" t="str">
        <f t="array" ref="C382">IF(B382="","",IFERROR(INDEX('FUNCIONÁRIOS'!$B$4:$B$501,MATCH(B382,'FUNCIONÁRIOS'!$C$4:$C$501,0)),""))</f>
        <v>MONTE EVENTOS </v>
      </c>
      <c r="D382" s="143" t="str">
        <f t="array" ref="D382">IF(B382="","",IFERROR(INDEX('FUNCIONÁRIOS'!$D$4:$D$501,MATCH(B382,'FUNCIONÁRIOS'!$C$4:$C$501,0)),""))</f>
        <v>MONTADOR</v>
      </c>
      <c r="E382" s="113" t="str">
        <f t="array" ref="E382">IF(B382="","",IFERROR(INDEX('FUNCIONÁRIOS'!$E$4:$E$501,MATCH(B382,'FUNCIONÁRIOS'!$C$4:$C$501,0)),""))</f>
        <v>NÃO</v>
      </c>
      <c r="F382" s="138">
        <v>46167.0</v>
      </c>
      <c r="G382" s="115" t="str">
        <f t="shared" si="29"/>
        <v>✅ 08:30</v>
      </c>
      <c r="H382" s="121">
        <v>0.3541666666666667</v>
      </c>
      <c r="I382" s="117" t="str">
        <f t="shared" si="30"/>
        <v>→ Selecione a linha e use o menu ⏱️ Ponto</v>
      </c>
      <c r="J382" s="168"/>
      <c r="K382" s="126" t="str">
        <f t="shared" si="36"/>
        <v/>
      </c>
      <c r="L382" s="127" t="str">
        <f t="shared" si="31"/>
        <v>🟢 No Evento</v>
      </c>
      <c r="M382" s="110"/>
      <c r="N382" s="110"/>
    </row>
    <row r="383" ht="21.75" customHeight="1">
      <c r="A383" s="111">
        <f>375</f>
        <v>375</v>
      </c>
      <c r="B383" s="112" t="s">
        <v>336</v>
      </c>
      <c r="C383" s="144" t="str">
        <f t="array" ref="C383">IF(B383="","",IFERROR(INDEX('FUNCIONÁRIOS'!$B$4:$B$501,MATCH(B383,'FUNCIONÁRIOS'!$C$4:$C$501,0)),""))</f>
        <v>GO TO </v>
      </c>
      <c r="D383" s="144" t="str">
        <f t="array" ref="D383">IF(B383="","",IFERROR(INDEX('FUNCIONÁRIOS'!$D$4:$D$501,MATCH(B383,'FUNCIONÁRIOS'!$C$4:$C$501,0)),""))</f>
        <v>MONTADOR</v>
      </c>
      <c r="E383" s="123" t="str">
        <f t="array" ref="E383">IF(B383="","",IFERROR(INDEX('FUNCIONÁRIOS'!$E$4:$E$501,MATCH(B383,'FUNCIONÁRIOS'!$C$4:$C$501,0)),""))</f>
        <v>NÃO</v>
      </c>
      <c r="F383" s="138">
        <v>46167.0</v>
      </c>
      <c r="G383" s="115" t="str">
        <f t="shared" si="29"/>
        <v>✅ 08:36</v>
      </c>
      <c r="H383" s="121">
        <v>0.35833333333333334</v>
      </c>
      <c r="I383" s="117" t="str">
        <f t="shared" si="30"/>
        <v>✅ 21:50</v>
      </c>
      <c r="J383" s="116" t="s">
        <v>1659</v>
      </c>
      <c r="K383" s="118">
        <v>0.5513888888888889</v>
      </c>
      <c r="L383" s="127" t="str">
        <f t="shared" si="31"/>
        <v>✅ Finalizado</v>
      </c>
      <c r="M383" s="110"/>
      <c r="N383" s="110"/>
    </row>
    <row r="384" ht="21.75" customHeight="1">
      <c r="A384" s="111">
        <f>376</f>
        <v>376</v>
      </c>
      <c r="B384" s="112" t="s">
        <v>348</v>
      </c>
      <c r="C384" s="143" t="str">
        <f t="array" ref="C384">IF(B384="","",IFERROR(INDEX('FUNCIONÁRIOS'!$B$4:$B$501,MATCH(B384,'FUNCIONÁRIOS'!$C$4:$C$501,0)),""))</f>
        <v>GO TO </v>
      </c>
      <c r="D384" s="143" t="str">
        <f t="array" ref="D384">IF(B384="","",IFERROR(INDEX('FUNCIONÁRIOS'!$D$4:$D$501,MATCH(B384,'FUNCIONÁRIOS'!$C$4:$C$501,0)),""))</f>
        <v>MONTADOR</v>
      </c>
      <c r="E384" s="113" t="str">
        <f t="array" ref="E384">IF(B384="","",IFERROR(INDEX('FUNCIONÁRIOS'!$E$4:$E$501,MATCH(B384,'FUNCIONÁRIOS'!$C$4:$C$501,0)),""))</f>
        <v>NÃO</v>
      </c>
      <c r="F384" s="138">
        <v>46167.0</v>
      </c>
      <c r="G384" s="115" t="str">
        <f t="shared" si="29"/>
        <v>✅ 08:38</v>
      </c>
      <c r="H384" s="121">
        <v>0.3597222222222222</v>
      </c>
      <c r="I384" s="117" t="str">
        <f t="shared" si="30"/>
        <v>→ Selecione a linha e use o menu ⏱️ Ponto</v>
      </c>
      <c r="J384" s="168"/>
      <c r="K384" s="126" t="str">
        <f>IF(AND(H384&lt;&gt;"",J384&lt;&gt;""),J384-H384,"")</f>
        <v/>
      </c>
      <c r="L384" s="127" t="str">
        <f t="shared" si="31"/>
        <v>🟢 No Evento</v>
      </c>
      <c r="M384" s="110"/>
      <c r="N384" s="110"/>
    </row>
    <row r="385" ht="21.75" customHeight="1">
      <c r="A385" s="111">
        <f>377</f>
        <v>377</v>
      </c>
      <c r="B385" s="112" t="s">
        <v>346</v>
      </c>
      <c r="C385" s="144" t="str">
        <f t="array" ref="C385">IF(B385="","",IFERROR(INDEX('FUNCIONÁRIOS'!$B$4:$B$501,MATCH(B385,'FUNCIONÁRIOS'!$C$4:$C$501,0)),""))</f>
        <v>GO TO </v>
      </c>
      <c r="D385" s="144" t="str">
        <f t="array" ref="D385">IF(B385="","",IFERROR(INDEX('FUNCIONÁRIOS'!$D$4:$D$501,MATCH(B385,'FUNCIONÁRIOS'!$C$4:$C$501,0)),""))</f>
        <v>MONTADOR</v>
      </c>
      <c r="E385" s="123" t="str">
        <f t="array" ref="E385">IF(B385="","",IFERROR(INDEX('FUNCIONÁRIOS'!$E$4:$E$501,MATCH(B385,'FUNCIONÁRIOS'!$C$4:$C$501,0)),""))</f>
        <v>NÃO</v>
      </c>
      <c r="F385" s="138">
        <v>46167.0</v>
      </c>
      <c r="G385" s="115" t="str">
        <f t="shared" si="29"/>
        <v>✅ 08:40</v>
      </c>
      <c r="H385" s="116" t="s">
        <v>1660</v>
      </c>
      <c r="I385" s="117" t="str">
        <f t="shared" si="30"/>
        <v>✅ 21:52</v>
      </c>
      <c r="J385" s="116" t="s">
        <v>1651</v>
      </c>
      <c r="K385" s="118">
        <v>0.55</v>
      </c>
      <c r="L385" s="127" t="str">
        <f t="shared" si="31"/>
        <v>✅ Finalizado</v>
      </c>
      <c r="M385" s="110"/>
      <c r="N385" s="110"/>
    </row>
    <row r="386" ht="21.75" customHeight="1">
      <c r="A386" s="111">
        <f>378</f>
        <v>378</v>
      </c>
      <c r="B386" s="112" t="s">
        <v>500</v>
      </c>
      <c r="C386" s="143" t="str">
        <f t="array" ref="C386">IF(B386="","",IFERROR(INDEX('FUNCIONÁRIOS'!$B$4:$B$501,MATCH(B386,'FUNCIONÁRIOS'!$C$4:$C$501,0)),""))</f>
        <v>GO TO </v>
      </c>
      <c r="D386" s="143" t="str">
        <f t="array" ref="D386">IF(B386="","",IFERROR(INDEX('FUNCIONÁRIOS'!$D$4:$D$501,MATCH(B386,'FUNCIONÁRIOS'!$C$4:$C$501,0)),""))</f>
        <v>Serralheiro</v>
      </c>
      <c r="E386" s="113" t="str">
        <f t="array" ref="E386">IF(B386="","",IFERROR(INDEX('FUNCIONÁRIOS'!$E$4:$E$501,MATCH(B386,'FUNCIONÁRIOS'!$C$4:$C$501,0)),""))</f>
        <v>NÃO</v>
      </c>
      <c r="F386" s="138">
        <v>46167.0</v>
      </c>
      <c r="G386" s="115" t="str">
        <f t="shared" si="29"/>
        <v>✅ 08:41</v>
      </c>
      <c r="H386" s="116" t="s">
        <v>1661</v>
      </c>
      <c r="I386" s="117" t="str">
        <f t="shared" si="30"/>
        <v>→ Selecione a linha e use o menu ⏱️ Ponto</v>
      </c>
      <c r="J386" s="168"/>
      <c r="K386" s="139"/>
      <c r="L386" s="127" t="str">
        <f t="shared" si="31"/>
        <v>🟢 No Evento</v>
      </c>
      <c r="M386" s="110"/>
      <c r="N386" s="110"/>
    </row>
    <row r="387" ht="21.75" customHeight="1">
      <c r="A387" s="111">
        <f>380</f>
        <v>380</v>
      </c>
      <c r="B387" s="112" t="s">
        <v>534</v>
      </c>
      <c r="C387" s="143" t="str">
        <f t="array" ref="C387">IF(B387="","",IFERROR(INDEX('FUNCIONÁRIOS'!$B$4:$B$501,MATCH(B387,'FUNCIONÁRIOS'!$C$4:$C$501,0)),""))</f>
        <v>LA ESTRUTURA </v>
      </c>
      <c r="D387" s="143" t="str">
        <f t="array" ref="D387">IF(B387="","",IFERROR(INDEX('FUNCIONÁRIOS'!$D$4:$D$501,MATCH(B387,'FUNCIONÁRIOS'!$C$4:$C$501,0)),""))</f>
        <v>MOTORISTA </v>
      </c>
      <c r="E387" s="113" t="str">
        <f t="array" ref="E387">IF(B387="","",IFERROR(INDEX('FUNCIONÁRIOS'!$E$4:$E$501,MATCH(B387,'FUNCIONÁRIOS'!$C$4:$C$501,0)),""))</f>
        <v>NÃO</v>
      </c>
      <c r="F387" s="138">
        <v>46167.0</v>
      </c>
      <c r="G387" s="115" t="str">
        <f t="shared" si="29"/>
        <v>✅ 08:48</v>
      </c>
      <c r="H387" s="116" t="s">
        <v>1662</v>
      </c>
      <c r="I387" s="117" t="str">
        <f t="shared" si="30"/>
        <v>→ Selecione a linha e use o menu ⏱️ Ponto</v>
      </c>
      <c r="J387" s="168"/>
      <c r="K387" s="139"/>
      <c r="L387" s="127" t="str">
        <f t="shared" si="31"/>
        <v>🟢 No Evento</v>
      </c>
      <c r="M387" s="110"/>
      <c r="N387" s="110"/>
    </row>
    <row r="388" ht="21.75" customHeight="1">
      <c r="A388" s="111">
        <f>381</f>
        <v>381</v>
      </c>
      <c r="B388" s="112" t="s">
        <v>535</v>
      </c>
      <c r="C388" s="144" t="str">
        <f t="array" ref="C388">IF(B388="","",IFERROR(INDEX('FUNCIONÁRIOS'!$B$4:$B$501,MATCH(B388,'FUNCIONÁRIOS'!$C$4:$C$501,0)),""))</f>
        <v>LATINO </v>
      </c>
      <c r="D388" s="144" t="str">
        <f t="array" ref="D388">IF(B388="","",IFERROR(INDEX('FUNCIONÁRIOS'!$D$4:$D$501,MATCH(B388,'FUNCIONÁRIOS'!$C$4:$C$501,0)),""))</f>
        <v>COORDENADOR DOS CARREGADORES </v>
      </c>
      <c r="E388" s="123" t="str">
        <f t="array" ref="E388">IF(B388="","",IFERROR(INDEX('FUNCIONÁRIOS'!$E$4:$E$501,MATCH(B388,'FUNCIONÁRIOS'!$C$4:$C$501,0)),""))</f>
        <v>SIM</v>
      </c>
      <c r="F388" s="138">
        <v>46167.0</v>
      </c>
      <c r="G388" s="115" t="str">
        <f t="shared" si="29"/>
        <v>✅ 08:48</v>
      </c>
      <c r="H388" s="116" t="s">
        <v>1662</v>
      </c>
      <c r="I388" s="117" t="str">
        <f t="shared" si="30"/>
        <v>✅ 17:47</v>
      </c>
      <c r="J388" s="116" t="s">
        <v>1663</v>
      </c>
      <c r="K388" s="118">
        <v>0.3743055555555556</v>
      </c>
      <c r="L388" s="127" t="str">
        <f t="shared" si="31"/>
        <v>✅ Finalizado</v>
      </c>
      <c r="M388" s="110"/>
      <c r="N388" s="110"/>
    </row>
    <row r="389" ht="21.75" customHeight="1">
      <c r="A389" s="111">
        <f>382</f>
        <v>382</v>
      </c>
      <c r="B389" s="112" t="s">
        <v>537</v>
      </c>
      <c r="C389" s="143" t="str">
        <f t="array" ref="C389">IF(B389="","",IFERROR(INDEX('FUNCIONÁRIOS'!$B$4:$B$501,MATCH(B389,'FUNCIONÁRIOS'!$C$4:$C$501,0)),""))</f>
        <v>LATINO </v>
      </c>
      <c r="D389" s="143" t="str">
        <f t="array" ref="D389">IF(B389="","",IFERROR(INDEX('FUNCIONÁRIOS'!$D$4:$D$501,MATCH(B389,'FUNCIONÁRIOS'!$C$4:$C$501,0)),""))</f>
        <v>CARREGADOR </v>
      </c>
      <c r="E389" s="113" t="str">
        <f t="array" ref="E389">IF(B389="","",IFERROR(INDEX('FUNCIONÁRIOS'!$E$4:$E$501,MATCH(B389,'FUNCIONÁRIOS'!$C$4:$C$501,0)),""))</f>
        <v>NÃO</v>
      </c>
      <c r="F389" s="138">
        <v>46167.0</v>
      </c>
      <c r="G389" s="115" t="str">
        <f t="shared" si="29"/>
        <v>✅ 08:49</v>
      </c>
      <c r="H389" s="116" t="s">
        <v>1664</v>
      </c>
      <c r="I389" s="117" t="str">
        <f t="shared" si="30"/>
        <v>✅ 17:46</v>
      </c>
      <c r="J389" s="116" t="s">
        <v>1665</v>
      </c>
      <c r="K389" s="118">
        <v>0.3729166666666667</v>
      </c>
      <c r="L389" s="127" t="str">
        <f t="shared" si="31"/>
        <v>✅ Finalizado</v>
      </c>
      <c r="M389" s="110"/>
      <c r="N389" s="110"/>
    </row>
    <row r="390" ht="21.75" customHeight="1">
      <c r="A390" s="111">
        <f>383</f>
        <v>383</v>
      </c>
      <c r="B390" s="112" t="s">
        <v>539</v>
      </c>
      <c r="C390" s="144" t="str">
        <f t="array" ref="C390">IF(B390="","",IFERROR(INDEX('FUNCIONÁRIOS'!$B$4:$B$501,MATCH(B390,'FUNCIONÁRIOS'!$C$4:$C$501,0)),""))</f>
        <v>LATINO </v>
      </c>
      <c r="D390" s="144" t="str">
        <f t="array" ref="D390">IF(B390="","",IFERROR(INDEX('FUNCIONÁRIOS'!$D$4:$D$501,MATCH(B390,'FUNCIONÁRIOS'!$C$4:$C$501,0)),""))</f>
        <v>CARREGADOR </v>
      </c>
      <c r="E390" s="123" t="str">
        <f t="array" ref="E390">IF(B390="","",IFERROR(INDEX('FUNCIONÁRIOS'!$E$4:$E$501,MATCH(B390,'FUNCIONÁRIOS'!$C$4:$C$501,0)),""))</f>
        <v>NÃO</v>
      </c>
      <c r="F390" s="138">
        <v>46167.0</v>
      </c>
      <c r="G390" s="115" t="str">
        <f t="shared" si="29"/>
        <v>✅ 08:51</v>
      </c>
      <c r="H390" s="116" t="s">
        <v>1666</v>
      </c>
      <c r="I390" s="117" t="str">
        <f t="shared" si="30"/>
        <v>✅ 17:45</v>
      </c>
      <c r="J390" s="116" t="s">
        <v>1667</v>
      </c>
      <c r="K390" s="118">
        <v>0.37083333333333335</v>
      </c>
      <c r="L390" s="127" t="str">
        <f t="shared" si="31"/>
        <v>✅ Finalizado</v>
      </c>
      <c r="M390" s="110"/>
      <c r="N390" s="110"/>
    </row>
    <row r="391" ht="21.75" customHeight="1">
      <c r="A391" s="111">
        <f>384</f>
        <v>384</v>
      </c>
      <c r="B391" s="112" t="s">
        <v>540</v>
      </c>
      <c r="C391" s="143" t="str">
        <f t="array" ref="C391">IF(B391="","",IFERROR(INDEX('FUNCIONÁRIOS'!$B$4:$B$501,MATCH(B391,'FUNCIONÁRIOS'!$C$4:$C$501,0)),""))</f>
        <v>LATINO </v>
      </c>
      <c r="D391" s="143" t="str">
        <f t="array" ref="D391">IF(B391="","",IFERROR(INDEX('FUNCIONÁRIOS'!$D$4:$D$501,MATCH(B391,'FUNCIONÁRIOS'!$C$4:$C$501,0)),""))</f>
        <v>CARREGADOR </v>
      </c>
      <c r="E391" s="113" t="str">
        <f t="array" ref="E391">IF(B391="","",IFERROR(INDEX('FUNCIONÁRIOS'!$E$4:$E$501,MATCH(B391,'FUNCIONÁRIOS'!$C$4:$C$501,0)),""))</f>
        <v>NÃO</v>
      </c>
      <c r="F391" s="138">
        <v>46167.0</v>
      </c>
      <c r="G391" s="115" t="str">
        <f t="shared" si="29"/>
        <v>✅ 08:52</v>
      </c>
      <c r="H391" s="116" t="s">
        <v>1668</v>
      </c>
      <c r="I391" s="117" t="str">
        <f t="shared" si="30"/>
        <v>✅ 17:46</v>
      </c>
      <c r="J391" s="116" t="s">
        <v>1665</v>
      </c>
      <c r="K391" s="118">
        <v>0.37083333333333335</v>
      </c>
      <c r="L391" s="127" t="str">
        <f t="shared" si="31"/>
        <v>✅ Finalizado</v>
      </c>
      <c r="M391" s="110"/>
      <c r="N391" s="110"/>
    </row>
    <row r="392" ht="21.75" customHeight="1">
      <c r="A392" s="111">
        <f>385</f>
        <v>385</v>
      </c>
      <c r="B392" s="112" t="s">
        <v>541</v>
      </c>
      <c r="C392" s="144" t="str">
        <f t="array" ref="C392">IF(B392="","",IFERROR(INDEX('FUNCIONÁRIOS'!$B$4:$B$501,MATCH(B392,'FUNCIONÁRIOS'!$C$4:$C$501,0)),""))</f>
        <v>LATINO </v>
      </c>
      <c r="D392" s="144" t="str">
        <f t="array" ref="D392">IF(B392="","",IFERROR(INDEX('FUNCIONÁRIOS'!$D$4:$D$501,MATCH(B392,'FUNCIONÁRIOS'!$C$4:$C$501,0)),""))</f>
        <v>CARREGADOR </v>
      </c>
      <c r="E392" s="123" t="str">
        <f t="array" ref="E392">IF(B392="","",IFERROR(INDEX('FUNCIONÁRIOS'!$E$4:$E$501,MATCH(B392,'FUNCIONÁRIOS'!$C$4:$C$501,0)),""))</f>
        <v>NÃO</v>
      </c>
      <c r="F392" s="138">
        <v>46167.0</v>
      </c>
      <c r="G392" s="115" t="str">
        <f t="shared" si="29"/>
        <v>✅ 08:54</v>
      </c>
      <c r="H392" s="116" t="s">
        <v>1669</v>
      </c>
      <c r="I392" s="117" t="str">
        <f t="shared" si="30"/>
        <v>→ Selecione a linha e use o menu ⏱️ Ponto</v>
      </c>
      <c r="J392" s="168"/>
      <c r="K392" s="139"/>
      <c r="L392" s="127" t="str">
        <f t="shared" si="31"/>
        <v>🟢 No Evento</v>
      </c>
      <c r="M392" s="110"/>
      <c r="N392" s="110"/>
    </row>
    <row r="393" ht="21.75" customHeight="1">
      <c r="A393" s="111">
        <f>386</f>
        <v>386</v>
      </c>
      <c r="B393" s="112" t="s">
        <v>386</v>
      </c>
      <c r="C393" s="143" t="str">
        <f t="array" ref="C393">IF(B393="","",IFERROR(INDEX('FUNCIONÁRIOS'!$B$4:$B$501,MATCH(B393,'FUNCIONÁRIOS'!$C$4:$C$501,0)),""))</f>
        <v>GO TO </v>
      </c>
      <c r="D393" s="143" t="str">
        <f t="array" ref="D393">IF(B393="","",IFERROR(INDEX('FUNCIONÁRIOS'!$D$4:$D$501,MATCH(B393,'FUNCIONÁRIOS'!$C$4:$C$501,0)),""))</f>
        <v>MONTADOR</v>
      </c>
      <c r="E393" s="113" t="str">
        <f t="array" ref="E393">IF(B393="","",IFERROR(INDEX('FUNCIONÁRIOS'!$E$4:$E$501,MATCH(B393,'FUNCIONÁRIOS'!$C$4:$C$501,0)),""))</f>
        <v>NÃO</v>
      </c>
      <c r="F393" s="138">
        <v>46167.0</v>
      </c>
      <c r="G393" s="115" t="str">
        <f t="shared" si="29"/>
        <v>✅ 08:54</v>
      </c>
      <c r="H393" s="116" t="s">
        <v>1669</v>
      </c>
      <c r="I393" s="117" t="str">
        <f t="shared" si="30"/>
        <v>→ Selecione a linha e use o menu ⏱️ Ponto</v>
      </c>
      <c r="J393" s="168"/>
      <c r="K393" s="139"/>
      <c r="L393" s="127" t="str">
        <f t="shared" si="31"/>
        <v>🟢 No Evento</v>
      </c>
      <c r="M393" s="110"/>
      <c r="N393" s="110"/>
    </row>
    <row r="394" ht="21.75" customHeight="1">
      <c r="A394" s="111">
        <f>387</f>
        <v>387</v>
      </c>
      <c r="B394" s="112" t="s">
        <v>542</v>
      </c>
      <c r="C394" s="144" t="str">
        <f t="array" ref="C394">IF(B394="","",IFERROR(INDEX('FUNCIONÁRIOS'!$B$4:$B$501,MATCH(B394,'FUNCIONÁRIOS'!$C$4:$C$501,0)),""))</f>
        <v>GO TO </v>
      </c>
      <c r="D394" s="144" t="str">
        <f t="array" ref="D394">IF(B394="","",IFERROR(INDEX('FUNCIONÁRIOS'!$D$4:$D$501,MATCH(B394,'FUNCIONÁRIOS'!$C$4:$C$501,0)),""))</f>
        <v>CENOGRAFIA</v>
      </c>
      <c r="E394" s="123" t="str">
        <f t="array" ref="E394">IF(B394="","",IFERROR(INDEX('FUNCIONÁRIOS'!$E$4:$E$501,MATCH(B394,'FUNCIONÁRIOS'!$C$4:$C$501,0)),""))</f>
        <v>NÃO</v>
      </c>
      <c r="F394" s="138">
        <v>46167.0</v>
      </c>
      <c r="G394" s="115" t="str">
        <f t="shared" si="29"/>
        <v>✅ 08:56</v>
      </c>
      <c r="H394" s="116" t="s">
        <v>1670</v>
      </c>
      <c r="I394" s="169" t="s">
        <v>1671</v>
      </c>
      <c r="J394" s="168"/>
      <c r="K394" s="139"/>
      <c r="L394" s="127" t="str">
        <f t="shared" si="31"/>
        <v>🟢 No Evento</v>
      </c>
      <c r="M394" s="110"/>
      <c r="N394" s="110"/>
    </row>
    <row r="395" ht="21.75" customHeight="1">
      <c r="A395" s="111">
        <f>388</f>
        <v>388</v>
      </c>
      <c r="B395" s="112" t="s">
        <v>374</v>
      </c>
      <c r="C395" s="143" t="str">
        <f t="array" ref="C395">IF(B395="","",IFERROR(INDEX('FUNCIONÁRIOS'!$B$4:$B$501,MATCH(B395,'FUNCIONÁRIOS'!$C$4:$C$501,0)),""))</f>
        <v>GO TO </v>
      </c>
      <c r="D395" s="143" t="str">
        <f t="array" ref="D395">IF(B395="","",IFERROR(INDEX('FUNCIONÁRIOS'!$D$4:$D$501,MATCH(B395,'FUNCIONÁRIOS'!$C$4:$C$501,0)),""))</f>
        <v>MONTADOR</v>
      </c>
      <c r="E395" s="113" t="str">
        <f t="array" ref="E395">IF(B395="","",IFERROR(INDEX('FUNCIONÁRIOS'!$E$4:$E$501,MATCH(B395,'FUNCIONÁRIOS'!$C$4:$C$501,0)),""))</f>
        <v>NÃO</v>
      </c>
      <c r="F395" s="138">
        <v>46167.0</v>
      </c>
      <c r="G395" s="115" t="str">
        <f t="shared" si="29"/>
        <v>✅ 08:57</v>
      </c>
      <c r="H395" s="116" t="s">
        <v>1672</v>
      </c>
      <c r="I395" s="117" t="str">
        <f t="shared" ref="I395:I477" si="37">IF(J395&lt;&gt;"","✅ "&amp;TEXT(J395,"HH:MM"),"→ Selecione a linha e use o menu ⏱️ Ponto")</f>
        <v>→ Selecione a linha e use o menu ⏱️ Ponto</v>
      </c>
      <c r="J395" s="168"/>
      <c r="K395" s="139"/>
      <c r="L395" s="127" t="str">
        <f t="shared" si="31"/>
        <v>🟢 No Evento</v>
      </c>
      <c r="M395" s="110"/>
      <c r="N395" s="110"/>
    </row>
    <row r="396" ht="21.75" customHeight="1">
      <c r="A396" s="111">
        <f>389</f>
        <v>389</v>
      </c>
      <c r="B396" s="112" t="s">
        <v>125</v>
      </c>
      <c r="C396" s="144" t="str">
        <f t="array" ref="C396">IF(B396="","",IFERROR(INDEX('FUNCIONÁRIOS'!$B$4:$B$501,MATCH(B396,'FUNCIONÁRIOS'!$C$4:$C$501,0)),""))</f>
        <v>MONTE EVENTOS </v>
      </c>
      <c r="D396" s="144" t="str">
        <f t="array" ref="D396">IF(B396="","",IFERROR(INDEX('FUNCIONÁRIOS'!$D$4:$D$501,MATCH(B396,'FUNCIONÁRIOS'!$C$4:$C$501,0)),""))</f>
        <v>MONTADOR</v>
      </c>
      <c r="E396" s="123" t="str">
        <f t="array" ref="E396">IF(B396="","",IFERROR(INDEX('FUNCIONÁRIOS'!$E$4:$E$501,MATCH(B396,'FUNCIONÁRIOS'!$C$4:$C$501,0)),""))</f>
        <v>NÃO</v>
      </c>
      <c r="F396" s="138">
        <v>46167.0</v>
      </c>
      <c r="G396" s="115" t="str">
        <f t="shared" si="29"/>
        <v>✅ 08:58</v>
      </c>
      <c r="H396" s="116" t="s">
        <v>1673</v>
      </c>
      <c r="I396" s="117" t="str">
        <f t="shared" si="37"/>
        <v>✅ 13:40</v>
      </c>
      <c r="J396" s="116" t="s">
        <v>1674</v>
      </c>
      <c r="K396" s="118">
        <v>0.1958333333333333</v>
      </c>
      <c r="L396" s="127" t="str">
        <f t="shared" si="31"/>
        <v>✅ Finalizado</v>
      </c>
      <c r="M396" s="110"/>
      <c r="N396" s="110"/>
    </row>
    <row r="397" ht="21.75" customHeight="1">
      <c r="A397" s="111">
        <f>390</f>
        <v>390</v>
      </c>
      <c r="B397" s="112" t="s">
        <v>123</v>
      </c>
      <c r="C397" s="143" t="str">
        <f t="array" ref="C397">IF(B397="","",IFERROR(INDEX('FUNCIONÁRIOS'!$B$4:$B$501,MATCH(B397,'FUNCIONÁRIOS'!$C$4:$C$501,0)),""))</f>
        <v>MONTE EVENTOS </v>
      </c>
      <c r="D397" s="143" t="str">
        <f t="array" ref="D397">IF(B397="","",IFERROR(INDEX('FUNCIONÁRIOS'!$D$4:$D$501,MATCH(B397,'FUNCIONÁRIOS'!$C$4:$C$501,0)),""))</f>
        <v>MONTADOR</v>
      </c>
      <c r="E397" s="113" t="str">
        <f t="array" ref="E397">IF(B397="","",IFERROR(INDEX('FUNCIONÁRIOS'!$E$4:$E$501,MATCH(B397,'FUNCIONÁRIOS'!$C$4:$C$501,0)),""))</f>
        <v>NÃO</v>
      </c>
      <c r="F397" s="138">
        <v>46167.0</v>
      </c>
      <c r="G397" s="115" t="str">
        <f t="shared" si="29"/>
        <v>✅ 08:58</v>
      </c>
      <c r="H397" s="116" t="s">
        <v>1673</v>
      </c>
      <c r="I397" s="117" t="str">
        <f t="shared" si="37"/>
        <v>✅ 13:41</v>
      </c>
      <c r="J397" s="116" t="s">
        <v>1656</v>
      </c>
      <c r="K397" s="118">
        <v>0.19652777777777775</v>
      </c>
      <c r="L397" s="127" t="str">
        <f t="shared" si="31"/>
        <v>✅ Finalizado</v>
      </c>
      <c r="M397" s="110"/>
      <c r="N397" s="110"/>
    </row>
    <row r="398" ht="21.75" customHeight="1">
      <c r="A398" s="111">
        <f>391</f>
        <v>391</v>
      </c>
      <c r="B398" s="112" t="s">
        <v>128</v>
      </c>
      <c r="C398" s="144" t="str">
        <f t="array" ref="C398">IF(B398="","",IFERROR(INDEX('FUNCIONÁRIOS'!$B$4:$B$501,MATCH(B398,'FUNCIONÁRIOS'!$C$4:$C$501,0)),""))</f>
        <v>MONTE EVENTOS </v>
      </c>
      <c r="D398" s="144" t="str">
        <f t="array" ref="D398">IF(B398="","",IFERROR(INDEX('FUNCIONÁRIOS'!$D$4:$D$501,MATCH(B398,'FUNCIONÁRIOS'!$C$4:$C$501,0)),""))</f>
        <v>MONTADOR</v>
      </c>
      <c r="E398" s="123" t="str">
        <f t="array" ref="E398">IF(B398="","",IFERROR(INDEX('FUNCIONÁRIOS'!$E$4:$E$501,MATCH(B398,'FUNCIONÁRIOS'!$C$4:$C$501,0)),""))</f>
        <v>NÃO</v>
      </c>
      <c r="F398" s="138">
        <v>46167.0</v>
      </c>
      <c r="G398" s="115" t="str">
        <f t="shared" si="29"/>
        <v>✅ 08:58</v>
      </c>
      <c r="H398" s="116" t="s">
        <v>1673</v>
      </c>
      <c r="I398" s="117" t="str">
        <f t="shared" si="37"/>
        <v>✅ 13:41</v>
      </c>
      <c r="J398" s="116" t="s">
        <v>1656</v>
      </c>
      <c r="K398" s="118">
        <v>0.19652777777777775</v>
      </c>
      <c r="L398" s="127" t="str">
        <f t="shared" si="31"/>
        <v>✅ Finalizado</v>
      </c>
      <c r="M398" s="110"/>
      <c r="N398" s="110"/>
    </row>
    <row r="399" ht="21.75" customHeight="1">
      <c r="A399" s="111">
        <f>392</f>
        <v>392</v>
      </c>
      <c r="B399" s="112" t="s">
        <v>122</v>
      </c>
      <c r="C399" s="143" t="str">
        <f t="array" ref="C399">IF(B399="","",IFERROR(INDEX('FUNCIONÁRIOS'!$B$4:$B$501,MATCH(B399,'FUNCIONÁRIOS'!$C$4:$C$501,0)),""))</f>
        <v>MONTE EVENTOS </v>
      </c>
      <c r="D399" s="143" t="str">
        <f t="array" ref="D399">IF(B399="","",IFERROR(INDEX('FUNCIONÁRIOS'!$D$4:$D$501,MATCH(B399,'FUNCIONÁRIOS'!$C$4:$C$501,0)),""))</f>
        <v>MONTADOR</v>
      </c>
      <c r="E399" s="113" t="str">
        <f t="array" ref="E399">IF(B399="","",IFERROR(INDEX('FUNCIONÁRIOS'!$E$4:$E$501,MATCH(B399,'FUNCIONÁRIOS'!$C$4:$C$501,0)),""))</f>
        <v>NÃO</v>
      </c>
      <c r="F399" s="138">
        <v>46167.0</v>
      </c>
      <c r="G399" s="115" t="str">
        <f t="shared" si="29"/>
        <v>✅ 08:59</v>
      </c>
      <c r="H399" s="116" t="s">
        <v>1675</v>
      </c>
      <c r="I399" s="117" t="str">
        <f t="shared" si="37"/>
        <v>✅ 13:40</v>
      </c>
      <c r="J399" s="116" t="s">
        <v>1674</v>
      </c>
      <c r="K399" s="118">
        <v>0.19513888888888886</v>
      </c>
      <c r="L399" s="127" t="str">
        <f t="shared" si="31"/>
        <v>✅ Finalizado</v>
      </c>
      <c r="M399" s="110"/>
      <c r="N399" s="110"/>
    </row>
    <row r="400" ht="21.75" customHeight="1">
      <c r="A400" s="111">
        <f>393</f>
        <v>393</v>
      </c>
      <c r="B400" s="112" t="s">
        <v>185</v>
      </c>
      <c r="C400" s="144" t="str">
        <f t="array" ref="C400">IF(B400="","",IFERROR(INDEX('FUNCIONÁRIOS'!$B$4:$B$501,MATCH(B400,'FUNCIONÁRIOS'!$C$4:$C$501,0)),""))</f>
        <v>MONTE EVENTOS </v>
      </c>
      <c r="D400" s="144" t="str">
        <f t="array" ref="D400">IF(B400="","",IFERROR(INDEX('FUNCIONÁRIOS'!$D$4:$D$501,MATCH(B400,'FUNCIONÁRIOS'!$C$4:$C$501,0)),""))</f>
        <v>montador </v>
      </c>
      <c r="E400" s="123" t="str">
        <f t="array" ref="E400">IF(B400="","",IFERROR(INDEX('FUNCIONÁRIOS'!$E$4:$E$501,MATCH(B400,'FUNCIONÁRIOS'!$C$4:$C$501,0)),""))</f>
        <v>NÃO</v>
      </c>
      <c r="F400" s="138">
        <v>46167.0</v>
      </c>
      <c r="G400" s="115" t="str">
        <f t="shared" si="29"/>
        <v>✅ 08:59</v>
      </c>
      <c r="H400" s="116" t="s">
        <v>1675</v>
      </c>
      <c r="I400" s="117" t="str">
        <f t="shared" si="37"/>
        <v>→ Selecione a linha e use o menu ⏱️ Ponto</v>
      </c>
      <c r="J400" s="168"/>
      <c r="K400" s="139"/>
      <c r="L400" s="127" t="str">
        <f t="shared" si="31"/>
        <v>🟢 No Evento</v>
      </c>
      <c r="M400" s="110"/>
      <c r="N400" s="110"/>
    </row>
    <row r="401" ht="21.75" customHeight="1">
      <c r="A401" s="111">
        <f>394</f>
        <v>394</v>
      </c>
      <c r="B401" s="112" t="s">
        <v>119</v>
      </c>
      <c r="C401" s="143" t="str">
        <f t="array" ref="C401">IF(B401="","",IFERROR(INDEX('FUNCIONÁRIOS'!$B$4:$B$501,MATCH(B401,'FUNCIONÁRIOS'!$C$4:$C$501,0)),""))</f>
        <v>MONTE EVENTOS </v>
      </c>
      <c r="D401" s="143" t="str">
        <f t="array" ref="D401">IF(B401="","",IFERROR(INDEX('FUNCIONÁRIOS'!$D$4:$D$501,MATCH(B401,'FUNCIONÁRIOS'!$C$4:$C$501,0)),""))</f>
        <v>MONTADOR</v>
      </c>
      <c r="E401" s="113" t="str">
        <f t="array" ref="E401">IF(B401="","",IFERROR(INDEX('FUNCIONÁRIOS'!$E$4:$E$501,MATCH(B401,'FUNCIONÁRIOS'!$C$4:$C$501,0)),""))</f>
        <v>NÃO</v>
      </c>
      <c r="F401" s="138">
        <v>46167.0</v>
      </c>
      <c r="G401" s="115" t="str">
        <f t="shared" si="29"/>
        <v>✅ 08:59</v>
      </c>
      <c r="H401" s="116" t="s">
        <v>1675</v>
      </c>
      <c r="I401" s="117" t="str">
        <f t="shared" si="37"/>
        <v>✅ 13:44</v>
      </c>
      <c r="J401" s="116" t="s">
        <v>1676</v>
      </c>
      <c r="K401" s="118">
        <v>0.19791666666666663</v>
      </c>
      <c r="L401" s="127" t="str">
        <f t="shared" si="31"/>
        <v>✅ Finalizado</v>
      </c>
      <c r="M401" s="110"/>
      <c r="N401" s="110"/>
    </row>
    <row r="402" ht="21.75" customHeight="1">
      <c r="A402" s="111">
        <f>395</f>
        <v>395</v>
      </c>
      <c r="B402" s="112" t="s">
        <v>546</v>
      </c>
      <c r="C402" s="144" t="str">
        <f t="array" ref="C402">IF(B402="","",IFERROR(INDEX('FUNCIONÁRIOS'!$B$4:$B$501,MATCH(B402,'FUNCIONÁRIOS'!$C$4:$C$501,0)),""))</f>
        <v>GO TO </v>
      </c>
      <c r="D402" s="144" t="str">
        <f t="array" ref="D402">IF(B402="","",IFERROR(INDEX('FUNCIONÁRIOS'!$D$4:$D$501,MATCH(B402,'FUNCIONÁRIOS'!$C$4:$C$501,0)),""))</f>
        <v>CENOGRAFIA </v>
      </c>
      <c r="E402" s="123" t="str">
        <f t="array" ref="E402">IF(B402="","",IFERROR(INDEX('FUNCIONÁRIOS'!$E$4:$E$501,MATCH(B402,'FUNCIONÁRIOS'!$C$4:$C$501,0)),""))</f>
        <v>NÃO</v>
      </c>
      <c r="F402" s="138">
        <v>46167.0</v>
      </c>
      <c r="G402" s="115" t="str">
        <f t="shared" si="29"/>
        <v>✅ 09:07</v>
      </c>
      <c r="H402" s="116" t="s">
        <v>1677</v>
      </c>
      <c r="I402" s="117" t="str">
        <f t="shared" si="37"/>
        <v>→ Selecione a linha e use o menu ⏱️ Ponto</v>
      </c>
      <c r="J402" s="168"/>
      <c r="K402" s="139"/>
      <c r="L402" s="127" t="str">
        <f t="shared" si="31"/>
        <v>🟢 No Evento</v>
      </c>
      <c r="M402" s="110"/>
      <c r="N402" s="110"/>
    </row>
    <row r="403" ht="21.75" customHeight="1">
      <c r="A403" s="111">
        <f>396</f>
        <v>396</v>
      </c>
      <c r="B403" s="112" t="s">
        <v>547</v>
      </c>
      <c r="C403" s="143" t="str">
        <f t="array" ref="C403">IF(B403="","",IFERROR(INDEX('FUNCIONÁRIOS'!$B$4:$B$501,MATCH(B403,'FUNCIONÁRIOS'!$C$4:$C$501,0)),""))</f>
        <v>GO TO </v>
      </c>
      <c r="D403" s="143" t="str">
        <f t="array" ref="D403">IF(B403="","",IFERROR(INDEX('FUNCIONÁRIOS'!$D$4:$D$501,MATCH(B403,'FUNCIONÁRIOS'!$C$4:$C$501,0)),""))</f>
        <v>CENOGRAFIA </v>
      </c>
      <c r="E403" s="113" t="str">
        <f t="array" ref="E403">IF(B403="","",IFERROR(INDEX('FUNCIONÁRIOS'!$E$4:$E$501,MATCH(B403,'FUNCIONÁRIOS'!$C$4:$C$501,0)),""))</f>
        <v>NÃO</v>
      </c>
      <c r="F403" s="138">
        <v>46167.0</v>
      </c>
      <c r="G403" s="115" t="str">
        <f t="shared" si="29"/>
        <v>✅ 09:07</v>
      </c>
      <c r="H403" s="116" t="s">
        <v>1677</v>
      </c>
      <c r="I403" s="117" t="str">
        <f t="shared" si="37"/>
        <v>→ Selecione a linha e use o menu ⏱️ Ponto</v>
      </c>
      <c r="J403" s="168"/>
      <c r="K403" s="139"/>
      <c r="L403" s="127" t="str">
        <f t="shared" si="31"/>
        <v>🟢 No Evento</v>
      </c>
      <c r="M403" s="110"/>
      <c r="N403" s="110"/>
    </row>
    <row r="404" ht="21.75" customHeight="1">
      <c r="A404" s="111">
        <f>397</f>
        <v>397</v>
      </c>
      <c r="B404" s="112" t="s">
        <v>548</v>
      </c>
      <c r="C404" s="144" t="str">
        <f t="array" ref="C404">IF(B404="","",IFERROR(INDEX('FUNCIONÁRIOS'!$B$4:$B$501,MATCH(B404,'FUNCIONÁRIOS'!$C$4:$C$501,0)),""))</f>
        <v>GO TO </v>
      </c>
      <c r="D404" s="144" t="str">
        <f t="array" ref="D404">IF(B404="","",IFERROR(INDEX('FUNCIONÁRIOS'!$D$4:$D$501,MATCH(B404,'FUNCIONÁRIOS'!$C$4:$C$501,0)),""))</f>
        <v>CENOGRAFIA </v>
      </c>
      <c r="E404" s="123" t="str">
        <f t="array" ref="E404">IF(B404="","",IFERROR(INDEX('FUNCIONÁRIOS'!$E$4:$E$501,MATCH(B404,'FUNCIONÁRIOS'!$C$4:$C$501,0)),""))</f>
        <v>NÃO</v>
      </c>
      <c r="F404" s="138">
        <v>46167.0</v>
      </c>
      <c r="G404" s="115" t="str">
        <f t="shared" si="29"/>
        <v>✅ 09:08</v>
      </c>
      <c r="H404" s="116" t="s">
        <v>1678</v>
      </c>
      <c r="I404" s="117" t="str">
        <f t="shared" si="37"/>
        <v>→ Selecione a linha e use o menu ⏱️ Ponto</v>
      </c>
      <c r="J404" s="168"/>
      <c r="K404" s="139"/>
      <c r="L404" s="127" t="str">
        <f t="shared" si="31"/>
        <v>🟢 No Evento</v>
      </c>
      <c r="M404" s="110"/>
      <c r="N404" s="110"/>
    </row>
    <row r="405" ht="21.75" customHeight="1">
      <c r="A405" s="111">
        <f>398</f>
        <v>398</v>
      </c>
      <c r="B405" s="112" t="s">
        <v>549</v>
      </c>
      <c r="C405" s="143" t="str">
        <f t="array" ref="C405">IF(B405="","",IFERROR(INDEX('FUNCIONÁRIOS'!$B$4:$B$501,MATCH(B405,'FUNCIONÁRIOS'!$C$4:$C$501,0)),""))</f>
        <v>GO TO </v>
      </c>
      <c r="D405" s="143" t="str">
        <f t="array" ref="D405">IF(B405="","",IFERROR(INDEX('FUNCIONÁRIOS'!$D$4:$D$501,MATCH(B405,'FUNCIONÁRIOS'!$C$4:$C$501,0)),""))</f>
        <v>CENOGRAFIA </v>
      </c>
      <c r="E405" s="113" t="str">
        <f t="array" ref="E405">IF(B405="","",IFERROR(INDEX('FUNCIONÁRIOS'!$E$4:$E$501,MATCH(B405,'FUNCIONÁRIOS'!$C$4:$C$501,0)),""))</f>
        <v>NÃO</v>
      </c>
      <c r="F405" s="138">
        <v>46167.0</v>
      </c>
      <c r="G405" s="115" t="str">
        <f t="shared" si="29"/>
        <v>✅ 09:09</v>
      </c>
      <c r="H405" s="116" t="s">
        <v>1679</v>
      </c>
      <c r="I405" s="117" t="str">
        <f t="shared" si="37"/>
        <v>✅ 21:46</v>
      </c>
      <c r="J405" s="116" t="s">
        <v>1680</v>
      </c>
      <c r="K405" s="118">
        <v>0.5256944444444445</v>
      </c>
      <c r="L405" s="127" t="str">
        <f t="shared" si="31"/>
        <v>✅ Finalizado</v>
      </c>
      <c r="M405" s="110"/>
      <c r="N405" s="110"/>
    </row>
    <row r="406" ht="21.75" customHeight="1">
      <c r="A406" s="111">
        <f>399</f>
        <v>399</v>
      </c>
      <c r="B406" s="112" t="s">
        <v>364</v>
      </c>
      <c r="C406" s="144" t="str">
        <f t="array" ref="C406">IF(B406="","",IFERROR(INDEX('FUNCIONÁRIOS'!$B$4:$B$501,MATCH(B406,'FUNCIONÁRIOS'!$C$4:$C$501,0)),""))</f>
        <v>GO TO </v>
      </c>
      <c r="D406" s="144" t="str">
        <f t="array" ref="D406">IF(B406="","",IFERROR(INDEX('FUNCIONÁRIOS'!$D$4:$D$501,MATCH(B406,'FUNCIONÁRIOS'!$C$4:$C$501,0)),""))</f>
        <v>MONTADOR</v>
      </c>
      <c r="E406" s="123" t="str">
        <f t="array" ref="E406">IF(B406="","",IFERROR(INDEX('FUNCIONÁRIOS'!$E$4:$E$501,MATCH(B406,'FUNCIONÁRIOS'!$C$4:$C$501,0)),""))</f>
        <v>NÃO</v>
      </c>
      <c r="F406" s="138">
        <v>46167.0</v>
      </c>
      <c r="G406" s="115" t="str">
        <f t="shared" si="29"/>
        <v>✅ 09:10</v>
      </c>
      <c r="H406" s="116" t="s">
        <v>1681</v>
      </c>
      <c r="I406" s="117" t="str">
        <f t="shared" si="37"/>
        <v>→ Selecione a linha e use o menu ⏱️ Ponto</v>
      </c>
      <c r="J406" s="168"/>
      <c r="K406" s="139"/>
      <c r="L406" s="127" t="str">
        <f t="shared" si="31"/>
        <v>🟢 No Evento</v>
      </c>
      <c r="M406" s="110"/>
      <c r="N406" s="110"/>
    </row>
    <row r="407" ht="21.75" customHeight="1">
      <c r="A407" s="111">
        <f>400</f>
        <v>400</v>
      </c>
      <c r="B407" s="112" t="s">
        <v>511</v>
      </c>
      <c r="C407" s="143" t="str">
        <f t="array" ref="C407">IF(B407="","",IFERROR(INDEX('FUNCIONÁRIOS'!$B$4:$B$501,MATCH(B407,'FUNCIONÁRIOS'!$C$4:$C$501,0)),""))</f>
        <v>GO TO </v>
      </c>
      <c r="D407" s="143" t="str">
        <f t="array" ref="D407">IF(B407="","",IFERROR(INDEX('FUNCIONÁRIOS'!$D$4:$D$501,MATCH(B407,'FUNCIONÁRIOS'!$C$4:$C$501,0)),""))</f>
        <v>Montador</v>
      </c>
      <c r="E407" s="113" t="str">
        <f t="array" ref="E407">IF(B407="","",IFERROR(INDEX('FUNCIONÁRIOS'!$E$4:$E$501,MATCH(B407,'FUNCIONÁRIOS'!$C$4:$C$501,0)),""))</f>
        <v>NÃO</v>
      </c>
      <c r="F407" s="138">
        <v>46167.0</v>
      </c>
      <c r="G407" s="115" t="str">
        <f t="shared" si="29"/>
        <v>✅ 09:10</v>
      </c>
      <c r="H407" s="116" t="s">
        <v>1681</v>
      </c>
      <c r="I407" s="117" t="str">
        <f t="shared" si="37"/>
        <v>✅ 21:45</v>
      </c>
      <c r="J407" s="116" t="s">
        <v>1682</v>
      </c>
      <c r="K407" s="118">
        <v>0.5243055555555556</v>
      </c>
      <c r="L407" s="127" t="str">
        <f t="shared" si="31"/>
        <v>✅ Finalizado</v>
      </c>
      <c r="M407" s="110"/>
      <c r="N407" s="110"/>
    </row>
    <row r="408" ht="21.75" customHeight="1">
      <c r="A408" s="170">
        <f>401</f>
        <v>401</v>
      </c>
      <c r="B408" s="171" t="s">
        <v>500</v>
      </c>
      <c r="C408" s="144" t="str">
        <f t="array" ref="C408">IF(B408="","",IFERROR(INDEX('FUNCIONÁRIOS'!$B$4:$B$501,MATCH(B408,'FUNCIONÁRIOS'!$C$4:$C$501,0)),""))</f>
        <v>GO TO </v>
      </c>
      <c r="D408" s="144" t="str">
        <f t="array" ref="D408">IF(B408="","",IFERROR(INDEX('FUNCIONÁRIOS'!$D$4:$D$501,MATCH(B408,'FUNCIONÁRIOS'!$C$4:$C$501,0)),""))</f>
        <v>Serralheiro</v>
      </c>
      <c r="E408" s="123" t="str">
        <f t="array" ref="E408">IF(B408="","",IFERROR(INDEX('FUNCIONÁRIOS'!$E$4:$E$501,MATCH(B408,'FUNCIONÁRIOS'!$C$4:$C$501,0)),""))</f>
        <v>NÃO</v>
      </c>
      <c r="F408" s="138">
        <v>46167.0</v>
      </c>
      <c r="G408" s="115" t="str">
        <f t="shared" si="29"/>
        <v>✅ 09:11</v>
      </c>
      <c r="H408" s="116" t="s">
        <v>1683</v>
      </c>
      <c r="I408" s="117" t="str">
        <f t="shared" si="37"/>
        <v>✅ 21:46</v>
      </c>
      <c r="J408" s="116" t="s">
        <v>1680</v>
      </c>
      <c r="K408" s="118">
        <v>0.5243055555555556</v>
      </c>
      <c r="L408" s="122" t="str">
        <f t="shared" si="31"/>
        <v>✅ Finalizado</v>
      </c>
      <c r="M408" s="110"/>
      <c r="N408" s="110"/>
    </row>
    <row r="409" ht="21.75" customHeight="1">
      <c r="A409" s="172">
        <f>402</f>
        <v>402</v>
      </c>
      <c r="B409" s="173" t="s">
        <v>416</v>
      </c>
      <c r="C409" s="143" t="str">
        <f t="array" ref="C409">IF(B409="","",IFERROR(INDEX('FUNCIONÁRIOS'!$B$4:$B$501,MATCH(B409,'FUNCIONÁRIOS'!$C$4:$C$501,0)),""))</f>
        <v>GO TO </v>
      </c>
      <c r="D409" s="143" t="str">
        <f t="array" ref="D409">IF(B409="","",IFERROR(INDEX('FUNCIONÁRIOS'!$D$4:$D$501,MATCH(B409,'FUNCIONÁRIOS'!$C$4:$C$501,0)),""))</f>
        <v>MONTADOR</v>
      </c>
      <c r="E409" s="113" t="str">
        <f t="array" ref="E409">IF(B409="","",IFERROR(INDEX('FUNCIONÁRIOS'!$E$4:$E$501,MATCH(B409,'FUNCIONÁRIOS'!$C$4:$C$501,0)),""))</f>
        <v>NÃO 23:14</v>
      </c>
      <c r="F409" s="138">
        <v>46167.0</v>
      </c>
      <c r="G409" s="115" t="str">
        <f t="shared" si="29"/>
        <v>✅ 09:12</v>
      </c>
      <c r="H409" s="174" t="s">
        <v>1684</v>
      </c>
      <c r="I409" s="117" t="str">
        <f t="shared" si="37"/>
        <v>✅ 21:45</v>
      </c>
      <c r="J409" s="174" t="s">
        <v>1682</v>
      </c>
      <c r="K409" s="175">
        <v>0.5229166666666667</v>
      </c>
      <c r="L409" s="119" t="str">
        <f t="shared" si="31"/>
        <v>✅ Finalizado</v>
      </c>
      <c r="M409" s="110"/>
      <c r="N409" s="110"/>
    </row>
    <row r="410" ht="21.75" customHeight="1">
      <c r="A410" s="170">
        <f>403</f>
        <v>403</v>
      </c>
      <c r="B410" s="171" t="s">
        <v>505</v>
      </c>
      <c r="C410" s="144" t="str">
        <f t="array" ref="C410">IF(B410="","",IFERROR(INDEX('FUNCIONÁRIOS'!$B$4:$B$501,MATCH(B410,'FUNCIONÁRIOS'!$C$4:$C$501,0)),""))</f>
        <v>GO TO </v>
      </c>
      <c r="D410" s="144" t="str">
        <f t="array" ref="D410">IF(B410="","",IFERROR(INDEX('FUNCIONÁRIOS'!$D$4:$D$501,MATCH(B410,'FUNCIONÁRIOS'!$C$4:$C$501,0)),""))</f>
        <v>Auxiliar de Serralheiro</v>
      </c>
      <c r="E410" s="123" t="str">
        <f t="array" ref="E410">IF(B410="","",IFERROR(INDEX('FUNCIONÁRIOS'!$E$4:$E$501,MATCH(B410,'FUNCIONÁRIOS'!$C$4:$C$501,0)),""))</f>
        <v>NÃO</v>
      </c>
      <c r="F410" s="138">
        <v>46167.0</v>
      </c>
      <c r="G410" s="115" t="str">
        <f t="shared" si="29"/>
        <v>✅ 09:12</v>
      </c>
      <c r="H410" s="176" t="s">
        <v>1684</v>
      </c>
      <c r="I410" s="117" t="str">
        <f t="shared" si="37"/>
        <v>✅ 21:46</v>
      </c>
      <c r="J410" s="176" t="s">
        <v>1680</v>
      </c>
      <c r="K410" s="177">
        <v>0.523611111111111</v>
      </c>
      <c r="L410" s="122" t="str">
        <f t="shared" si="31"/>
        <v>✅ Finalizado</v>
      </c>
      <c r="M410" s="110"/>
      <c r="N410" s="110"/>
    </row>
    <row r="411" ht="21.75" customHeight="1">
      <c r="A411" s="172">
        <f>404</f>
        <v>404</v>
      </c>
      <c r="B411" s="173" t="s">
        <v>550</v>
      </c>
      <c r="C411" s="143" t="str">
        <f t="array" ref="C411">IF(B411="","",IFERROR(INDEX('FUNCIONÁRIOS'!$B$4:$B$501,MATCH(B411,'FUNCIONÁRIOS'!$C$4:$C$501,0)),""))</f>
        <v>ELEMENT </v>
      </c>
      <c r="D411" s="143" t="str">
        <f t="array" ref="D411">IF(B411="","",IFERROR(INDEX('FUNCIONÁRIOS'!$D$4:$D$501,MATCH(B411,'FUNCIONÁRIOS'!$C$4:$C$501,0)),""))</f>
        <v>OPERADOR DE EMPILHADEIRA </v>
      </c>
      <c r="E411" s="113" t="str">
        <f t="array" ref="E411">IF(B411="","",IFERROR(INDEX('FUNCIONÁRIOS'!$E$4:$E$501,MATCH(B411,'FUNCIONÁRIOS'!$C$4:$C$501,0)),""))</f>
        <v>NÃO</v>
      </c>
      <c r="F411" s="138">
        <v>46167.0</v>
      </c>
      <c r="G411" s="115" t="str">
        <f t="shared" si="29"/>
        <v>✅ 09:15</v>
      </c>
      <c r="H411" s="174" t="s">
        <v>1685</v>
      </c>
      <c r="I411" s="117" t="str">
        <f t="shared" si="37"/>
        <v>✅ 18:20</v>
      </c>
      <c r="J411" s="178">
        <v>0.7638888888888888</v>
      </c>
      <c r="K411" s="179"/>
      <c r="L411" s="119" t="str">
        <f t="shared" si="31"/>
        <v>✅ Finalizado</v>
      </c>
      <c r="M411" s="110"/>
      <c r="N411" s="110"/>
    </row>
    <row r="412" ht="21.75" customHeight="1">
      <c r="A412" s="170">
        <f>405</f>
        <v>405</v>
      </c>
      <c r="B412" s="171" t="s">
        <v>485</v>
      </c>
      <c r="C412" s="144" t="str">
        <f t="array" ref="C412">IF(B412="","",IFERROR(INDEX('FUNCIONÁRIOS'!$B$4:$B$501,MATCH(B412,'FUNCIONÁRIOS'!$C$4:$C$501,0)),""))</f>
        <v>EL SHADDAI</v>
      </c>
      <c r="D412" s="144" t="str">
        <f t="array" ref="D412">IF(B412="","",IFERROR(INDEX('FUNCIONÁRIOS'!$D$4:$D$501,MATCH(B412,'FUNCIONÁRIOS'!$C$4:$C$501,0)),""))</f>
        <v>soldador </v>
      </c>
      <c r="E412" s="123" t="str">
        <f t="array" ref="E412">IF(B412="","",IFERROR(INDEX('FUNCIONÁRIOS'!$E$4:$E$501,MATCH(B412,'FUNCIONÁRIOS'!$C$4:$C$501,0)),""))</f>
        <v>NÃO</v>
      </c>
      <c r="F412" s="138">
        <v>46167.0</v>
      </c>
      <c r="G412" s="115" t="str">
        <f t="shared" si="29"/>
        <v>✅ 09:22</v>
      </c>
      <c r="H412" s="176" t="s">
        <v>1686</v>
      </c>
      <c r="I412" s="117" t="str">
        <f t="shared" si="37"/>
        <v>✅ 15:29</v>
      </c>
      <c r="J412" s="176" t="s">
        <v>1687</v>
      </c>
      <c r="K412" s="177">
        <v>0.25486111111111115</v>
      </c>
      <c r="L412" s="122" t="str">
        <f t="shared" si="31"/>
        <v>✅ Finalizado</v>
      </c>
      <c r="M412" s="110"/>
      <c r="N412" s="110"/>
    </row>
    <row r="413" ht="21.75" customHeight="1">
      <c r="A413" s="172">
        <f>406</f>
        <v>406</v>
      </c>
      <c r="B413" s="173" t="s">
        <v>482</v>
      </c>
      <c r="C413" s="143" t="str">
        <f t="array" ref="C413">IF(B413="","",IFERROR(INDEX('FUNCIONÁRIOS'!$B$4:$B$501,MATCH(B413,'FUNCIONÁRIOS'!$C$4:$C$501,0)),""))</f>
        <v>EL SHADDAI</v>
      </c>
      <c r="D413" s="143" t="str">
        <f t="array" ref="D413">IF(B413="","",IFERROR(INDEX('FUNCIONÁRIOS'!$D$4:$D$501,MATCH(B413,'FUNCIONÁRIOS'!$C$4:$C$501,0)),""))</f>
        <v>Soldador </v>
      </c>
      <c r="E413" s="113" t="str">
        <f t="array" ref="E413">IF(B413="","",IFERROR(INDEX('FUNCIONÁRIOS'!$E$4:$E$501,MATCH(B413,'FUNCIONÁRIOS'!$C$4:$C$501,0)),""))</f>
        <v>NÃO</v>
      </c>
      <c r="F413" s="138">
        <v>46167.0</v>
      </c>
      <c r="G413" s="115" t="str">
        <f t="shared" si="29"/>
        <v>✅ 09:23</v>
      </c>
      <c r="H413" s="174" t="s">
        <v>1688</v>
      </c>
      <c r="I413" s="117" t="str">
        <f t="shared" si="37"/>
        <v>✅ 15:28</v>
      </c>
      <c r="J413" s="174" t="s">
        <v>1689</v>
      </c>
      <c r="K413" s="175">
        <v>0.25347222222222227</v>
      </c>
      <c r="L413" s="119" t="str">
        <f t="shared" si="31"/>
        <v>✅ Finalizado</v>
      </c>
      <c r="M413" s="110"/>
      <c r="N413" s="110"/>
    </row>
    <row r="414" ht="21.75" customHeight="1">
      <c r="A414" s="170">
        <f>407</f>
        <v>407</v>
      </c>
      <c r="B414" s="171" t="s">
        <v>551</v>
      </c>
      <c r="C414" s="144" t="str">
        <f t="array" ref="C414">IF(B414="","",IFERROR(INDEX('FUNCIONÁRIOS'!$B$4:$B$501,MATCH(B414,'FUNCIONÁRIOS'!$C$4:$C$501,0)),""))</f>
        <v>LATINO </v>
      </c>
      <c r="D414" s="144" t="str">
        <f t="array" ref="D414">IF(B414="","",IFERROR(INDEX('FUNCIONÁRIOS'!$D$4:$D$501,MATCH(B414,'FUNCIONÁRIOS'!$C$4:$C$501,0)),""))</f>
        <v>CARREGADOR </v>
      </c>
      <c r="E414" s="123" t="str">
        <f t="array" ref="E414">IF(B414="","",IFERROR(INDEX('FUNCIONÁRIOS'!$E$4:$E$501,MATCH(B414,'FUNCIONÁRIOS'!$C$4:$C$501,0)),""))</f>
        <v/>
      </c>
      <c r="F414" s="138">
        <v>46167.0</v>
      </c>
      <c r="G414" s="115" t="str">
        <f t="shared" si="29"/>
        <v>✅ 09:25</v>
      </c>
      <c r="H414" s="176" t="s">
        <v>1690</v>
      </c>
      <c r="I414" s="117" t="str">
        <f t="shared" si="37"/>
        <v>✅ 17:47</v>
      </c>
      <c r="J414" s="176" t="s">
        <v>1663</v>
      </c>
      <c r="K414" s="177">
        <v>0.34861111111111115</v>
      </c>
      <c r="L414" s="122" t="str">
        <f t="shared" si="31"/>
        <v>✅ Finalizado</v>
      </c>
      <c r="M414" s="110"/>
      <c r="N414" s="110"/>
    </row>
    <row r="415" ht="21.75" customHeight="1">
      <c r="A415" s="172">
        <f>408</f>
        <v>408</v>
      </c>
      <c r="B415" s="173" t="s">
        <v>96</v>
      </c>
      <c r="C415" s="143" t="str">
        <f t="array" ref="C415">IF(B415="","",IFERROR(INDEX('FUNCIONÁRIOS'!$B$4:$B$501,MATCH(B415,'FUNCIONÁRIOS'!$C$4:$C$501,0)),""))</f>
        <v>PONCIANO SOLUÇÕES </v>
      </c>
      <c r="D415" s="143" t="str">
        <f t="array" ref="D415">IF(B415="","",IFERROR(INDEX('FUNCIONÁRIOS'!$D$4:$D$501,MATCH(B415,'FUNCIONÁRIOS'!$C$4:$C$501,0)),""))</f>
        <v>CREDENCIAMENTO</v>
      </c>
      <c r="E415" s="113" t="str">
        <f t="array" ref="E415">IF(B415="","",IFERROR(INDEX('FUNCIONÁRIOS'!$E$4:$E$501,MATCH(B415,'FUNCIONÁRIOS'!$C$4:$C$501,0)),""))</f>
        <v>NÃO</v>
      </c>
      <c r="F415" s="138">
        <v>46167.0</v>
      </c>
      <c r="G415" s="115" t="str">
        <f t="shared" si="29"/>
        <v>✅ 08:30</v>
      </c>
      <c r="H415" s="178">
        <v>0.3541666666666667</v>
      </c>
      <c r="I415" s="117" t="str">
        <f t="shared" si="37"/>
        <v>✅ 22:00</v>
      </c>
      <c r="J415" s="174" t="s">
        <v>1691</v>
      </c>
      <c r="K415" s="175">
        <v>0.5625</v>
      </c>
      <c r="L415" s="119" t="str">
        <f t="shared" si="31"/>
        <v>✅ Finalizado</v>
      </c>
      <c r="M415" s="110"/>
      <c r="N415" s="110"/>
    </row>
    <row r="416" ht="21.75" customHeight="1">
      <c r="A416" s="170">
        <f>409</f>
        <v>409</v>
      </c>
      <c r="B416" s="171" t="s">
        <v>552</v>
      </c>
      <c r="C416" s="144" t="str">
        <f t="array" ref="C416">IF(B416="","",IFERROR(INDEX('FUNCIONÁRIOS'!$B$4:$B$501,MATCH(B416,'FUNCIONÁRIOS'!$C$4:$C$501,0)),""))</f>
        <v>LATINO </v>
      </c>
      <c r="D416" s="144" t="str">
        <f t="array" ref="D416">IF(B416="","",IFERROR(INDEX('FUNCIONÁRIOS'!$D$4:$D$501,MATCH(B416,'FUNCIONÁRIOS'!$C$4:$C$501,0)),""))</f>
        <v>CARREGADOR </v>
      </c>
      <c r="E416" s="123" t="str">
        <f t="array" ref="E416">IF(B416="","",IFERROR(INDEX('FUNCIONÁRIOS'!$E$4:$E$501,MATCH(B416,'FUNCIONÁRIOS'!$C$4:$C$501,0)),""))</f>
        <v/>
      </c>
      <c r="F416" s="138">
        <v>46167.0</v>
      </c>
      <c r="G416" s="115" t="str">
        <f t="shared" si="29"/>
        <v>✅ 09:35</v>
      </c>
      <c r="H416" s="176" t="s">
        <v>1692</v>
      </c>
      <c r="I416" s="117" t="str">
        <f t="shared" si="37"/>
        <v>✅ 17:48</v>
      </c>
      <c r="J416" s="176" t="s">
        <v>1693</v>
      </c>
      <c r="K416" s="177">
        <v>0.3423611111111111</v>
      </c>
      <c r="L416" s="122" t="str">
        <f t="shared" si="31"/>
        <v>✅ Finalizado</v>
      </c>
      <c r="M416" s="110"/>
      <c r="N416" s="110"/>
    </row>
    <row r="417" ht="21.75" customHeight="1">
      <c r="A417" s="172">
        <f>410</f>
        <v>410</v>
      </c>
      <c r="B417" s="173" t="s">
        <v>438</v>
      </c>
      <c r="C417" s="143" t="str">
        <f t="array" ref="C417">IF(B417="","",IFERROR(INDEX('FUNCIONÁRIOS'!$B$4:$B$501,MATCH(B417,'FUNCIONÁRIOS'!$C$4:$C$501,0)),""))</f>
        <v>SHOWNEWS</v>
      </c>
      <c r="D417" s="143" t="str">
        <f t="array" ref="D417">IF(B417="","",IFERROR(INDEX('FUNCIONÁRIOS'!$D$4:$D$501,MATCH(B417,'FUNCIONÁRIOS'!$C$4:$C$501,0)),""))</f>
        <v>Montador</v>
      </c>
      <c r="E417" s="113" t="str">
        <f t="array" ref="E417">IF(B417="","",IFERROR(INDEX('FUNCIONÁRIOS'!$E$4:$E$501,MATCH(B417,'FUNCIONÁRIOS'!$C$4:$C$501,0)),""))</f>
        <v>NÃO</v>
      </c>
      <c r="F417" s="138">
        <v>46167.0</v>
      </c>
      <c r="G417" s="115" t="str">
        <f t="shared" si="29"/>
        <v>✅ 09:36</v>
      </c>
      <c r="H417" s="174" t="s">
        <v>1694</v>
      </c>
      <c r="I417" s="117" t="str">
        <f t="shared" si="37"/>
        <v>→ Selecione a linha e use o menu ⏱️ Ponto</v>
      </c>
      <c r="J417" s="180"/>
      <c r="K417" s="179"/>
      <c r="L417" s="119" t="str">
        <f t="shared" si="31"/>
        <v>🟢 No Evento</v>
      </c>
      <c r="M417" s="110"/>
      <c r="N417" s="110"/>
    </row>
    <row r="418" ht="21.75" customHeight="1">
      <c r="A418" s="170">
        <f>411</f>
        <v>411</v>
      </c>
      <c r="B418" s="171" t="s">
        <v>430</v>
      </c>
      <c r="C418" s="144" t="str">
        <f t="array" ref="C418">IF(B418="","",IFERROR(INDEX('FUNCIONÁRIOS'!$B$4:$B$501,MATCH(B418,'FUNCIONÁRIOS'!$C$4:$C$501,0)),""))</f>
        <v>SHOWNEWS</v>
      </c>
      <c r="D418" s="144" t="str">
        <f t="array" ref="D418">IF(B418="","",IFERROR(INDEX('FUNCIONÁRIOS'!$D$4:$D$501,MATCH(B418,'FUNCIONÁRIOS'!$C$4:$C$501,0)),""))</f>
        <v>Montador</v>
      </c>
      <c r="E418" s="123" t="str">
        <f t="array" ref="E418">IF(B418="","",IFERROR(INDEX('FUNCIONÁRIOS'!$E$4:$E$501,MATCH(B418,'FUNCIONÁRIOS'!$C$4:$C$501,0)),""))</f>
        <v>NÃO</v>
      </c>
      <c r="F418" s="138">
        <v>46167.0</v>
      </c>
      <c r="G418" s="115" t="str">
        <f t="shared" si="29"/>
        <v>✅ 09:36</v>
      </c>
      <c r="H418" s="176" t="s">
        <v>1694</v>
      </c>
      <c r="I418" s="117" t="str">
        <f t="shared" si="37"/>
        <v>✅ 15:48</v>
      </c>
      <c r="J418" s="176" t="s">
        <v>1658</v>
      </c>
      <c r="K418" s="177">
        <v>0.2583333333333333</v>
      </c>
      <c r="L418" s="122" t="str">
        <f t="shared" si="31"/>
        <v>✅ Finalizado</v>
      </c>
      <c r="M418" s="110"/>
      <c r="N418" s="110"/>
    </row>
    <row r="419" ht="21.75" customHeight="1">
      <c r="A419" s="172">
        <f>412</f>
        <v>412</v>
      </c>
      <c r="B419" s="173" t="s">
        <v>215</v>
      </c>
      <c r="C419" s="143" t="str">
        <f t="array" ref="C419">IF(B419="","",IFERROR(INDEX('FUNCIONÁRIOS'!$B$4:$B$501,MATCH(B419,'FUNCIONÁRIOS'!$C$4:$C$501,0)),""))</f>
        <v>GO TO </v>
      </c>
      <c r="D419" s="143" t="str">
        <f t="array" ref="D419">IF(B419="","",IFERROR(INDEX('FUNCIONÁRIOS'!$D$4:$D$501,MATCH(B419,'FUNCIONÁRIOS'!$C$4:$C$501,0)),""))</f>
        <v>CENOGRAFIA </v>
      </c>
      <c r="E419" s="113" t="str">
        <f t="array" ref="E419">IF(B419="","",IFERROR(INDEX('FUNCIONÁRIOS'!$E$4:$E$501,MATCH(B419,'FUNCIONÁRIOS'!$C$4:$C$501,0)),""))</f>
        <v>NÃO</v>
      </c>
      <c r="F419" s="138">
        <v>46167.0</v>
      </c>
      <c r="G419" s="115" t="str">
        <f t="shared" si="29"/>
        <v>✅ 09:36</v>
      </c>
      <c r="H419" s="174" t="s">
        <v>1694</v>
      </c>
      <c r="I419" s="117" t="str">
        <f t="shared" si="37"/>
        <v>✅ 21:49</v>
      </c>
      <c r="J419" s="174" t="s">
        <v>1695</v>
      </c>
      <c r="K419" s="175">
        <v>0.5090277777777777</v>
      </c>
      <c r="L419" s="119" t="str">
        <f t="shared" si="31"/>
        <v>✅ Finalizado</v>
      </c>
      <c r="M419" s="110"/>
      <c r="N419" s="110"/>
    </row>
    <row r="420" ht="21.75" customHeight="1">
      <c r="A420" s="170">
        <f>413</f>
        <v>413</v>
      </c>
      <c r="B420" s="171" t="s">
        <v>217</v>
      </c>
      <c r="C420" s="144" t="str">
        <f t="array" ref="C420">IF(B420="","",IFERROR(INDEX('FUNCIONÁRIOS'!$B$4:$B$501,MATCH(B420,'FUNCIONÁRIOS'!$C$4:$C$501,0)),""))</f>
        <v>FLASH MED</v>
      </c>
      <c r="D420" s="144" t="str">
        <f t="array" ref="D420">IF(B420="","",IFERROR(INDEX('FUNCIONÁRIOS'!$D$4:$D$501,MATCH(B420,'FUNCIONÁRIOS'!$C$4:$C$501,0)),""))</f>
        <v>PROPRIETÁRIO </v>
      </c>
      <c r="E420" s="123" t="str">
        <f t="array" ref="E420">IF(B420="","",IFERROR(INDEX('FUNCIONÁRIOS'!$E$4:$E$501,MATCH(B420,'FUNCIONÁRIOS'!$C$4:$C$501,0)),""))</f>
        <v>SIM</v>
      </c>
      <c r="F420" s="138">
        <v>46167.0</v>
      </c>
      <c r="G420" s="115" t="str">
        <f t="shared" si="29"/>
        <v>✅ 09:37</v>
      </c>
      <c r="H420" s="176" t="s">
        <v>1696</v>
      </c>
      <c r="I420" s="117" t="str">
        <f t="shared" si="37"/>
        <v>✅ 10:10</v>
      </c>
      <c r="J420" s="176" t="s">
        <v>1697</v>
      </c>
      <c r="K420" s="177">
        <v>0.02291666666666664</v>
      </c>
      <c r="L420" s="122" t="str">
        <f t="shared" si="31"/>
        <v>✅ Finalizado</v>
      </c>
      <c r="M420" s="110"/>
      <c r="N420" s="110"/>
    </row>
    <row r="421" ht="21.75" customHeight="1">
      <c r="A421" s="172">
        <f>414</f>
        <v>414</v>
      </c>
      <c r="B421" s="173" t="s">
        <v>219</v>
      </c>
      <c r="C421" s="143" t="str">
        <f t="array" ref="C421">IF(B421="","",IFERROR(INDEX('FUNCIONÁRIOS'!$B$4:$B$501,MATCH(B421,'FUNCIONÁRIOS'!$C$4:$C$501,0)),""))</f>
        <v>FLASH MED</v>
      </c>
      <c r="D421" s="143" t="str">
        <f t="array" ref="D421">IF(B421="","",IFERROR(INDEX('FUNCIONÁRIOS'!$D$4:$D$501,MATCH(B421,'FUNCIONÁRIOS'!$C$4:$C$501,0)),""))</f>
        <v>PROPRIETÁRIO </v>
      </c>
      <c r="E421" s="113" t="str">
        <f t="array" ref="E421">IF(B421="","",IFERROR(INDEX('FUNCIONÁRIOS'!$E$4:$E$501,MATCH(B421,'FUNCIONÁRIOS'!$C$4:$C$501,0)),""))</f>
        <v>SIM</v>
      </c>
      <c r="F421" s="138">
        <v>46167.0</v>
      </c>
      <c r="G421" s="115" t="str">
        <f t="shared" si="29"/>
        <v>✅ 09:37</v>
      </c>
      <c r="H421" s="174" t="s">
        <v>1696</v>
      </c>
      <c r="I421" s="117" t="str">
        <f t="shared" si="37"/>
        <v>✅ 10:10</v>
      </c>
      <c r="J421" s="174" t="s">
        <v>1697</v>
      </c>
      <c r="K421" s="175">
        <v>0.02291666666666664</v>
      </c>
      <c r="L421" s="119" t="str">
        <f t="shared" si="31"/>
        <v>✅ Finalizado</v>
      </c>
      <c r="M421" s="110"/>
      <c r="N421" s="110"/>
    </row>
    <row r="422" ht="21.75" customHeight="1">
      <c r="A422" s="170">
        <f>415</f>
        <v>415</v>
      </c>
      <c r="B422" s="171" t="s">
        <v>553</v>
      </c>
      <c r="C422" s="144" t="str">
        <f t="array" ref="C422">IF(B422="","",IFERROR(INDEX('FUNCIONÁRIOS'!$B$4:$B$501,MATCH(B422,'FUNCIONÁRIOS'!$C$4:$C$501,0)),""))</f>
        <v>SHOWNEWS</v>
      </c>
      <c r="D422" s="144" t="str">
        <f t="array" ref="D422">IF(B422="","",IFERROR(INDEX('FUNCIONÁRIOS'!$D$4:$D$501,MATCH(B422,'FUNCIONÁRIOS'!$C$4:$C$501,0)),""))</f>
        <v>MOTORISTA </v>
      </c>
      <c r="E422" s="123" t="str">
        <f t="array" ref="E422">IF(B422="","",IFERROR(INDEX('FUNCIONÁRIOS'!$E$4:$E$501,MATCH(B422,'FUNCIONÁRIOS'!$C$4:$C$501,0)),""))</f>
        <v/>
      </c>
      <c r="F422" s="138">
        <v>46167.0</v>
      </c>
      <c r="G422" s="115" t="str">
        <f t="shared" si="29"/>
        <v>✅ 09:39</v>
      </c>
      <c r="H422" s="176" t="s">
        <v>1698</v>
      </c>
      <c r="I422" s="117" t="str">
        <f t="shared" si="37"/>
        <v>✅ 10:07</v>
      </c>
      <c r="J422" s="176" t="s">
        <v>1699</v>
      </c>
      <c r="K422" s="177">
        <v>0.01944444444444443</v>
      </c>
      <c r="L422" s="122" t="str">
        <f t="shared" si="31"/>
        <v>✅ Finalizado</v>
      </c>
      <c r="M422" s="110"/>
      <c r="N422" s="110"/>
    </row>
    <row r="423" ht="21.75" customHeight="1">
      <c r="A423" s="172">
        <f>416</f>
        <v>416</v>
      </c>
      <c r="B423" s="173" t="s">
        <v>316</v>
      </c>
      <c r="C423" s="143" t="str">
        <f t="array" ref="C423">IF(B423="","",IFERROR(INDEX('FUNCIONÁRIOS'!$B$4:$B$501,MATCH(B423,'FUNCIONÁRIOS'!$C$4:$C$501,0)),""))</f>
        <v>EL SHADDAI</v>
      </c>
      <c r="D423" s="143" t="str">
        <f t="array" ref="D423">IF(B423="","",IFERROR(INDEX('FUNCIONÁRIOS'!$D$4:$D$501,MATCH(B423,'FUNCIONÁRIOS'!$C$4:$C$501,0)),""))</f>
        <v>Montador</v>
      </c>
      <c r="E423" s="113" t="str">
        <f t="array" ref="E423">IF(B423="","",IFERROR(INDEX('FUNCIONÁRIOS'!$E$4:$E$501,MATCH(B423,'FUNCIONÁRIOS'!$C$4:$C$501,0)),""))</f>
        <v>NÃO</v>
      </c>
      <c r="F423" s="138">
        <v>46167.0</v>
      </c>
      <c r="G423" s="115" t="str">
        <f t="shared" si="29"/>
        <v>✅ 09:40</v>
      </c>
      <c r="H423" s="174" t="s">
        <v>1700</v>
      </c>
      <c r="I423" s="117" t="str">
        <f t="shared" si="37"/>
        <v>✅ 13:50</v>
      </c>
      <c r="J423" s="174" t="s">
        <v>1701</v>
      </c>
      <c r="K423" s="175">
        <v>0.17361111111111105</v>
      </c>
      <c r="L423" s="119" t="str">
        <f t="shared" si="31"/>
        <v>✅ Finalizado</v>
      </c>
      <c r="M423" s="110"/>
      <c r="N423" s="110"/>
    </row>
    <row r="424" ht="21.75" customHeight="1">
      <c r="A424" s="170">
        <f>417</f>
        <v>417</v>
      </c>
      <c r="B424" s="171" t="s">
        <v>318</v>
      </c>
      <c r="C424" s="144" t="str">
        <f t="array" ref="C424">IF(B424="","",IFERROR(INDEX('FUNCIONÁRIOS'!$B$4:$B$501,MATCH(B424,'FUNCIONÁRIOS'!$C$4:$C$501,0)),""))</f>
        <v>EL SHADDAI</v>
      </c>
      <c r="D424" s="144" t="str">
        <f t="array" ref="D424">IF(B424="","",IFERROR(INDEX('FUNCIONÁRIOS'!$D$4:$D$501,MATCH(B424,'FUNCIONÁRIOS'!$C$4:$C$501,0)),""))</f>
        <v>Motorista</v>
      </c>
      <c r="E424" s="123" t="str">
        <f t="array" ref="E424">IF(B424="","",IFERROR(INDEX('FUNCIONÁRIOS'!$E$4:$E$501,MATCH(B424,'FUNCIONÁRIOS'!$C$4:$C$501,0)),""))</f>
        <v>NÃO</v>
      </c>
      <c r="F424" s="138">
        <v>46167.0</v>
      </c>
      <c r="G424" s="115" t="str">
        <f t="shared" si="29"/>
        <v>✅ 09:40</v>
      </c>
      <c r="H424" s="176" t="s">
        <v>1700</v>
      </c>
      <c r="I424" s="117" t="str">
        <f t="shared" si="37"/>
        <v>→ Selecione a linha e use o menu ⏱️ Ponto</v>
      </c>
      <c r="J424" s="181"/>
      <c r="K424" s="182"/>
      <c r="L424" s="122" t="str">
        <f t="shared" si="31"/>
        <v>🟢 No Evento</v>
      </c>
      <c r="M424" s="110"/>
      <c r="N424" s="110"/>
    </row>
    <row r="425" ht="21.75" customHeight="1">
      <c r="A425" s="172">
        <f>418</f>
        <v>418</v>
      </c>
      <c r="B425" s="173" t="s">
        <v>490</v>
      </c>
      <c r="C425" s="143" t="str">
        <f t="array" ref="C425">IF(B425="","",IFERROR(INDEX('FUNCIONÁRIOS'!$B$4:$B$501,MATCH(B425,'FUNCIONÁRIOS'!$C$4:$C$501,0)),""))</f>
        <v>EL SHADDAI</v>
      </c>
      <c r="D425" s="143" t="str">
        <f t="array" ref="D425">IF(B425="","",IFERROR(INDEX('FUNCIONÁRIOS'!$D$4:$D$501,MATCH(B425,'FUNCIONÁRIOS'!$C$4:$C$501,0)),""))</f>
        <v>Montador</v>
      </c>
      <c r="E425" s="113" t="str">
        <f t="array" ref="E425">IF(B425="","",IFERROR(INDEX('FUNCIONÁRIOS'!$E$4:$E$501,MATCH(B425,'FUNCIONÁRIOS'!$C$4:$C$501,0)),""))</f>
        <v>NÃO</v>
      </c>
      <c r="F425" s="138">
        <v>46167.0</v>
      </c>
      <c r="G425" s="115" t="str">
        <f t="shared" si="29"/>
        <v>✅ 09:40</v>
      </c>
      <c r="H425" s="174" t="s">
        <v>1700</v>
      </c>
      <c r="I425" s="117" t="str">
        <f t="shared" si="37"/>
        <v>→ Selecione a linha e use o menu ⏱️ Ponto</v>
      </c>
      <c r="J425" s="180"/>
      <c r="K425" s="179"/>
      <c r="L425" s="119" t="str">
        <f t="shared" si="31"/>
        <v>🟢 No Evento</v>
      </c>
      <c r="M425" s="110"/>
      <c r="N425" s="110"/>
    </row>
    <row r="426" ht="21.75" customHeight="1">
      <c r="A426" s="170">
        <f>419</f>
        <v>419</v>
      </c>
      <c r="B426" s="171" t="s">
        <v>319</v>
      </c>
      <c r="C426" s="144" t="str">
        <f t="array" ref="C426">IF(B426="","",IFERROR(INDEX('FUNCIONÁRIOS'!$B$4:$B$501,MATCH(B426,'FUNCIONÁRIOS'!$C$4:$C$501,0)),""))</f>
        <v>EL SHADDAI</v>
      </c>
      <c r="D426" s="144" t="str">
        <f t="array" ref="D426">IF(B426="","",IFERROR(INDEX('FUNCIONÁRIOS'!$D$4:$D$501,MATCH(B426,'FUNCIONÁRIOS'!$C$4:$C$501,0)),""))</f>
        <v>Montador</v>
      </c>
      <c r="E426" s="123" t="str">
        <f t="array" ref="E426">IF(B426="","",IFERROR(INDEX('FUNCIONÁRIOS'!$E$4:$E$501,MATCH(B426,'FUNCIONÁRIOS'!$C$4:$C$501,0)),""))</f>
        <v>NÃO</v>
      </c>
      <c r="F426" s="138">
        <v>46167.0</v>
      </c>
      <c r="G426" s="115" t="str">
        <f t="shared" si="29"/>
        <v>✅ 09:41</v>
      </c>
      <c r="H426" s="176" t="s">
        <v>1702</v>
      </c>
      <c r="I426" s="117" t="str">
        <f t="shared" si="37"/>
        <v>✅ 13:50</v>
      </c>
      <c r="J426" s="176" t="s">
        <v>1701</v>
      </c>
      <c r="K426" s="177">
        <v>0.1729166666666666</v>
      </c>
      <c r="L426" s="122" t="str">
        <f t="shared" si="31"/>
        <v>✅ Finalizado</v>
      </c>
      <c r="M426" s="110"/>
      <c r="N426" s="110"/>
    </row>
    <row r="427" ht="21.75" customHeight="1">
      <c r="A427" s="172">
        <f>420</f>
        <v>420</v>
      </c>
      <c r="B427" s="173" t="s">
        <v>236</v>
      </c>
      <c r="C427" s="143" t="str">
        <f t="array" ref="C427">IF(B427="","",IFERROR(INDEX('FUNCIONÁRIOS'!$B$4:$B$501,MATCH(B427,'FUNCIONÁRIOS'!$C$4:$C$501,0)),""))</f>
        <v>EL SHADDAI</v>
      </c>
      <c r="D427" s="143" t="str">
        <f t="array" ref="D427">IF(B427="","",IFERROR(INDEX('FUNCIONÁRIOS'!$D$4:$D$501,MATCH(B427,'FUNCIONÁRIOS'!$C$4:$C$501,0)),""))</f>
        <v>SOLDADOR </v>
      </c>
      <c r="E427" s="113" t="str">
        <f t="array" ref="E427">IF(B427="","",IFERROR(INDEX('FUNCIONÁRIOS'!$E$4:$E$501,MATCH(B427,'FUNCIONÁRIOS'!$C$4:$C$501,0)),""))</f>
        <v>NÃO</v>
      </c>
      <c r="F427" s="138">
        <v>46167.0</v>
      </c>
      <c r="G427" s="115" t="str">
        <f t="shared" si="29"/>
        <v>✅ 09:41</v>
      </c>
      <c r="H427" s="174" t="s">
        <v>1702</v>
      </c>
      <c r="I427" s="117" t="str">
        <f t="shared" si="37"/>
        <v>✅ 13:50</v>
      </c>
      <c r="J427" s="174" t="s">
        <v>1701</v>
      </c>
      <c r="K427" s="175">
        <v>0.1729166666666666</v>
      </c>
      <c r="L427" s="119" t="str">
        <f t="shared" si="31"/>
        <v>✅ Finalizado</v>
      </c>
      <c r="M427" s="110"/>
      <c r="N427" s="110"/>
    </row>
    <row r="428" ht="21.75" customHeight="1">
      <c r="A428" s="170">
        <f>421</f>
        <v>421</v>
      </c>
      <c r="B428" s="171" t="s">
        <v>317</v>
      </c>
      <c r="C428" s="144" t="str">
        <f t="array" ref="C428">IF(B428="","",IFERROR(INDEX('FUNCIONÁRIOS'!$B$4:$B$501,MATCH(B428,'FUNCIONÁRIOS'!$C$4:$C$501,0)),""))</f>
        <v>EL SHADDAI</v>
      </c>
      <c r="D428" s="144" t="str">
        <f t="array" ref="D428">IF(B428="","",IFERROR(INDEX('FUNCIONÁRIOS'!$D$4:$D$501,MATCH(B428,'FUNCIONÁRIOS'!$C$4:$C$501,0)),""))</f>
        <v>Montador</v>
      </c>
      <c r="E428" s="123" t="str">
        <f t="array" ref="E428">IF(B428="","",IFERROR(INDEX('FUNCIONÁRIOS'!$E$4:$E$501,MATCH(B428,'FUNCIONÁRIOS'!$C$4:$C$501,0)),""))</f>
        <v>NÃO</v>
      </c>
      <c r="F428" s="138">
        <v>46167.0</v>
      </c>
      <c r="G428" s="115" t="str">
        <f t="shared" si="29"/>
        <v>✅ 09:42</v>
      </c>
      <c r="H428" s="176" t="s">
        <v>1703</v>
      </c>
      <c r="I428" s="117" t="str">
        <f t="shared" si="37"/>
        <v>✅ 13:49</v>
      </c>
      <c r="J428" s="176" t="s">
        <v>1649</v>
      </c>
      <c r="K428" s="177">
        <v>0.17152777777777772</v>
      </c>
      <c r="L428" s="122" t="str">
        <f t="shared" si="31"/>
        <v>✅ Finalizado</v>
      </c>
      <c r="M428" s="110"/>
      <c r="N428" s="110"/>
    </row>
    <row r="429" ht="21.75" customHeight="1">
      <c r="A429" s="172">
        <f>422</f>
        <v>422</v>
      </c>
      <c r="B429" s="173" t="s">
        <v>554</v>
      </c>
      <c r="C429" s="143" t="str">
        <f t="array" ref="C429">IF(B429="","",IFERROR(INDEX('FUNCIONÁRIOS'!$B$4:$B$501,MATCH(B429,'FUNCIONÁRIOS'!$C$4:$C$501,0)),""))</f>
        <v>FABINHO EVENTOS </v>
      </c>
      <c r="D429" s="143" t="str">
        <f t="array" ref="D429">IF(B429="","",IFERROR(INDEX('FUNCIONÁRIOS'!$D$4:$D$501,MATCH(B429,'FUNCIONÁRIOS'!$C$4:$C$501,0)),""))</f>
        <v>COORDENADOR DOS AMBULANTES </v>
      </c>
      <c r="E429" s="113" t="str">
        <f t="array" ref="E429">IF(B429="","",IFERROR(INDEX('FUNCIONÁRIOS'!$E$4:$E$501,MATCH(B429,'FUNCIONÁRIOS'!$C$4:$C$501,0)),""))</f>
        <v>SIM</v>
      </c>
      <c r="F429" s="138">
        <v>46167.0</v>
      </c>
      <c r="G429" s="115" t="str">
        <f t="shared" si="29"/>
        <v>✅ 10:03</v>
      </c>
      <c r="H429" s="174" t="s">
        <v>1636</v>
      </c>
      <c r="I429" s="117" t="str">
        <f t="shared" si="37"/>
        <v>✅ 14:00</v>
      </c>
      <c r="J429" s="178">
        <v>0.5833333333333334</v>
      </c>
      <c r="K429" s="179"/>
      <c r="L429" s="119" t="str">
        <f t="shared" si="31"/>
        <v>✅ Finalizado</v>
      </c>
      <c r="M429" s="110"/>
      <c r="N429" s="110"/>
    </row>
    <row r="430" ht="21.75" customHeight="1">
      <c r="A430" s="170">
        <f>423</f>
        <v>423</v>
      </c>
      <c r="B430" s="171" t="s">
        <v>196</v>
      </c>
      <c r="C430" s="144" t="str">
        <f t="array" ref="C430">IF(B430="","",IFERROR(INDEX('FUNCIONÁRIOS'!$B$4:$B$501,MATCH(B430,'FUNCIONÁRIOS'!$C$4:$C$501,0)),""))</f>
        <v>ASSOCIAÇÃO ASSUNÇÃO </v>
      </c>
      <c r="D430" s="144" t="str">
        <f t="array" ref="D430">IF(B430="","",IFERROR(INDEX('FUNCIONÁRIOS'!$D$4:$D$501,MATCH(B430,'FUNCIONÁRIOS'!$C$4:$C$501,0)),""))</f>
        <v>ADMINISTRATIVO </v>
      </c>
      <c r="E430" s="123" t="str">
        <f t="array" ref="E430">IF(B430="","",IFERROR(INDEX('FUNCIONÁRIOS'!$E$4:$E$501,MATCH(B430,'FUNCIONÁRIOS'!$C$4:$C$501,0)),""))</f>
        <v>SIM</v>
      </c>
      <c r="F430" s="138">
        <v>46167.0</v>
      </c>
      <c r="G430" s="115" t="str">
        <f t="shared" si="29"/>
        <v>✅ 10:06</v>
      </c>
      <c r="H430" s="176" t="s">
        <v>1704</v>
      </c>
      <c r="I430" s="117" t="str">
        <f t="shared" si="37"/>
        <v>✅ 19:18</v>
      </c>
      <c r="J430" s="176" t="s">
        <v>1705</v>
      </c>
      <c r="K430" s="177">
        <v>0.38333333333333336</v>
      </c>
      <c r="L430" s="122" t="str">
        <f t="shared" si="31"/>
        <v>✅ Finalizado</v>
      </c>
      <c r="M430" s="110"/>
      <c r="N430" s="110"/>
    </row>
    <row r="431" ht="21.75" customHeight="1">
      <c r="A431" s="172">
        <f>424</f>
        <v>424</v>
      </c>
      <c r="B431" s="173" t="s">
        <v>1706</v>
      </c>
      <c r="C431" s="143" t="str">
        <f t="array" ref="C431">IF(B431="","",IFERROR(INDEX('FUNCIONÁRIOS'!$B$4:$B$501,MATCH(B431,'FUNCIONÁRIOS'!$C$4:$C$501,0)),""))</f>
        <v/>
      </c>
      <c r="D431" s="143" t="str">
        <f t="array" ref="D431">IF(B431="","",IFERROR(INDEX('FUNCIONÁRIOS'!$D$4:$D$501,MATCH(B431,'FUNCIONÁRIOS'!$C$4:$C$501,0)),""))</f>
        <v/>
      </c>
      <c r="E431" s="113" t="str">
        <f t="array" ref="E431">IF(B431="","",IFERROR(INDEX('FUNCIONÁRIOS'!$E$4:$E$501,MATCH(B431,'FUNCIONÁRIOS'!$C$4:$C$501,0)),""))</f>
        <v/>
      </c>
      <c r="F431" s="138">
        <v>46167.0</v>
      </c>
      <c r="G431" s="115" t="str">
        <f t="shared" si="29"/>
        <v>✅ 10:19</v>
      </c>
      <c r="H431" s="174" t="s">
        <v>1707</v>
      </c>
      <c r="I431" s="117" t="str">
        <f t="shared" si="37"/>
        <v>→ Selecione a linha e use o menu ⏱️ Ponto</v>
      </c>
      <c r="J431" s="180"/>
      <c r="K431" s="179"/>
      <c r="L431" s="119" t="str">
        <f t="shared" si="31"/>
        <v>🟢 No Evento</v>
      </c>
      <c r="M431" s="110"/>
      <c r="N431" s="110"/>
    </row>
    <row r="432" ht="21.75" customHeight="1">
      <c r="A432" s="170">
        <f>425</f>
        <v>425</v>
      </c>
      <c r="B432" s="171" t="s">
        <v>1708</v>
      </c>
      <c r="C432" s="144" t="str">
        <f t="array" ref="C432">IF(B432="","",IFERROR(INDEX('FUNCIONÁRIOS'!$B$4:$B$501,MATCH(B432,'FUNCIONÁRIOS'!$C$4:$C$501,0)),""))</f>
        <v/>
      </c>
      <c r="D432" s="144" t="str">
        <f t="array" ref="D432">IF(B432="","",IFERROR(INDEX('FUNCIONÁRIOS'!$D$4:$D$501,MATCH(B432,'FUNCIONÁRIOS'!$C$4:$C$501,0)),""))</f>
        <v/>
      </c>
      <c r="E432" s="123" t="str">
        <f t="array" ref="E432">IF(B432="","",IFERROR(INDEX('FUNCIONÁRIOS'!$E$4:$E$501,MATCH(B432,'FUNCIONÁRIOS'!$C$4:$C$501,0)),""))</f>
        <v/>
      </c>
      <c r="F432" s="138">
        <v>46167.0</v>
      </c>
      <c r="G432" s="115" t="str">
        <f t="shared" si="29"/>
        <v>✅ 10:20</v>
      </c>
      <c r="H432" s="176" t="s">
        <v>1709</v>
      </c>
      <c r="I432" s="117" t="str">
        <f t="shared" si="37"/>
        <v>→ Selecione a linha e use o menu ⏱️ Ponto</v>
      </c>
      <c r="J432" s="181"/>
      <c r="K432" s="182"/>
      <c r="L432" s="122" t="str">
        <f t="shared" si="31"/>
        <v>🟢 No Evento</v>
      </c>
      <c r="M432" s="110"/>
      <c r="N432" s="110"/>
    </row>
    <row r="433" ht="21.75" customHeight="1">
      <c r="A433" s="172">
        <f>426</f>
        <v>426</v>
      </c>
      <c r="B433" s="173" t="s">
        <v>556</v>
      </c>
      <c r="C433" s="143" t="str">
        <f t="array" ref="C433">IF(B433="","",IFERROR(INDEX('FUNCIONÁRIOS'!$B$4:$B$501,MATCH(B433,'FUNCIONÁRIOS'!$C$4:$C$501,0)),""))</f>
        <v>FABINHO EVENTOS </v>
      </c>
      <c r="D433" s="143" t="str">
        <f t="array" ref="D433">IF(B433="","",IFERROR(INDEX('FUNCIONÁRIOS'!$D$4:$D$501,MATCH(B433,'FUNCIONÁRIOS'!$C$4:$C$501,0)),""))</f>
        <v>AMBULANTE </v>
      </c>
      <c r="E433" s="113" t="str">
        <f t="array" ref="E433">IF(B433="","",IFERROR(INDEX('FUNCIONÁRIOS'!$E$4:$E$501,MATCH(B433,'FUNCIONÁRIOS'!$C$4:$C$501,0)),""))</f>
        <v>NÃO</v>
      </c>
      <c r="F433" s="138">
        <v>46167.0</v>
      </c>
      <c r="G433" s="115" t="str">
        <f t="shared" si="29"/>
        <v>✅ 10:23</v>
      </c>
      <c r="H433" s="174" t="s">
        <v>1710</v>
      </c>
      <c r="I433" s="117" t="str">
        <f t="shared" si="37"/>
        <v>✅ 14:00</v>
      </c>
      <c r="J433" s="178">
        <v>0.5833333333333334</v>
      </c>
      <c r="K433" s="179"/>
      <c r="L433" s="119" t="str">
        <f t="shared" si="31"/>
        <v>✅ Finalizado</v>
      </c>
      <c r="M433" s="110"/>
      <c r="N433" s="110"/>
    </row>
    <row r="434" ht="21.75" customHeight="1">
      <c r="A434" s="170">
        <f>427</f>
        <v>427</v>
      </c>
      <c r="B434" s="171" t="s">
        <v>557</v>
      </c>
      <c r="C434" s="144" t="str">
        <f t="array" ref="C434">IF(B434="","",IFERROR(INDEX('FUNCIONÁRIOS'!$B$4:$B$501,MATCH(B434,'FUNCIONÁRIOS'!$C$4:$C$501,0)),""))</f>
        <v>ASSOCIAÇÃO ASSUNÇÃO </v>
      </c>
      <c r="D434" s="144" t="str">
        <f t="array" ref="D434">IF(B434="","",IFERROR(INDEX('FUNCIONÁRIOS'!$D$4:$D$501,MATCH(B434,'FUNCIONÁRIOS'!$C$4:$C$501,0)),""))</f>
        <v>COORDENADORA DE VENDAS </v>
      </c>
      <c r="E434" s="123" t="str">
        <f t="array" ref="E434">IF(B434="","",IFERROR(INDEX('FUNCIONÁRIOS'!$E$4:$E$501,MATCH(B434,'FUNCIONÁRIOS'!$C$4:$C$501,0)),""))</f>
        <v>NÃO</v>
      </c>
      <c r="F434" s="138">
        <v>46167.0</v>
      </c>
      <c r="G434" s="115" t="str">
        <f t="shared" si="29"/>
        <v>✅ 11:05</v>
      </c>
      <c r="H434" s="176" t="s">
        <v>1711</v>
      </c>
      <c r="I434" s="117" t="str">
        <f t="shared" si="37"/>
        <v>✅ 14:08</v>
      </c>
      <c r="J434" s="183">
        <v>0.5888888888888889</v>
      </c>
      <c r="K434" s="182"/>
      <c r="L434" s="122" t="str">
        <f t="shared" si="31"/>
        <v>✅ Finalizado</v>
      </c>
      <c r="M434" s="110"/>
      <c r="N434" s="110"/>
    </row>
    <row r="435" ht="21.75" customHeight="1">
      <c r="A435" s="172">
        <f>428</f>
        <v>428</v>
      </c>
      <c r="B435" s="173" t="s">
        <v>254</v>
      </c>
      <c r="C435" s="143" t="str">
        <f t="array" ref="C435">IF(B435="","",IFERROR(INDEX('FUNCIONÁRIOS'!$B$4:$B$501,MATCH(B435,'FUNCIONÁRIOS'!$C$4:$C$501,0)),""))</f>
        <v>GO TO </v>
      </c>
      <c r="D435" s="143" t="str">
        <f t="array" ref="D435">IF(B435="","",IFERROR(INDEX('FUNCIONÁRIOS'!$D$4:$D$501,MATCH(B435,'FUNCIONÁRIOS'!$C$4:$C$501,0)),""))</f>
        <v>DIRETOR </v>
      </c>
      <c r="E435" s="113" t="str">
        <f t="array" ref="E435">IF(B435="","",IFERROR(INDEX('FUNCIONÁRIOS'!$E$4:$E$501,MATCH(B435,'FUNCIONÁRIOS'!$C$4:$C$501,0)),""))</f>
        <v>NÃO</v>
      </c>
      <c r="F435" s="138">
        <v>46167.0</v>
      </c>
      <c r="G435" s="115" t="str">
        <f t="shared" si="29"/>
        <v>✅ 11:10</v>
      </c>
      <c r="H435" s="174" t="s">
        <v>1712</v>
      </c>
      <c r="I435" s="117" t="str">
        <f t="shared" si="37"/>
        <v>→ Selecione a linha e use o menu ⏱️ Ponto</v>
      </c>
      <c r="J435" s="180"/>
      <c r="K435" s="179"/>
      <c r="L435" s="119" t="str">
        <f t="shared" si="31"/>
        <v>🟢 No Evento</v>
      </c>
      <c r="M435" s="110"/>
      <c r="N435" s="110"/>
    </row>
    <row r="436" ht="21.75" customHeight="1">
      <c r="A436" s="170">
        <f>429</f>
        <v>429</v>
      </c>
      <c r="B436" s="171" t="s">
        <v>559</v>
      </c>
      <c r="C436" s="144" t="str">
        <f t="array" ref="C436">IF(B436="","",IFERROR(INDEX('FUNCIONÁRIOS'!$B$4:$B$501,MATCH(B436,'FUNCIONÁRIOS'!$C$4:$C$501,0)),""))</f>
        <v>ASSOCIAÇÃO ASSUNÇÃO </v>
      </c>
      <c r="D436" s="144" t="str">
        <f t="array" ref="D436">IF(B436="","",IFERROR(INDEX('FUNCIONÁRIOS'!$D$4:$D$501,MATCH(B436,'FUNCIONÁRIOS'!$C$4:$C$501,0)),""))</f>
        <v>COORDENADORA DE EQUIPE </v>
      </c>
      <c r="E436" s="123" t="str">
        <f t="array" ref="E436">IF(B436="","",IFERROR(INDEX('FUNCIONÁRIOS'!$E$4:$E$501,MATCH(B436,'FUNCIONÁRIOS'!$C$4:$C$501,0)),""))</f>
        <v>NÃO</v>
      </c>
      <c r="F436" s="138">
        <v>46167.0</v>
      </c>
      <c r="G436" s="115" t="str">
        <f t="shared" si="29"/>
        <v>✅ 11:13</v>
      </c>
      <c r="H436" s="176" t="s">
        <v>1713</v>
      </c>
      <c r="I436" s="117" t="str">
        <f t="shared" si="37"/>
        <v>✅ 13:00</v>
      </c>
      <c r="J436" s="176" t="s">
        <v>1714</v>
      </c>
      <c r="K436" s="177">
        <v>0.07430555555555551</v>
      </c>
      <c r="L436" s="122" t="str">
        <f t="shared" si="31"/>
        <v>✅ Finalizado</v>
      </c>
      <c r="M436" s="110"/>
      <c r="N436" s="110"/>
    </row>
    <row r="437" ht="21.75" customHeight="1">
      <c r="A437" s="172">
        <f>430</f>
        <v>430</v>
      </c>
      <c r="B437" s="173" t="s">
        <v>561</v>
      </c>
      <c r="C437" s="143" t="str">
        <f t="array" ref="C437">IF(B437="","",IFERROR(INDEX('FUNCIONÁRIOS'!$B$4:$B$501,MATCH(B437,'FUNCIONÁRIOS'!$C$4:$C$501,0)),""))</f>
        <v>ASSOCIAÇÃO ASSUNÇÃO </v>
      </c>
      <c r="D437" s="143" t="str">
        <f t="array" ref="D437">IF(B437="","",IFERROR(INDEX('FUNCIONÁRIOS'!$D$4:$D$501,MATCH(B437,'FUNCIONÁRIOS'!$C$4:$C$501,0)),""))</f>
        <v>LIRTUGIA </v>
      </c>
      <c r="E437" s="113" t="str">
        <f t="array" ref="E437">IF(B437="","",IFERROR(INDEX('FUNCIONÁRIOS'!$E$4:$E$501,MATCH(B437,'FUNCIONÁRIOS'!$C$4:$C$501,0)),""))</f>
        <v>NÃO</v>
      </c>
      <c r="F437" s="138">
        <v>46167.0</v>
      </c>
      <c r="G437" s="115" t="str">
        <f t="shared" si="29"/>
        <v>✅ 11:14</v>
      </c>
      <c r="H437" s="174" t="s">
        <v>1715</v>
      </c>
      <c r="I437" s="117" t="str">
        <f t="shared" si="37"/>
        <v>✅ 14:09</v>
      </c>
      <c r="J437" s="178">
        <v>0.5895833333333333</v>
      </c>
      <c r="K437" s="179"/>
      <c r="L437" s="119" t="str">
        <f t="shared" si="31"/>
        <v>✅ Finalizado</v>
      </c>
      <c r="M437" s="110"/>
      <c r="N437" s="110"/>
    </row>
    <row r="438" ht="21.75" customHeight="1">
      <c r="A438" s="170">
        <f>431</f>
        <v>431</v>
      </c>
      <c r="B438" s="171" t="s">
        <v>243</v>
      </c>
      <c r="C438" s="144" t="str">
        <f t="array" ref="C438">IF(B438="","",IFERROR(INDEX('FUNCIONÁRIOS'!$B$4:$B$501,MATCH(B438,'FUNCIONÁRIOS'!$C$4:$C$501,0)),""))</f>
        <v>REISFORT</v>
      </c>
      <c r="D438" s="144" t="str">
        <f t="array" ref="D438">IF(B438="","",IFERROR(INDEX('FUNCIONÁRIOS'!$D$4:$D$501,MATCH(B438,'FUNCIONÁRIOS'!$C$4:$C$501,0)),""))</f>
        <v>MONTADOR </v>
      </c>
      <c r="E438" s="123" t="str">
        <f t="array" ref="E438">IF(B438="","",IFERROR(INDEX('FUNCIONÁRIOS'!$E$4:$E$501,MATCH(B438,'FUNCIONÁRIOS'!$C$4:$C$501,0)),""))</f>
        <v>NÃO</v>
      </c>
      <c r="F438" s="138">
        <v>46167.0</v>
      </c>
      <c r="G438" s="115" t="str">
        <f t="shared" si="29"/>
        <v>✅ 11:15</v>
      </c>
      <c r="H438" s="176" t="s">
        <v>1716</v>
      </c>
      <c r="I438" s="117" t="str">
        <f t="shared" si="37"/>
        <v>→ Selecione a linha e use o menu ⏱️ Ponto</v>
      </c>
      <c r="J438" s="181"/>
      <c r="K438" s="182"/>
      <c r="L438" s="122" t="str">
        <f t="shared" si="31"/>
        <v>🟢 No Evento</v>
      </c>
      <c r="M438" s="110"/>
      <c r="N438" s="110"/>
    </row>
    <row r="439" ht="21.75" customHeight="1">
      <c r="A439" s="172">
        <f>432</f>
        <v>432</v>
      </c>
      <c r="B439" s="173" t="s">
        <v>249</v>
      </c>
      <c r="C439" s="143" t="str">
        <f t="array" ref="C439">IF(B439="","",IFERROR(INDEX('FUNCIONÁRIOS'!$B$4:$B$501,MATCH(B439,'FUNCIONÁRIOS'!$C$4:$C$501,0)),""))</f>
        <v>REISFORT</v>
      </c>
      <c r="D439" s="143" t="str">
        <f t="array" ref="D439">IF(B439="","",IFERROR(INDEX('FUNCIONÁRIOS'!$D$4:$D$501,MATCH(B439,'FUNCIONÁRIOS'!$C$4:$C$501,0)),""))</f>
        <v>MOTORISTA </v>
      </c>
      <c r="E439" s="113" t="str">
        <f t="array" ref="E439">IF(B439="","",IFERROR(INDEX('FUNCIONÁRIOS'!$E$4:$E$501,MATCH(B439,'FUNCIONÁRIOS'!$C$4:$C$501,0)),""))</f>
        <v>NÃO</v>
      </c>
      <c r="F439" s="138">
        <v>46167.0</v>
      </c>
      <c r="G439" s="115" t="str">
        <f t="shared" si="29"/>
        <v>✅ 11:15</v>
      </c>
      <c r="H439" s="174" t="s">
        <v>1716</v>
      </c>
      <c r="I439" s="117" t="str">
        <f t="shared" si="37"/>
        <v>→ Selecione a linha e use o menu ⏱️ Ponto</v>
      </c>
      <c r="J439" s="180"/>
      <c r="K439" s="179"/>
      <c r="L439" s="119" t="str">
        <f t="shared" si="31"/>
        <v>🟢 No Evento</v>
      </c>
      <c r="M439" s="110"/>
      <c r="N439" s="110"/>
    </row>
    <row r="440" ht="21.75" customHeight="1">
      <c r="A440" s="170">
        <f>433</f>
        <v>433</v>
      </c>
      <c r="B440" s="171" t="s">
        <v>242</v>
      </c>
      <c r="C440" s="144" t="str">
        <f t="array" ref="C440">IF(B440="","",IFERROR(INDEX('FUNCIONÁRIOS'!$B$4:$B$501,MATCH(B440,'FUNCIONÁRIOS'!$C$4:$C$501,0)),""))</f>
        <v>REISFORT</v>
      </c>
      <c r="D440" s="144" t="str">
        <f t="array" ref="D440">IF(B440="","",IFERROR(INDEX('FUNCIONÁRIOS'!$D$4:$D$501,MATCH(B440,'FUNCIONÁRIOS'!$C$4:$C$501,0)),""))</f>
        <v>MONTADOR </v>
      </c>
      <c r="E440" s="123" t="str">
        <f t="array" ref="E440">IF(B440="","",IFERROR(INDEX('FUNCIONÁRIOS'!$E$4:$E$501,MATCH(B440,'FUNCIONÁRIOS'!$C$4:$C$501,0)),""))</f>
        <v>NÃO</v>
      </c>
      <c r="F440" s="138">
        <v>46167.0</v>
      </c>
      <c r="G440" s="115" t="str">
        <f t="shared" si="29"/>
        <v>✅ 11:15</v>
      </c>
      <c r="H440" s="176" t="s">
        <v>1716</v>
      </c>
      <c r="I440" s="117" t="str">
        <f t="shared" si="37"/>
        <v>→ Selecione a linha e use o menu ⏱️ Ponto</v>
      </c>
      <c r="J440" s="181"/>
      <c r="K440" s="182"/>
      <c r="L440" s="122" t="str">
        <f t="shared" si="31"/>
        <v>🟢 No Evento</v>
      </c>
      <c r="M440" s="110"/>
      <c r="N440" s="110"/>
    </row>
    <row r="441" ht="21.75" customHeight="1">
      <c r="A441" s="172">
        <f>434</f>
        <v>434</v>
      </c>
      <c r="B441" s="173" t="s">
        <v>563</v>
      </c>
      <c r="C441" s="143" t="str">
        <f t="array" ref="C441">IF(B441="","",IFERROR(INDEX('FUNCIONÁRIOS'!$B$4:$B$501,MATCH(B441,'FUNCIONÁRIOS'!$C$4:$C$501,0)),""))</f>
        <v>VISUAL LIVE </v>
      </c>
      <c r="D441" s="143" t="str">
        <f t="array" ref="D441">IF(B441="","",IFERROR(INDEX('FUNCIONÁRIOS'!$D$4:$D$501,MATCH(B441,'FUNCIONÁRIOS'!$C$4:$C$501,0)),""))</f>
        <v>COORDENADORA DE EQUIPE </v>
      </c>
      <c r="E441" s="113" t="str">
        <f t="array" ref="E441">IF(B441="","",IFERROR(INDEX('FUNCIONÁRIOS'!$E$4:$E$501,MATCH(B441,'FUNCIONÁRIOS'!$C$4:$C$501,0)),""))</f>
        <v>SIM</v>
      </c>
      <c r="F441" s="138">
        <v>46167.0</v>
      </c>
      <c r="G441" s="115" t="str">
        <f t="shared" si="29"/>
        <v>✅ 11:33</v>
      </c>
      <c r="H441" s="174" t="s">
        <v>1717</v>
      </c>
      <c r="I441" s="117" t="str">
        <f t="shared" si="37"/>
        <v>→ Selecione a linha e use o menu ⏱️ Ponto</v>
      </c>
      <c r="J441" s="180"/>
      <c r="K441" s="179"/>
      <c r="L441" s="119" t="str">
        <f t="shared" si="31"/>
        <v>🟢 No Evento</v>
      </c>
      <c r="M441" s="110"/>
      <c r="N441" s="110"/>
    </row>
    <row r="442" ht="21.75" customHeight="1">
      <c r="A442" s="170">
        <f>435</f>
        <v>435</v>
      </c>
      <c r="B442" s="171" t="s">
        <v>564</v>
      </c>
      <c r="C442" s="144" t="str">
        <f t="array" ref="C442">IF(B442="","",IFERROR(INDEX('FUNCIONÁRIOS'!$B$4:$B$501,MATCH(B442,'FUNCIONÁRIOS'!$C$4:$C$501,0)),""))</f>
        <v>VISUAL LIVE </v>
      </c>
      <c r="D442" s="144" t="str">
        <f t="array" ref="D442">IF(B442="","",IFERROR(INDEX('FUNCIONÁRIOS'!$D$4:$D$501,MATCH(B442,'FUNCIONÁRIOS'!$C$4:$C$501,0)),""))</f>
        <v>COORDENADORA DE EQUIPE </v>
      </c>
      <c r="E442" s="123" t="str">
        <f t="array" ref="E442">IF(B442="","",IFERROR(INDEX('FUNCIONÁRIOS'!$E$4:$E$501,MATCH(B442,'FUNCIONÁRIOS'!$C$4:$C$501,0)),""))</f>
        <v>NÃO</v>
      </c>
      <c r="F442" s="138">
        <v>46167.0</v>
      </c>
      <c r="G442" s="115" t="str">
        <f t="shared" si="29"/>
        <v>✅ 11:20</v>
      </c>
      <c r="H442" s="176" t="s">
        <v>1718</v>
      </c>
      <c r="I442" s="117" t="str">
        <f t="shared" si="37"/>
        <v>→ Selecione a linha e use o menu ⏱️ Ponto</v>
      </c>
      <c r="J442" s="181"/>
      <c r="K442" s="182"/>
      <c r="L442" s="122" t="str">
        <f t="shared" si="31"/>
        <v>🟢 No Evento</v>
      </c>
      <c r="M442" s="110"/>
      <c r="N442" s="110"/>
    </row>
    <row r="443" ht="21.75" customHeight="1">
      <c r="A443" s="172">
        <f>436</f>
        <v>436</v>
      </c>
      <c r="B443" s="173" t="s">
        <v>565</v>
      </c>
      <c r="C443" s="143" t="str">
        <f t="array" ref="C443">IF(B443="","",IFERROR(INDEX('FUNCIONÁRIOS'!$B$4:$B$501,MATCH(B443,'FUNCIONÁRIOS'!$C$4:$C$501,0)),""))</f>
        <v>ASSOCIAÇÃO ASSUNÇÃO </v>
      </c>
      <c r="D443" s="143" t="str">
        <f t="array" ref="D443">IF(B443="","",IFERROR(INDEX('FUNCIONÁRIOS'!$D$4:$D$501,MATCH(B443,'FUNCIONÁRIOS'!$C$4:$C$501,0)),""))</f>
        <v>COORDENADOR DE EQUIPE </v>
      </c>
      <c r="E443" s="113" t="str">
        <f t="array" ref="E443">IF(B443="","",IFERROR(INDEX('FUNCIONÁRIOS'!$E$4:$E$501,MATCH(B443,'FUNCIONÁRIOS'!$C$4:$C$501,0)),""))</f>
        <v>NÃO</v>
      </c>
      <c r="F443" s="138">
        <v>46167.0</v>
      </c>
      <c r="G443" s="115" t="str">
        <f t="shared" si="29"/>
        <v>✅ 11:22</v>
      </c>
      <c r="H443" s="174" t="s">
        <v>1719</v>
      </c>
      <c r="I443" s="117" t="str">
        <f t="shared" si="37"/>
        <v>✅ 12:59</v>
      </c>
      <c r="J443" s="174" t="s">
        <v>1720</v>
      </c>
      <c r="K443" s="175">
        <v>0.0673611111111111</v>
      </c>
      <c r="L443" s="119" t="str">
        <f t="shared" si="31"/>
        <v>✅ Finalizado</v>
      </c>
      <c r="M443" s="110"/>
      <c r="N443" s="110"/>
    </row>
    <row r="444" ht="21.75" customHeight="1">
      <c r="A444" s="170">
        <f>437</f>
        <v>437</v>
      </c>
      <c r="B444" s="171" t="s">
        <v>567</v>
      </c>
      <c r="C444" s="144" t="str">
        <f t="array" ref="C444">IF(B444="","",IFERROR(INDEX('FUNCIONÁRIOS'!$B$4:$B$501,MATCH(B444,'FUNCIONÁRIOS'!$C$4:$C$501,0)),""))</f>
        <v>VISUAL LIVE </v>
      </c>
      <c r="D444" s="144" t="str">
        <f t="array" ref="D444">IF(B444="","",IFERROR(INDEX('FUNCIONÁRIOS'!$D$4:$D$501,MATCH(B444,'FUNCIONÁRIOS'!$C$4:$C$501,0)),""))</f>
        <v>MONTADOR </v>
      </c>
      <c r="E444" s="123" t="str">
        <f t="array" ref="E444">IF(B444="","",IFERROR(INDEX('FUNCIONÁRIOS'!$E$4:$E$501,MATCH(B444,'FUNCIONÁRIOS'!$C$4:$C$501,0)),""))</f>
        <v>SIM</v>
      </c>
      <c r="F444" s="138">
        <v>46167.0</v>
      </c>
      <c r="G444" s="115" t="str">
        <f t="shared" si="29"/>
        <v>✅ 11:25</v>
      </c>
      <c r="H444" s="176" t="s">
        <v>1721</v>
      </c>
      <c r="I444" s="117" t="str">
        <f t="shared" si="37"/>
        <v>→ Selecione a linha e use o menu ⏱️ Ponto</v>
      </c>
      <c r="J444" s="181"/>
      <c r="K444" s="182"/>
      <c r="L444" s="122" t="str">
        <f t="shared" si="31"/>
        <v>🟢 No Evento</v>
      </c>
      <c r="M444" s="110"/>
      <c r="N444" s="110"/>
    </row>
    <row r="445" ht="21.75" customHeight="1">
      <c r="A445" s="172">
        <f>438</f>
        <v>438</v>
      </c>
      <c r="B445" s="173" t="s">
        <v>568</v>
      </c>
      <c r="C445" s="143" t="str">
        <f t="array" ref="C445">IF(B445="","",IFERROR(INDEX('FUNCIONÁRIOS'!$B$4:$B$501,MATCH(B445,'FUNCIONÁRIOS'!$C$4:$C$501,0)),""))</f>
        <v>VISUAL LIVE </v>
      </c>
      <c r="D445" s="143" t="str">
        <f t="array" ref="D445">IF(B445="","",IFERROR(INDEX('FUNCIONÁRIOS'!$D$4:$D$501,MATCH(B445,'FUNCIONÁRIOS'!$C$4:$C$501,0)),""))</f>
        <v>MONTADOR </v>
      </c>
      <c r="E445" s="113" t="str">
        <f t="array" ref="E445">IF(B445="","",IFERROR(INDEX('FUNCIONÁRIOS'!$E$4:$E$501,MATCH(B445,'FUNCIONÁRIOS'!$C$4:$C$501,0)),""))</f>
        <v>NÃO</v>
      </c>
      <c r="F445" s="138">
        <v>46167.0</v>
      </c>
      <c r="G445" s="115" t="str">
        <f t="shared" si="29"/>
        <v>✅ 11:26</v>
      </c>
      <c r="H445" s="174" t="s">
        <v>1722</v>
      </c>
      <c r="I445" s="117" t="str">
        <f t="shared" si="37"/>
        <v>✅ 19:19</v>
      </c>
      <c r="J445" s="174" t="s">
        <v>1723</v>
      </c>
      <c r="K445" s="175">
        <v>0.3284722222222223</v>
      </c>
      <c r="L445" s="119" t="str">
        <f t="shared" si="31"/>
        <v>✅ Finalizado</v>
      </c>
      <c r="M445" s="110"/>
      <c r="N445" s="110"/>
    </row>
    <row r="446" ht="21.75" customHeight="1">
      <c r="A446" s="170">
        <f>439</f>
        <v>439</v>
      </c>
      <c r="B446" s="171" t="s">
        <v>569</v>
      </c>
      <c r="C446" s="144" t="str">
        <f t="array" ref="C446">IF(B446="","",IFERROR(INDEX('FUNCIONÁRIOS'!$B$4:$B$501,MATCH(B446,'FUNCIONÁRIOS'!$C$4:$C$501,0)),""))</f>
        <v>VISUAL LIVE </v>
      </c>
      <c r="D446" s="144" t="str">
        <f t="array" ref="D446">IF(B446="","",IFERROR(INDEX('FUNCIONÁRIOS'!$D$4:$D$501,MATCH(B446,'FUNCIONÁRIOS'!$C$4:$C$501,0)),""))</f>
        <v>MONTADOR </v>
      </c>
      <c r="E446" s="123" t="str">
        <f t="array" ref="E446">IF(B446="","",IFERROR(INDEX('FUNCIONÁRIOS'!$E$4:$E$501,MATCH(B446,'FUNCIONÁRIOS'!$C$4:$C$501,0)),""))</f>
        <v>NÃO</v>
      </c>
      <c r="F446" s="138">
        <v>46167.0</v>
      </c>
      <c r="G446" s="115" t="str">
        <f t="shared" si="29"/>
        <v>✅ 11:27</v>
      </c>
      <c r="H446" s="176" t="s">
        <v>1724</v>
      </c>
      <c r="I446" s="117" t="str">
        <f t="shared" si="37"/>
        <v>✅ 18:01</v>
      </c>
      <c r="J446" s="176" t="s">
        <v>1725</v>
      </c>
      <c r="K446" s="177">
        <v>0.2736111111111111</v>
      </c>
      <c r="L446" s="122" t="str">
        <f t="shared" si="31"/>
        <v>✅ Finalizado</v>
      </c>
      <c r="M446" s="110"/>
      <c r="N446" s="110"/>
    </row>
    <row r="447" ht="21.75" customHeight="1">
      <c r="A447" s="172">
        <f>440</f>
        <v>440</v>
      </c>
      <c r="B447" s="173" t="s">
        <v>198</v>
      </c>
      <c r="C447" s="143" t="str">
        <f t="array" ref="C447">IF(B447="","",IFERROR(INDEX('FUNCIONÁRIOS'!$B$4:$B$501,MATCH(B447,'FUNCIONÁRIOS'!$C$4:$C$501,0)),""))</f>
        <v/>
      </c>
      <c r="D447" s="143" t="str">
        <f t="array" ref="D447">IF(B447="","",IFERROR(INDEX('FUNCIONÁRIOS'!$D$4:$D$501,MATCH(B447,'FUNCIONÁRIOS'!$C$4:$C$501,0)),""))</f>
        <v>GERENTE </v>
      </c>
      <c r="E447" s="113" t="str">
        <f t="array" ref="E447">IF(B447="","",IFERROR(INDEX('FUNCIONÁRIOS'!$E$4:$E$501,MATCH(B447,'FUNCIONÁRIOS'!$C$4:$C$501,0)),""))</f>
        <v>NÃO</v>
      </c>
      <c r="F447" s="138">
        <v>46167.0</v>
      </c>
      <c r="G447" s="115" t="str">
        <f t="shared" si="29"/>
        <v>✅ 11:28</v>
      </c>
      <c r="H447" s="174" t="s">
        <v>1726</v>
      </c>
      <c r="I447" s="117" t="str">
        <f t="shared" si="37"/>
        <v>✅ 16;00</v>
      </c>
      <c r="J447" s="184" t="s">
        <v>1727</v>
      </c>
      <c r="K447" s="179"/>
      <c r="L447" s="119" t="str">
        <f t="shared" si="31"/>
        <v>✅ Finalizado</v>
      </c>
      <c r="M447" s="110"/>
      <c r="N447" s="110"/>
    </row>
    <row r="448" ht="21.75" customHeight="1">
      <c r="A448" s="170">
        <f>441</f>
        <v>441</v>
      </c>
      <c r="B448" s="171" t="s">
        <v>570</v>
      </c>
      <c r="C448" s="144" t="str">
        <f t="array" ref="C448">IF(B448="","",IFERROR(INDEX('FUNCIONÁRIOS'!$B$4:$B$501,MATCH(B448,'FUNCIONÁRIOS'!$C$4:$C$501,0)),""))</f>
        <v>VISUAL LIVE </v>
      </c>
      <c r="D448" s="144" t="str">
        <f t="array" ref="D448">IF(B448="","",IFERROR(INDEX('FUNCIONÁRIOS'!$D$4:$D$501,MATCH(B448,'FUNCIONÁRIOS'!$C$4:$C$501,0)),""))</f>
        <v>MONTADOR </v>
      </c>
      <c r="E448" s="123" t="str">
        <f t="array" ref="E448">IF(B448="","",IFERROR(INDEX('FUNCIONÁRIOS'!$E$4:$E$501,MATCH(B448,'FUNCIONÁRIOS'!$C$4:$C$501,0)),""))</f>
        <v>NÃO</v>
      </c>
      <c r="F448" s="138">
        <v>46167.0</v>
      </c>
      <c r="G448" s="115" t="str">
        <f t="shared" si="29"/>
        <v>✅ 11:30</v>
      </c>
      <c r="H448" s="176" t="s">
        <v>1728</v>
      </c>
      <c r="I448" s="117" t="str">
        <f t="shared" si="37"/>
        <v>✅ 19:19</v>
      </c>
      <c r="J448" s="176" t="s">
        <v>1723</v>
      </c>
      <c r="K448" s="177">
        <v>0.32569444444444445</v>
      </c>
      <c r="L448" s="122" t="str">
        <f t="shared" si="31"/>
        <v>✅ Finalizado</v>
      </c>
      <c r="M448" s="110"/>
      <c r="N448" s="110"/>
    </row>
    <row r="449" ht="21.75" customHeight="1">
      <c r="A449" s="172">
        <f>442</f>
        <v>442</v>
      </c>
      <c r="B449" s="173" t="s">
        <v>571</v>
      </c>
      <c r="C449" s="143" t="str">
        <f t="array" ref="C449">IF(B449="","",IFERROR(INDEX('FUNCIONÁRIOS'!$B$4:$B$501,MATCH(B449,'FUNCIONÁRIOS'!$C$4:$C$501,0)),""))</f>
        <v>VISUAL LIVE </v>
      </c>
      <c r="D449" s="143" t="str">
        <f t="array" ref="D449">IF(B449="","",IFERROR(INDEX('FUNCIONÁRIOS'!$D$4:$D$501,MATCH(B449,'FUNCIONÁRIOS'!$C$4:$C$501,0)),""))</f>
        <v>MONTADOR </v>
      </c>
      <c r="E449" s="113" t="str">
        <f t="array" ref="E449">IF(B449="","",IFERROR(INDEX('FUNCIONÁRIOS'!$E$4:$E$501,MATCH(B449,'FUNCIONÁRIOS'!$C$4:$C$501,0)),""))</f>
        <v>NÃO</v>
      </c>
      <c r="F449" s="138">
        <v>46167.0</v>
      </c>
      <c r="G449" s="115" t="str">
        <f t="shared" si="29"/>
        <v>✅ 11:31</v>
      </c>
      <c r="H449" s="174" t="s">
        <v>1729</v>
      </c>
      <c r="I449" s="117" t="str">
        <f t="shared" si="37"/>
        <v>✅ 19:19</v>
      </c>
      <c r="J449" s="174" t="s">
        <v>1723</v>
      </c>
      <c r="K449" s="175">
        <v>0.325</v>
      </c>
      <c r="L449" s="119" t="str">
        <f t="shared" si="31"/>
        <v>✅ Finalizado</v>
      </c>
      <c r="M449" s="110"/>
      <c r="N449" s="110"/>
    </row>
    <row r="450" ht="21.75" customHeight="1">
      <c r="A450" s="170">
        <f>443</f>
        <v>443</v>
      </c>
      <c r="B450" s="171" t="s">
        <v>251</v>
      </c>
      <c r="C450" s="144" t="str">
        <f t="array" ref="C450">IF(B450="","",IFERROR(INDEX('FUNCIONÁRIOS'!$B$4:$B$501,MATCH(B450,'FUNCIONÁRIOS'!$C$4:$C$501,0)),""))</f>
        <v>GO TO </v>
      </c>
      <c r="D450" s="144" t="str">
        <f t="array" ref="D450">IF(B450="","",IFERROR(INDEX('FUNCIONÁRIOS'!$D$4:$D$501,MATCH(B450,'FUNCIONÁRIOS'!$C$4:$C$501,0)),""))</f>
        <v>CENOTECNICO </v>
      </c>
      <c r="E450" s="123" t="str">
        <f t="array" ref="E450">IF(B450="","",IFERROR(INDEX('FUNCIONÁRIOS'!$E$4:$E$501,MATCH(B450,'FUNCIONÁRIOS'!$C$4:$C$501,0)),""))</f>
        <v>NÃO</v>
      </c>
      <c r="F450" s="138">
        <v>46167.0</v>
      </c>
      <c r="G450" s="115" t="str">
        <f t="shared" si="29"/>
        <v>✅ 11:32</v>
      </c>
      <c r="H450" s="176" t="s">
        <v>1730</v>
      </c>
      <c r="I450" s="117" t="str">
        <f t="shared" si="37"/>
        <v>→ Selecione a linha e use o menu ⏱️ Ponto</v>
      </c>
      <c r="J450" s="181"/>
      <c r="K450" s="182"/>
      <c r="L450" s="122" t="str">
        <f t="shared" si="31"/>
        <v>🟢 No Evento</v>
      </c>
      <c r="M450" s="110"/>
      <c r="N450" s="110"/>
    </row>
    <row r="451" ht="21.75" customHeight="1">
      <c r="A451" s="172">
        <f>444</f>
        <v>444</v>
      </c>
      <c r="B451" s="173" t="s">
        <v>572</v>
      </c>
      <c r="C451" s="143" t="str">
        <f t="array" ref="C451">IF(B451="","",IFERROR(INDEX('FUNCIONÁRIOS'!$B$4:$B$501,MATCH(B451,'FUNCIONÁRIOS'!$C$4:$C$501,0)),""))</f>
        <v>CANA JOY</v>
      </c>
      <c r="D451" s="143" t="str">
        <f t="array" ref="D451">IF(B451="","",IFERROR(INDEX('FUNCIONÁRIOS'!$D$4:$D$501,MATCH(B451,'FUNCIONÁRIOS'!$C$4:$C$501,0)),""))</f>
        <v>PROPRIETÁRIO </v>
      </c>
      <c r="E451" s="113" t="str">
        <f t="array" ref="E451">IF(B451="","",IFERROR(INDEX('FUNCIONÁRIOS'!$E$4:$E$501,MATCH(B451,'FUNCIONÁRIOS'!$C$4:$C$501,0)),""))</f>
        <v>NÃO</v>
      </c>
      <c r="F451" s="138">
        <v>46167.0</v>
      </c>
      <c r="G451" s="115" t="str">
        <f t="shared" si="29"/>
        <v>✅ 11:34</v>
      </c>
      <c r="H451" s="174" t="s">
        <v>1731</v>
      </c>
      <c r="I451" s="117" t="str">
        <f t="shared" si="37"/>
        <v>✅ 16:00</v>
      </c>
      <c r="J451" s="178">
        <v>0.6666666666666666</v>
      </c>
      <c r="K451" s="179"/>
      <c r="L451" s="119" t="str">
        <f t="shared" si="31"/>
        <v>✅ Finalizado</v>
      </c>
      <c r="M451" s="110"/>
      <c r="N451" s="110"/>
    </row>
    <row r="452" ht="21.75" customHeight="1">
      <c r="A452" s="170">
        <f>445</f>
        <v>445</v>
      </c>
      <c r="B452" s="171" t="s">
        <v>573</v>
      </c>
      <c r="C452" s="144" t="str">
        <f t="array" ref="C452">IF(B452="","",IFERROR(INDEX('FUNCIONÁRIOS'!$B$4:$B$501,MATCH(B452,'FUNCIONÁRIOS'!$C$4:$C$501,0)),""))</f>
        <v>GO TO </v>
      </c>
      <c r="D452" s="144" t="str">
        <f t="array" ref="D452">IF(B452="","",IFERROR(INDEX('FUNCIONÁRIOS'!$D$4:$D$501,MATCH(B452,'FUNCIONÁRIOS'!$C$4:$C$501,0)),""))</f>
        <v>CENOGRAFIA </v>
      </c>
      <c r="E452" s="123" t="str">
        <f t="array" ref="E452">IF(B452="","",IFERROR(INDEX('FUNCIONÁRIOS'!$E$4:$E$501,MATCH(B452,'FUNCIONÁRIOS'!$C$4:$C$501,0)),""))</f>
        <v>NÃO</v>
      </c>
      <c r="F452" s="138">
        <v>46167.0</v>
      </c>
      <c r="G452" s="115" t="str">
        <f t="shared" si="29"/>
        <v>✅ 11:39</v>
      </c>
      <c r="H452" s="176" t="s">
        <v>1732</v>
      </c>
      <c r="I452" s="117" t="str">
        <f t="shared" si="37"/>
        <v>→ Selecione a linha e use o menu ⏱️ Ponto</v>
      </c>
      <c r="J452" s="181"/>
      <c r="K452" s="182"/>
      <c r="L452" s="122" t="str">
        <f t="shared" si="31"/>
        <v>🟢 No Evento</v>
      </c>
      <c r="M452" s="110"/>
      <c r="N452" s="110"/>
    </row>
    <row r="453" ht="21.75" customHeight="1">
      <c r="A453" s="172">
        <f>446</f>
        <v>446</v>
      </c>
      <c r="B453" s="173" t="s">
        <v>392</v>
      </c>
      <c r="C453" s="143" t="str">
        <f t="array" ref="C453">IF(B453="","",IFERROR(INDEX('FUNCIONÁRIOS'!$B$4:$B$501,MATCH(B453,'FUNCIONÁRIOS'!$C$4:$C$501,0)),""))</f>
        <v>GO TO </v>
      </c>
      <c r="D453" s="143" t="str">
        <f t="array" ref="D453">IF(B453="","",IFERROR(INDEX('FUNCIONÁRIOS'!$D$4:$D$501,MATCH(B453,'FUNCIONÁRIOS'!$C$4:$C$501,0)),""))</f>
        <v>MONTADOR</v>
      </c>
      <c r="E453" s="113" t="str">
        <f t="array" ref="E453">IF(B453="","",IFERROR(INDEX('FUNCIONÁRIOS'!$E$4:$E$501,MATCH(B453,'FUNCIONÁRIOS'!$C$4:$C$501,0)),""))</f>
        <v>NÃO</v>
      </c>
      <c r="F453" s="138">
        <v>46167.0</v>
      </c>
      <c r="G453" s="115" t="str">
        <f t="shared" si="29"/>
        <v>✅ 11:39</v>
      </c>
      <c r="H453" s="174" t="s">
        <v>1732</v>
      </c>
      <c r="I453" s="117" t="str">
        <f t="shared" si="37"/>
        <v>→ Selecione a linha e use o menu ⏱️ Ponto</v>
      </c>
      <c r="J453" s="180"/>
      <c r="K453" s="179"/>
      <c r="L453" s="119" t="str">
        <f t="shared" si="31"/>
        <v>🟢 No Evento</v>
      </c>
      <c r="M453" s="110"/>
      <c r="N453" s="110"/>
    </row>
    <row r="454" ht="21.75" customHeight="1">
      <c r="A454" s="170">
        <f>447</f>
        <v>447</v>
      </c>
      <c r="B454" s="171" t="s">
        <v>380</v>
      </c>
      <c r="C454" s="144" t="str">
        <f t="array" ref="C454">IF(B454="","",IFERROR(INDEX('FUNCIONÁRIOS'!$B$4:$B$501,MATCH(B454,'FUNCIONÁRIOS'!$C$4:$C$501,0)),""))</f>
        <v>GO TO </v>
      </c>
      <c r="D454" s="144" t="str">
        <f t="array" ref="D454">IF(B454="","",IFERROR(INDEX('FUNCIONÁRIOS'!$D$4:$D$501,MATCH(B454,'FUNCIONÁRIOS'!$C$4:$C$501,0)),""))</f>
        <v>MONTADOR</v>
      </c>
      <c r="E454" s="123" t="str">
        <f t="array" ref="E454">IF(B454="","",IFERROR(INDEX('FUNCIONÁRIOS'!$E$4:$E$501,MATCH(B454,'FUNCIONÁRIOS'!$C$4:$C$501,0)),""))</f>
        <v>NÃO</v>
      </c>
      <c r="F454" s="138">
        <v>46167.0</v>
      </c>
      <c r="G454" s="115" t="str">
        <f t="shared" si="29"/>
        <v>✅ 11:40</v>
      </c>
      <c r="H454" s="176" t="s">
        <v>1733</v>
      </c>
      <c r="I454" s="117" t="str">
        <f t="shared" si="37"/>
        <v>→ Selecione a linha e use o menu ⏱️ Ponto</v>
      </c>
      <c r="J454" s="181"/>
      <c r="K454" s="182"/>
      <c r="L454" s="122" t="str">
        <f t="shared" si="31"/>
        <v>🟢 No Evento</v>
      </c>
      <c r="M454" s="110"/>
      <c r="N454" s="110"/>
    </row>
    <row r="455" ht="21.75" customHeight="1">
      <c r="A455" s="172">
        <f>448</f>
        <v>448</v>
      </c>
      <c r="B455" s="173" t="s">
        <v>574</v>
      </c>
      <c r="C455" s="143" t="str">
        <f t="array" ref="C455">IF(B455="","",IFERROR(INDEX('FUNCIONÁRIOS'!$B$4:$B$501,MATCH(B455,'FUNCIONÁRIOS'!$C$4:$C$501,0)),""))</f>
        <v>GO TO </v>
      </c>
      <c r="D455" s="143" t="str">
        <f t="array" ref="D455">IF(B455="","",IFERROR(INDEX('FUNCIONÁRIOS'!$D$4:$D$501,MATCH(B455,'FUNCIONÁRIOS'!$C$4:$C$501,0)),""))</f>
        <v>CENOGRAFIA </v>
      </c>
      <c r="E455" s="113" t="str">
        <f t="array" ref="E455">IF(B455="","",IFERROR(INDEX('FUNCIONÁRIOS'!$E$4:$E$501,MATCH(B455,'FUNCIONÁRIOS'!$C$4:$C$501,0)),""))</f>
        <v>NÃO</v>
      </c>
      <c r="F455" s="138">
        <v>46167.0</v>
      </c>
      <c r="G455" s="115" t="str">
        <f t="shared" si="29"/>
        <v>✅ 11:41</v>
      </c>
      <c r="H455" s="174" t="s">
        <v>1734</v>
      </c>
      <c r="I455" s="117" t="str">
        <f t="shared" si="37"/>
        <v>→ Selecione a linha e use o menu ⏱️ Ponto</v>
      </c>
      <c r="J455" s="180"/>
      <c r="K455" s="179"/>
      <c r="L455" s="119" t="str">
        <f t="shared" si="31"/>
        <v>🟢 No Evento</v>
      </c>
      <c r="M455" s="110"/>
      <c r="N455" s="110"/>
    </row>
    <row r="456" ht="21.75" customHeight="1">
      <c r="A456" s="170">
        <f>449</f>
        <v>449</v>
      </c>
      <c r="B456" s="171" t="s">
        <v>575</v>
      </c>
      <c r="C456" s="144" t="str">
        <f t="array" ref="C456">IF(B456="","",IFERROR(INDEX('FUNCIONÁRIOS'!$B$4:$B$501,MATCH(B456,'FUNCIONÁRIOS'!$C$4:$C$501,0)),""))</f>
        <v>ASSOCIAÇÃO ASSUNÇÃO </v>
      </c>
      <c r="D456" s="144" t="str">
        <f t="array" ref="D456">IF(B456="","",IFERROR(INDEX('FUNCIONÁRIOS'!$D$4:$D$501,MATCH(B456,'FUNCIONÁRIOS'!$C$4:$C$501,0)),""))</f>
        <v>COORDENADOR DE EQUIPE </v>
      </c>
      <c r="E456" s="123" t="str">
        <f t="array" ref="E456">IF(B456="","",IFERROR(INDEX('FUNCIONÁRIOS'!$E$4:$E$501,MATCH(B456,'FUNCIONÁRIOS'!$C$4:$C$501,0)),""))</f>
        <v>NÃO</v>
      </c>
      <c r="F456" s="138">
        <v>46167.0</v>
      </c>
      <c r="G456" s="115" t="str">
        <f t="shared" si="29"/>
        <v>✅ 11:47</v>
      </c>
      <c r="H456" s="176" t="s">
        <v>1735</v>
      </c>
      <c r="I456" s="117" t="str">
        <f t="shared" si="37"/>
        <v>✅ 12:00</v>
      </c>
      <c r="J456" s="183">
        <v>0.5</v>
      </c>
      <c r="K456" s="182"/>
      <c r="L456" s="122" t="str">
        <f t="shared" si="31"/>
        <v>✅ Finalizado</v>
      </c>
      <c r="M456" s="110"/>
      <c r="N456" s="110"/>
    </row>
    <row r="457" ht="21.75" customHeight="1">
      <c r="A457" s="172">
        <f>450</f>
        <v>450</v>
      </c>
      <c r="B457" s="173" t="s">
        <v>576</v>
      </c>
      <c r="C457" s="143" t="str">
        <f t="array" ref="C457">IF(B457="","",IFERROR(INDEX('FUNCIONÁRIOS'!$B$4:$B$501,MATCH(B457,'FUNCIONÁRIOS'!$C$4:$C$501,0)),""))</f>
        <v>ASSOCIAÇÃO ASSUNÇÃO </v>
      </c>
      <c r="D457" s="143" t="str">
        <f t="array" ref="D457">IF(B457="","",IFERROR(INDEX('FUNCIONÁRIOS'!$D$4:$D$501,MATCH(B457,'FUNCIONÁRIOS'!$C$4:$C$501,0)),""))</f>
        <v>COORDENADOR DE EQUIPE </v>
      </c>
      <c r="E457" s="113" t="str">
        <f t="array" ref="E457">IF(B457="","",IFERROR(INDEX('FUNCIONÁRIOS'!$E$4:$E$501,MATCH(B457,'FUNCIONÁRIOS'!$C$4:$C$501,0)),""))</f>
        <v>NÃO</v>
      </c>
      <c r="F457" s="138">
        <v>46167.0</v>
      </c>
      <c r="G457" s="115" t="str">
        <f t="shared" si="29"/>
        <v>✅ 11:56</v>
      </c>
      <c r="H457" s="174" t="s">
        <v>1736</v>
      </c>
      <c r="I457" s="117" t="str">
        <f t="shared" si="37"/>
        <v>✅ 12:00</v>
      </c>
      <c r="J457" s="183">
        <v>0.5</v>
      </c>
      <c r="K457" s="179"/>
      <c r="L457" s="119" t="str">
        <f t="shared" si="31"/>
        <v>✅ Finalizado</v>
      </c>
      <c r="M457" s="110"/>
      <c r="N457" s="110"/>
    </row>
    <row r="458" ht="21.75" customHeight="1">
      <c r="A458" s="170">
        <f>451</f>
        <v>451</v>
      </c>
      <c r="B458" s="171" t="s">
        <v>112</v>
      </c>
      <c r="C458" s="144" t="str">
        <f t="array" ref="C458">IF(B458="","",IFERROR(INDEX('FUNCIONÁRIOS'!$B$4:$B$501,MATCH(B458,'FUNCIONÁRIOS'!$C$4:$C$501,0)),""))</f>
        <v>MONTE EVENTOS </v>
      </c>
      <c r="D458" s="144" t="str">
        <f t="array" ref="D458">IF(B458="","",IFERROR(INDEX('FUNCIONÁRIOS'!$D$4:$D$501,MATCH(B458,'FUNCIONÁRIOS'!$C$4:$C$501,0)),""))</f>
        <v>MONTADOR</v>
      </c>
      <c r="E458" s="123" t="str">
        <f t="array" ref="E458">IF(B458="","",IFERROR(INDEX('FUNCIONÁRIOS'!$E$4:$E$501,MATCH(B458,'FUNCIONÁRIOS'!$C$4:$C$501,0)),""))</f>
        <v>NÃO</v>
      </c>
      <c r="F458" s="138">
        <v>46167.0</v>
      </c>
      <c r="G458" s="115" t="str">
        <f t="shared" si="29"/>
        <v>✅ 08:00</v>
      </c>
      <c r="H458" s="176" t="s">
        <v>1587</v>
      </c>
      <c r="I458" s="117" t="str">
        <f t="shared" si="37"/>
        <v>✅ 13:44</v>
      </c>
      <c r="J458" s="176" t="s">
        <v>1676</v>
      </c>
      <c r="K458" s="185">
        <v>0.21944444444444444</v>
      </c>
      <c r="L458" s="122" t="str">
        <f t="shared" si="31"/>
        <v>✅ Finalizado</v>
      </c>
      <c r="M458" s="110"/>
      <c r="N458" s="110"/>
    </row>
    <row r="459" ht="21.75" customHeight="1">
      <c r="A459" s="172">
        <f>452</f>
        <v>452</v>
      </c>
      <c r="B459" s="173" t="s">
        <v>111</v>
      </c>
      <c r="C459" s="143" t="str">
        <f t="array" ref="C459">IF(B459="","",IFERROR(INDEX('FUNCIONÁRIOS'!$B$4:$B$501,MATCH(B459,'FUNCIONÁRIOS'!$C$4:$C$501,0)),""))</f>
        <v>MONTE EVENTOS </v>
      </c>
      <c r="D459" s="143" t="str">
        <f t="array" ref="D459">IF(B459="","",IFERROR(INDEX('FUNCIONÁRIOS'!$D$4:$D$501,MATCH(B459,'FUNCIONÁRIOS'!$C$4:$C$501,0)),""))</f>
        <v>MONTADOR</v>
      </c>
      <c r="E459" s="113" t="str">
        <f t="array" ref="E459">IF(B459="","",IFERROR(INDEX('FUNCIONÁRIOS'!$E$4:$E$501,MATCH(B459,'FUNCIONÁRIOS'!$C$4:$C$501,0)),""))</f>
        <v>NÃO</v>
      </c>
      <c r="F459" s="138">
        <v>46167.0</v>
      </c>
      <c r="G459" s="115" t="str">
        <f t="shared" si="29"/>
        <v>✅ 08:00</v>
      </c>
      <c r="H459" s="178">
        <v>0.3333333333333333</v>
      </c>
      <c r="I459" s="117" t="str">
        <f t="shared" si="37"/>
        <v>✅ 13:51</v>
      </c>
      <c r="J459" s="174" t="s">
        <v>1737</v>
      </c>
      <c r="K459" s="175">
        <v>0.24374999999999997</v>
      </c>
      <c r="L459" s="119" t="str">
        <f t="shared" si="31"/>
        <v>✅ Finalizado</v>
      </c>
      <c r="M459" s="110"/>
      <c r="N459" s="110"/>
    </row>
    <row r="460" ht="21.75" customHeight="1">
      <c r="A460" s="170">
        <f>453</f>
        <v>453</v>
      </c>
      <c r="B460" s="171" t="s">
        <v>577</v>
      </c>
      <c r="C460" s="144" t="str">
        <f t="array" ref="C460">IF(B460="","",IFERROR(INDEX('FUNCIONÁRIOS'!$B$4:$B$501,MATCH(B460,'FUNCIONÁRIOS'!$C$4:$C$501,0)),""))</f>
        <v>ALL ESTRUTURAS </v>
      </c>
      <c r="D460" s="144" t="str">
        <f t="array" ref="D460">IF(B460="","",IFERROR(INDEX('FUNCIONÁRIOS'!$D$4:$D$501,MATCH(B460,'FUNCIONÁRIOS'!$C$4:$C$501,0)),""))</f>
        <v>MONTADOR </v>
      </c>
      <c r="E460" s="124" t="s">
        <v>98</v>
      </c>
      <c r="F460" s="138">
        <v>46167.0</v>
      </c>
      <c r="G460" s="115" t="str">
        <f t="shared" si="29"/>
        <v>✅ 13:54</v>
      </c>
      <c r="H460" s="176" t="s">
        <v>1738</v>
      </c>
      <c r="I460" s="117" t="str">
        <f t="shared" si="37"/>
        <v>✅ 19:18</v>
      </c>
      <c r="J460" s="176" t="s">
        <v>1705</v>
      </c>
      <c r="K460" s="177">
        <v>0.22499999999999998</v>
      </c>
      <c r="L460" s="122" t="str">
        <f t="shared" si="31"/>
        <v>✅ Finalizado</v>
      </c>
      <c r="M460" s="110"/>
      <c r="N460" s="110"/>
    </row>
    <row r="461" ht="21.75" customHeight="1">
      <c r="A461" s="172">
        <f>454</f>
        <v>454</v>
      </c>
      <c r="B461" s="173" t="s">
        <v>592</v>
      </c>
      <c r="C461" s="143" t="str">
        <f t="array" ref="C461">IF(B461="","",IFERROR(INDEX('FUNCIONÁRIOS'!$B$4:$B$501,MATCH(B461,'FUNCIONÁRIOS'!$C$4:$C$501,0)),""))</f>
        <v>ASSOCIAÇÃO ASSUNÇÃO </v>
      </c>
      <c r="D461" s="143" t="str">
        <f t="array" ref="D461">IF(B461="","",IFERROR(INDEX('FUNCIONÁRIOS'!$D$4:$D$501,MATCH(B461,'FUNCIONÁRIOS'!$C$4:$C$501,0)),""))</f>
        <v>Organização </v>
      </c>
      <c r="E461" s="113"/>
      <c r="F461" s="138">
        <v>46167.0</v>
      </c>
      <c r="G461" s="115" t="str">
        <f t="shared" si="29"/>
        <v>✅ 14:15</v>
      </c>
      <c r="H461" s="174" t="s">
        <v>1739</v>
      </c>
      <c r="I461" s="117" t="str">
        <f t="shared" si="37"/>
        <v>✅ 15:09</v>
      </c>
      <c r="J461" s="174" t="s">
        <v>1740</v>
      </c>
      <c r="K461" s="175">
        <v>0.03749999999999998</v>
      </c>
      <c r="L461" s="119" t="str">
        <f t="shared" si="31"/>
        <v>✅ Finalizado</v>
      </c>
      <c r="M461" s="110"/>
      <c r="N461" s="110"/>
    </row>
    <row r="462" ht="21.75" customHeight="1">
      <c r="A462" s="170">
        <f>455</f>
        <v>455</v>
      </c>
      <c r="B462" s="171" t="s">
        <v>594</v>
      </c>
      <c r="C462" s="144" t="str">
        <f t="array" ref="C462">IF(B462="","",IFERROR(INDEX('FUNCIONÁRIOS'!$B$4:$B$501,MATCH(B462,'FUNCIONÁRIOS'!$C$4:$C$501,0)),""))</f>
        <v>ASSOCIAÇÃO ASSUNÇÃO </v>
      </c>
      <c r="D462" s="144" t="str">
        <f t="array" ref="D462">IF(B462="","",IFERROR(INDEX('FUNCIONÁRIOS'!$D$4:$D$501,MATCH(B462,'FUNCIONÁRIOS'!$C$4:$C$501,0)),""))</f>
        <v>Gerente</v>
      </c>
      <c r="E462" s="124" t="s">
        <v>98</v>
      </c>
      <c r="F462" s="138">
        <v>46167.0</v>
      </c>
      <c r="G462" s="115" t="str">
        <f t="shared" si="29"/>
        <v>✅ 14:16</v>
      </c>
      <c r="H462" s="176" t="s">
        <v>1741</v>
      </c>
      <c r="I462" s="117" t="str">
        <f t="shared" si="37"/>
        <v>✅ 15:09</v>
      </c>
      <c r="J462" s="176" t="s">
        <v>1740</v>
      </c>
      <c r="K462" s="177">
        <v>0.036805555555555536</v>
      </c>
      <c r="L462" s="122" t="str">
        <f t="shared" si="31"/>
        <v>✅ Finalizado</v>
      </c>
      <c r="M462" s="110"/>
      <c r="N462" s="110"/>
    </row>
    <row r="463" ht="21.75" customHeight="1">
      <c r="A463" s="172">
        <f>456</f>
        <v>456</v>
      </c>
      <c r="B463" s="173" t="s">
        <v>599</v>
      </c>
      <c r="C463" s="143" t="str">
        <f t="array" ref="C463">IF(B463="","",IFERROR(INDEX('FUNCIONÁRIOS'!$B$4:$B$501,MATCH(B463,'FUNCIONÁRIOS'!$C$4:$C$501,0)),""))</f>
        <v>ASSOCIAÇÃO ASSUNÇÃO </v>
      </c>
      <c r="D463" s="143" t="str">
        <f t="array" ref="D463">IF(B463="","",IFERROR(INDEX('FUNCIONÁRIOS'!$D$4:$D$501,MATCH(B463,'FUNCIONÁRIOS'!$C$4:$C$501,0)),""))</f>
        <v>Coordenador doações alimentos</v>
      </c>
      <c r="E463" s="113" t="str">
        <f t="array" ref="E463">IF(B463="","",IFERROR(INDEX('FUNCIONÁRIOS'!$E$4:$E$501,MATCH(B463,'FUNCIONÁRIOS'!$C$4:$C$501,0)),""))</f>
        <v>NÃO</v>
      </c>
      <c r="F463" s="138">
        <v>46167.0</v>
      </c>
      <c r="G463" s="115" t="str">
        <f t="shared" si="29"/>
        <v>✅ 14:17</v>
      </c>
      <c r="H463" s="174" t="s">
        <v>1742</v>
      </c>
      <c r="I463" s="117" t="str">
        <f t="shared" si="37"/>
        <v>✅ 15:09</v>
      </c>
      <c r="J463" s="174" t="s">
        <v>1740</v>
      </c>
      <c r="K463" s="175">
        <v>0.036111111111111094</v>
      </c>
      <c r="L463" s="119" t="str">
        <f t="shared" si="31"/>
        <v>✅ Finalizado</v>
      </c>
      <c r="M463" s="110"/>
      <c r="N463" s="110"/>
    </row>
    <row r="464" ht="21.75" customHeight="1">
      <c r="A464" s="170">
        <f>457</f>
        <v>457</v>
      </c>
      <c r="B464" s="171" t="s">
        <v>230</v>
      </c>
      <c r="C464" s="144" t="str">
        <f t="array" ref="C464">IF(B464="","",IFERROR(INDEX('FUNCIONÁRIOS'!$B$4:$B$501,MATCH(B464,'FUNCIONÁRIOS'!$C$4:$C$501,0)),""))</f>
        <v>ASSOCIAÇÃO ASSUNÇÃO </v>
      </c>
      <c r="D464" s="144" t="str">
        <f t="array" ref="D464">IF(B464="","",IFERROR(INDEX('FUNCIONÁRIOS'!$D$4:$D$501,MATCH(B464,'FUNCIONÁRIOS'!$C$4:$C$501,0)),""))</f>
        <v>VIE PRESIDENTE </v>
      </c>
      <c r="E464" s="113" t="str">
        <f t="array" ref="E464">IF(B464="","",IFERROR(INDEX('FUNCIONÁRIOS'!$E$4:$E$501,MATCH(B464,'FUNCIONÁRIOS'!$C$4:$C$501,0)),""))</f>
        <v>NÃO</v>
      </c>
      <c r="F464" s="138">
        <v>46167.0</v>
      </c>
      <c r="G464" s="115" t="str">
        <f t="shared" si="29"/>
        <v>✅ 14:18</v>
      </c>
      <c r="H464" s="176" t="s">
        <v>1743</v>
      </c>
      <c r="I464" s="117" t="str">
        <f t="shared" si="37"/>
        <v>✅ 15:09</v>
      </c>
      <c r="J464" s="176" t="s">
        <v>1740</v>
      </c>
      <c r="K464" s="177">
        <v>0.03541666666666665</v>
      </c>
      <c r="L464" s="122" t="str">
        <f t="shared" si="31"/>
        <v>✅ Finalizado</v>
      </c>
      <c r="M464" s="110"/>
      <c r="N464" s="110"/>
    </row>
    <row r="465" ht="21.75" customHeight="1">
      <c r="A465" s="172">
        <f>458</f>
        <v>458</v>
      </c>
      <c r="B465" s="173" t="s">
        <v>597</v>
      </c>
      <c r="C465" s="143" t="str">
        <f t="array" ref="C465">IF(B465="","",IFERROR(INDEX('FUNCIONÁRIOS'!$B$4:$B$501,MATCH(B465,'FUNCIONÁRIOS'!$C$4:$C$501,0)),""))</f>
        <v>ASSOCIAÇÃO ASSUNÇÃO </v>
      </c>
      <c r="D465" s="143" t="str">
        <f t="array" ref="D465">IF(B465="","",IFERROR(INDEX('FUNCIONÁRIOS'!$D$4:$D$501,MATCH(B465,'FUNCIONÁRIOS'!$C$4:$C$501,0)),""))</f>
        <v>Organização </v>
      </c>
      <c r="E465" s="113" t="str">
        <f t="array" ref="E465">IF(B465="","",IFERROR(INDEX('FUNCIONÁRIOS'!$E$4:$E$501,MATCH(B465,'FUNCIONÁRIOS'!$C$4:$C$501,0)),""))</f>
        <v>NÃO</v>
      </c>
      <c r="F465" s="138">
        <v>46167.0</v>
      </c>
      <c r="G465" s="115" t="str">
        <f t="shared" si="29"/>
        <v>✅ 14:22</v>
      </c>
      <c r="H465" s="174" t="s">
        <v>1744</v>
      </c>
      <c r="I465" s="117" t="str">
        <f t="shared" si="37"/>
        <v>✅ 15:09</v>
      </c>
      <c r="J465" s="174" t="s">
        <v>1740</v>
      </c>
      <c r="K465" s="175">
        <v>0.032638888888888884</v>
      </c>
      <c r="L465" s="119" t="str">
        <f t="shared" si="31"/>
        <v>✅ Finalizado</v>
      </c>
      <c r="M465" s="110"/>
      <c r="N465" s="110"/>
    </row>
    <row r="466" ht="21.75" customHeight="1">
      <c r="A466" s="170">
        <f>459</f>
        <v>459</v>
      </c>
      <c r="B466" s="171" t="s">
        <v>603</v>
      </c>
      <c r="C466" s="144" t="str">
        <f t="array" ref="C466">IF(B466="","",IFERROR(INDEX('FUNCIONÁRIOS'!$B$4:$B$501,MATCH(B466,'FUNCIONÁRIOS'!$C$4:$C$501,0)),""))</f>
        <v>PRIVIEGE EVENTOS </v>
      </c>
      <c r="D466" s="144" t="str">
        <f t="array" ref="D466">IF(B466="","",IFERROR(INDEX('FUNCIONÁRIOS'!$D$4:$D$501,MATCH(B466,'FUNCIONÁRIOS'!$C$4:$C$501,0)),""))</f>
        <v>MONTADOR </v>
      </c>
      <c r="E466" s="123" t="str">
        <f t="array" ref="E466">IF(B466="","",IFERROR(INDEX('FUNCIONÁRIOS'!$E$4:$E$501,MATCH(B466,'FUNCIONÁRIOS'!$C$4:$C$501,0)),""))</f>
        <v>NÃO</v>
      </c>
      <c r="F466" s="138">
        <v>46167.0</v>
      </c>
      <c r="G466" s="115" t="str">
        <f t="shared" si="29"/>
        <v>✅ 15:13</v>
      </c>
      <c r="H466" s="176" t="s">
        <v>1644</v>
      </c>
      <c r="I466" s="117" t="str">
        <f t="shared" si="37"/>
        <v>✅ 17:49</v>
      </c>
      <c r="J466" s="176" t="s">
        <v>1745</v>
      </c>
      <c r="K466" s="177">
        <v>0.10833333333333339</v>
      </c>
      <c r="L466" s="122" t="str">
        <f t="shared" si="31"/>
        <v>✅ Finalizado</v>
      </c>
      <c r="M466" s="110"/>
      <c r="N466" s="110"/>
    </row>
    <row r="467" ht="21.75" customHeight="1">
      <c r="A467" s="172">
        <f>460</f>
        <v>460</v>
      </c>
      <c r="B467" s="173" t="s">
        <v>604</v>
      </c>
      <c r="C467" s="143" t="str">
        <f t="array" ref="C467">IF(B467="","",IFERROR(INDEX('FUNCIONÁRIOS'!$B$4:$B$501,MATCH(B467,'FUNCIONÁRIOS'!$C$4:$C$501,0)),""))</f>
        <v>PRIVIEGE EVENTOS </v>
      </c>
      <c r="D467" s="143" t="str">
        <f t="array" ref="D467">IF(B467="","",IFERROR(INDEX('FUNCIONÁRIOS'!$D$4:$D$501,MATCH(B467,'FUNCIONÁRIOS'!$C$4:$C$501,0)),""))</f>
        <v>MONTADOR </v>
      </c>
      <c r="E467" s="113" t="str">
        <f t="array" ref="E467">IF(B467="","",IFERROR(INDEX('FUNCIONÁRIOS'!$E$4:$E$501,MATCH(B467,'FUNCIONÁRIOS'!$C$4:$C$501,0)),""))</f>
        <v>NÃO</v>
      </c>
      <c r="F467" s="138">
        <v>46167.0</v>
      </c>
      <c r="G467" s="115" t="str">
        <f t="shared" si="29"/>
        <v>✅ 15:15</v>
      </c>
      <c r="H467" s="174" t="s">
        <v>1746</v>
      </c>
      <c r="I467" s="117" t="str">
        <f t="shared" si="37"/>
        <v>✅ 17:51</v>
      </c>
      <c r="J467" s="174" t="s">
        <v>1747</v>
      </c>
      <c r="K467" s="175">
        <v>0.10833333333333339</v>
      </c>
      <c r="L467" s="119" t="str">
        <f t="shared" si="31"/>
        <v>✅ Finalizado</v>
      </c>
      <c r="M467" s="110"/>
      <c r="N467" s="110"/>
    </row>
    <row r="468" ht="21.75" customHeight="1">
      <c r="A468" s="170">
        <f>461</f>
        <v>461</v>
      </c>
      <c r="B468" s="171" t="s">
        <v>605</v>
      </c>
      <c r="C468" s="144" t="str">
        <f t="array" ref="C468">IF(B468="","",IFERROR(INDEX('FUNCIONÁRIOS'!$B$4:$B$501,MATCH(B468,'FUNCIONÁRIOS'!$C$4:$C$501,0)),""))</f>
        <v>PRIVIEGE EVENTOS </v>
      </c>
      <c r="D468" s="144" t="str">
        <f t="array" ref="D468">IF(B468="","",IFERROR(INDEX('FUNCIONÁRIOS'!$D$4:$D$501,MATCH(B468,'FUNCIONÁRIOS'!$C$4:$C$501,0)),""))</f>
        <v>MONTADOR </v>
      </c>
      <c r="E468" s="123" t="str">
        <f t="array" ref="E468">IF(B468="","",IFERROR(INDEX('FUNCIONÁRIOS'!$E$4:$E$501,MATCH(B468,'FUNCIONÁRIOS'!$C$4:$C$501,0)),""))</f>
        <v>NÃO</v>
      </c>
      <c r="F468" s="138">
        <v>46167.0</v>
      </c>
      <c r="G468" s="115" t="str">
        <f t="shared" si="29"/>
        <v>✅ 15:16</v>
      </c>
      <c r="H468" s="176" t="s">
        <v>1748</v>
      </c>
      <c r="I468" s="117" t="str">
        <f t="shared" si="37"/>
        <v>✅ 17:49</v>
      </c>
      <c r="J468" s="176" t="s">
        <v>1745</v>
      </c>
      <c r="K468" s="177">
        <v>0.10625000000000007</v>
      </c>
      <c r="L468" s="122" t="str">
        <f t="shared" si="31"/>
        <v>✅ Finalizado</v>
      </c>
      <c r="M468" s="110"/>
      <c r="N468" s="110"/>
    </row>
    <row r="469" ht="21.75" customHeight="1">
      <c r="A469" s="172">
        <f>462</f>
        <v>462</v>
      </c>
      <c r="B469" s="173" t="s">
        <v>606</v>
      </c>
      <c r="C469" s="143" t="str">
        <f t="array" ref="C469">IF(B469="","",IFERROR(INDEX('FUNCIONÁRIOS'!$B$4:$B$501,MATCH(B469,'FUNCIONÁRIOS'!$C$4:$C$501,0)),""))</f>
        <v>PRIVIEGE EVENTOS </v>
      </c>
      <c r="D469" s="143" t="str">
        <f t="array" ref="D469">IF(B469="","",IFERROR(INDEX('FUNCIONÁRIOS'!$D$4:$D$501,MATCH(B469,'FUNCIONÁRIOS'!$C$4:$C$501,0)),""))</f>
        <v>MONTADOR </v>
      </c>
      <c r="E469" s="113" t="str">
        <f t="array" ref="E469">IF(B469="","",IFERROR(INDEX('FUNCIONÁRIOS'!$E$4:$E$501,MATCH(B469,'FUNCIONÁRIOS'!$C$4:$C$501,0)),""))</f>
        <v>NÃO</v>
      </c>
      <c r="F469" s="138">
        <v>46167.0</v>
      </c>
      <c r="G469" s="115" t="str">
        <f t="shared" si="29"/>
        <v>✅ 15:17</v>
      </c>
      <c r="H469" s="174" t="s">
        <v>1749</v>
      </c>
      <c r="I469" s="117" t="str">
        <f t="shared" si="37"/>
        <v>✅ 17:49</v>
      </c>
      <c r="J469" s="174" t="s">
        <v>1745</v>
      </c>
      <c r="K469" s="175">
        <v>0.10555555555555562</v>
      </c>
      <c r="L469" s="119" t="str">
        <f t="shared" si="31"/>
        <v>✅ Finalizado</v>
      </c>
      <c r="M469" s="110"/>
      <c r="N469" s="110"/>
    </row>
    <row r="470" ht="21.75" customHeight="1">
      <c r="A470" s="170">
        <f>463</f>
        <v>463</v>
      </c>
      <c r="B470" s="171" t="s">
        <v>607</v>
      </c>
      <c r="C470" s="144" t="str">
        <f t="array" ref="C470">IF(B470="","",IFERROR(INDEX('FUNCIONÁRIOS'!$B$4:$B$501,MATCH(B470,'FUNCIONÁRIOS'!$C$4:$C$501,0)),""))</f>
        <v>PRIVIEGE EVENTOS </v>
      </c>
      <c r="D470" s="144" t="str">
        <f t="array" ref="D470">IF(B470="","",IFERROR(INDEX('FUNCIONÁRIOS'!$D$4:$D$501,MATCH(B470,'FUNCIONÁRIOS'!$C$4:$C$501,0)),""))</f>
        <v>MONTADOR </v>
      </c>
      <c r="E470" s="123" t="str">
        <f t="array" ref="E470">IF(B470="","",IFERROR(INDEX('FUNCIONÁRIOS'!$E$4:$E$501,MATCH(B470,'FUNCIONÁRIOS'!$C$4:$C$501,0)),""))</f>
        <v>NÃO</v>
      </c>
      <c r="F470" s="138">
        <v>46167.0</v>
      </c>
      <c r="G470" s="115" t="str">
        <f t="shared" si="29"/>
        <v>✅ 15:18</v>
      </c>
      <c r="H470" s="176" t="s">
        <v>1750</v>
      </c>
      <c r="I470" s="117" t="str">
        <f t="shared" si="37"/>
        <v>✅ 17:50</v>
      </c>
      <c r="J470" s="176" t="s">
        <v>1751</v>
      </c>
      <c r="K470" s="177">
        <v>0.10555555555555562</v>
      </c>
      <c r="L470" s="122" t="str">
        <f t="shared" si="31"/>
        <v>✅ Finalizado</v>
      </c>
      <c r="M470" s="110"/>
      <c r="N470" s="110"/>
    </row>
    <row r="471" ht="21.75" customHeight="1">
      <c r="A471" s="172">
        <f>464</f>
        <v>464</v>
      </c>
      <c r="B471" s="173" t="s">
        <v>608</v>
      </c>
      <c r="C471" s="143" t="str">
        <f t="array" ref="C471">IF(B471="","",IFERROR(INDEX('FUNCIONÁRIOS'!$B$4:$B$501,MATCH(B471,'FUNCIONÁRIOS'!$C$4:$C$501,0)),""))</f>
        <v>PRIVIEGE EVENTOS </v>
      </c>
      <c r="D471" s="143" t="str">
        <f t="array" ref="D471">IF(B471="","",IFERROR(INDEX('FUNCIONÁRIOS'!$D$4:$D$501,MATCH(B471,'FUNCIONÁRIOS'!$C$4:$C$501,0)),""))</f>
        <v>MONTADOR </v>
      </c>
      <c r="E471" s="113" t="str">
        <f t="array" ref="E471">IF(B471="","",IFERROR(INDEX('FUNCIONÁRIOS'!$E$4:$E$501,MATCH(B471,'FUNCIONÁRIOS'!$C$4:$C$501,0)),""))</f>
        <v>NÃO</v>
      </c>
      <c r="F471" s="138">
        <v>46167.0</v>
      </c>
      <c r="G471" s="115" t="str">
        <f t="shared" si="29"/>
        <v>✅ 15:19</v>
      </c>
      <c r="H471" s="174" t="s">
        <v>1752</v>
      </c>
      <c r="I471" s="117" t="str">
        <f t="shared" si="37"/>
        <v>✅ 17:50</v>
      </c>
      <c r="J471" s="174" t="s">
        <v>1751</v>
      </c>
      <c r="K471" s="175">
        <v>0.10486111111111118</v>
      </c>
      <c r="L471" s="119" t="str">
        <f t="shared" si="31"/>
        <v>✅ Finalizado</v>
      </c>
      <c r="M471" s="110"/>
      <c r="N471" s="110"/>
    </row>
    <row r="472" ht="21.75" customHeight="1">
      <c r="A472" s="170">
        <f>465</f>
        <v>465</v>
      </c>
      <c r="B472" s="171" t="s">
        <v>609</v>
      </c>
      <c r="C472" s="144" t="str">
        <f t="array" ref="C472">IF(B472="","",IFERROR(INDEX('FUNCIONÁRIOS'!$B$4:$B$501,MATCH(B472,'FUNCIONÁRIOS'!$C$4:$C$501,0)),""))</f>
        <v>PRIVIEGE EVENTOS </v>
      </c>
      <c r="D472" s="144" t="str">
        <f t="array" ref="D472">IF(B472="","",IFERROR(INDEX('FUNCIONÁRIOS'!$D$4:$D$501,MATCH(B472,'FUNCIONÁRIOS'!$C$4:$C$501,0)),""))</f>
        <v>montador </v>
      </c>
      <c r="E472" s="123" t="str">
        <f t="array" ref="E472">IF(B472="","",IFERROR(INDEX('FUNCIONÁRIOS'!$E$4:$E$501,MATCH(B472,'FUNCIONÁRIOS'!$C$4:$C$501,0)),""))</f>
        <v>NÃO</v>
      </c>
      <c r="F472" s="138">
        <v>46167.0</v>
      </c>
      <c r="G472" s="115" t="str">
        <f t="shared" si="29"/>
        <v>✅ 15:38</v>
      </c>
      <c r="H472" s="176" t="s">
        <v>1753</v>
      </c>
      <c r="I472" s="117" t="str">
        <f t="shared" si="37"/>
        <v>✅ 17:50</v>
      </c>
      <c r="J472" s="176" t="s">
        <v>1751</v>
      </c>
      <c r="K472" s="177">
        <v>0.09166666666666667</v>
      </c>
      <c r="L472" s="122" t="str">
        <f t="shared" si="31"/>
        <v>✅ Finalizado</v>
      </c>
      <c r="M472" s="110"/>
      <c r="N472" s="110"/>
    </row>
    <row r="473" ht="21.75" customHeight="1">
      <c r="A473" s="172">
        <f>466</f>
        <v>466</v>
      </c>
      <c r="B473" s="173" t="s">
        <v>610</v>
      </c>
      <c r="C473" s="143" t="str">
        <f t="array" ref="C473">IF(B473="","",IFERROR(INDEX('FUNCIONÁRIOS'!$B$4:$B$501,MATCH(B473,'FUNCIONÁRIOS'!$C$4:$C$501,0)),""))</f>
        <v>PRIVIEGE EVENTOS </v>
      </c>
      <c r="D473" s="143" t="str">
        <f t="array" ref="D473">IF(B473="","",IFERROR(INDEX('FUNCIONÁRIOS'!$D$4:$D$501,MATCH(B473,'FUNCIONÁRIOS'!$C$4:$C$501,0)),""))</f>
        <v>MONTADDOR </v>
      </c>
      <c r="E473" s="113" t="str">
        <f t="array" ref="E473">IF(B473="","",IFERROR(INDEX('FUNCIONÁRIOS'!$E$4:$E$501,MATCH(B473,'FUNCIONÁRIOS'!$C$4:$C$501,0)),""))</f>
        <v>NÃO</v>
      </c>
      <c r="F473" s="138">
        <v>46167.0</v>
      </c>
      <c r="G473" s="115" t="str">
        <f t="shared" si="29"/>
        <v>✅ 15:56</v>
      </c>
      <c r="H473" s="174" t="s">
        <v>1754</v>
      </c>
      <c r="I473" s="117" t="str">
        <f t="shared" si="37"/>
        <v>✅ 17:49</v>
      </c>
      <c r="J473" s="174" t="s">
        <v>1745</v>
      </c>
      <c r="K473" s="175">
        <v>0.07847222222222228</v>
      </c>
      <c r="L473" s="119" t="str">
        <f t="shared" si="31"/>
        <v>✅ Finalizado</v>
      </c>
      <c r="M473" s="110"/>
      <c r="N473" s="110"/>
    </row>
    <row r="474" ht="21.75" customHeight="1">
      <c r="A474" s="170">
        <f>467</f>
        <v>467</v>
      </c>
      <c r="B474" s="171" t="s">
        <v>660</v>
      </c>
      <c r="C474" s="144" t="str">
        <f t="array" ref="C474">IF(B474="","",IFERROR(INDEX('FUNCIONÁRIOS'!$B$4:$B$501,MATCH(B474,'FUNCIONÁRIOS'!$C$4:$C$501,0)),""))</f>
        <v>GO TO </v>
      </c>
      <c r="D474" s="144" t="str">
        <f t="array" ref="D474">IF(B474="","",IFERROR(INDEX('FUNCIONÁRIOS'!$D$4:$D$501,MATCH(B474,'FUNCIONÁRIOS'!$C$4:$C$501,0)),""))</f>
        <v/>
      </c>
      <c r="E474" s="123" t="str">
        <f t="array" ref="E474">IF(B474="","",IFERROR(INDEX('FUNCIONÁRIOS'!$E$4:$E$501,MATCH(B474,'FUNCIONÁRIOS'!$C$4:$C$501,0)),""))</f>
        <v>NÃO</v>
      </c>
      <c r="F474" s="138">
        <v>46167.0</v>
      </c>
      <c r="G474" s="115" t="str">
        <f t="shared" si="29"/>
        <v>✅ 16:59</v>
      </c>
      <c r="H474" s="176" t="s">
        <v>1755</v>
      </c>
      <c r="I474" s="117" t="str">
        <f t="shared" si="37"/>
        <v>✅ 19:00</v>
      </c>
      <c r="J474" s="183">
        <v>0.7916666666666666</v>
      </c>
      <c r="K474" s="182"/>
      <c r="L474" s="122" t="str">
        <f t="shared" si="31"/>
        <v>✅ Finalizado</v>
      </c>
      <c r="M474" s="110"/>
      <c r="N474" s="110"/>
    </row>
    <row r="475" ht="21.75" customHeight="1">
      <c r="A475" s="172">
        <f>468</f>
        <v>468</v>
      </c>
      <c r="B475" s="173" t="s">
        <v>661</v>
      </c>
      <c r="C475" s="143" t="str">
        <f t="array" ref="C475">IF(B475="","",IFERROR(INDEX('FUNCIONÁRIOS'!$B$4:$B$501,MATCH(B475,'FUNCIONÁRIOS'!$C$4:$C$501,0)),""))</f>
        <v>UP MUSIC </v>
      </c>
      <c r="D475" s="143" t="str">
        <f t="array" ref="D475">IF(B475="","",IFERROR(INDEX('FUNCIONÁRIOS'!$D$4:$D$501,MATCH(B475,'FUNCIONÁRIOS'!$C$4:$C$501,0)),""))</f>
        <v>PRODUTOR </v>
      </c>
      <c r="E475" s="113" t="str">
        <f t="array" ref="E475">IF(B475="","",IFERROR(INDEX('FUNCIONÁRIOS'!$E$4:$E$501,MATCH(B475,'FUNCIONÁRIOS'!$C$4:$C$501,0)),""))</f>
        <v>NÃO</v>
      </c>
      <c r="F475" s="138">
        <v>46167.0</v>
      </c>
      <c r="G475" s="115" t="str">
        <f t="shared" si="29"/>
        <v>✅ 17:06</v>
      </c>
      <c r="H475" s="174" t="s">
        <v>1756</v>
      </c>
      <c r="I475" s="117" t="str">
        <f t="shared" si="37"/>
        <v>✅ 19:00</v>
      </c>
      <c r="J475" s="178">
        <v>0.7916666666666666</v>
      </c>
      <c r="K475" s="179"/>
      <c r="L475" s="119" t="str">
        <f t="shared" si="31"/>
        <v>✅ Finalizado</v>
      </c>
      <c r="M475" s="110"/>
      <c r="N475" s="110"/>
    </row>
    <row r="476" ht="21.75" customHeight="1">
      <c r="A476" s="170">
        <f>469</f>
        <v>469</v>
      </c>
      <c r="B476" s="171" t="s">
        <v>662</v>
      </c>
      <c r="C476" s="144" t="str">
        <f t="array" ref="C476">IF(B476="","",IFERROR(INDEX('FUNCIONÁRIOS'!$B$4:$B$501,MATCH(B476,'FUNCIONÁRIOS'!$C$4:$C$501,0)),""))</f>
        <v>UP MUSIC </v>
      </c>
      <c r="D476" s="144" t="str">
        <f t="array" ref="D476">IF(B476="","",IFERROR(INDEX('FUNCIONÁRIOS'!$D$4:$D$501,MATCH(B476,'FUNCIONÁRIOS'!$C$4:$C$501,0)),""))</f>
        <v> AUX PRODUÇÃO </v>
      </c>
      <c r="E476" s="123" t="str">
        <f t="array" ref="E476">IF(B476="","",IFERROR(INDEX('FUNCIONÁRIOS'!$E$4:$E$501,MATCH(B476,'FUNCIONÁRIOS'!$C$4:$C$501,0)),""))</f>
        <v>NÃO</v>
      </c>
      <c r="F476" s="138">
        <v>46167.0</v>
      </c>
      <c r="G476" s="115" t="str">
        <f t="shared" si="29"/>
        <v>✅ 17:07</v>
      </c>
      <c r="H476" s="176" t="s">
        <v>1757</v>
      </c>
      <c r="I476" s="117" t="str">
        <f t="shared" si="37"/>
        <v>✅ 19:00</v>
      </c>
      <c r="J476" s="183">
        <v>0.7916666666666666</v>
      </c>
      <c r="K476" s="182"/>
      <c r="L476" s="122" t="str">
        <f t="shared" si="31"/>
        <v>✅ Finalizado</v>
      </c>
      <c r="M476" s="110"/>
      <c r="N476" s="110"/>
    </row>
    <row r="477" ht="21.75" customHeight="1">
      <c r="A477" s="172">
        <f>470</f>
        <v>470</v>
      </c>
      <c r="B477" s="173" t="s">
        <v>664</v>
      </c>
      <c r="C477" s="143" t="str">
        <f t="array" ref="C477">IF(B477="","",IFERROR(INDEX('FUNCIONÁRIOS'!$B$4:$B$501,MATCH(B477,'FUNCIONÁRIOS'!$C$4:$C$501,0)),""))</f>
        <v>UP MUSIC </v>
      </c>
      <c r="D477" s="143" t="str">
        <f t="array" ref="D477">IF(B477="","",IFERROR(INDEX('FUNCIONÁRIOS'!$D$4:$D$501,MATCH(B477,'FUNCIONÁRIOS'!$C$4:$C$501,0)),""))</f>
        <v> AUX PRODUÇÃO </v>
      </c>
      <c r="E477" s="113" t="str">
        <f t="array" ref="E477">IF(B477="","",IFERROR(INDEX('FUNCIONÁRIOS'!$E$4:$E$501,MATCH(B477,'FUNCIONÁRIOS'!$C$4:$C$501,0)),""))</f>
        <v>NÃO</v>
      </c>
      <c r="F477" s="138">
        <v>46167.0</v>
      </c>
      <c r="G477" s="115" t="str">
        <f t="shared" si="29"/>
        <v>✅ 17:08</v>
      </c>
      <c r="H477" s="174" t="s">
        <v>1758</v>
      </c>
      <c r="I477" s="117" t="str">
        <f t="shared" si="37"/>
        <v>✅ 19:00</v>
      </c>
      <c r="J477" s="178">
        <v>0.7916666666666666</v>
      </c>
      <c r="K477" s="179"/>
      <c r="L477" s="119" t="str">
        <f t="shared" si="31"/>
        <v>✅ Finalizado</v>
      </c>
      <c r="M477" s="110"/>
      <c r="N477" s="110"/>
    </row>
    <row r="478" ht="21.75" customHeight="1">
      <c r="A478" s="167"/>
      <c r="B478" s="145"/>
      <c r="C478" s="140"/>
      <c r="D478" s="140"/>
      <c r="E478" s="130"/>
      <c r="F478" s="131"/>
      <c r="G478" s="132"/>
      <c r="H478" s="141"/>
      <c r="I478" s="134"/>
      <c r="J478" s="135">
        <v>0.7694444444444445</v>
      </c>
      <c r="K478" s="147"/>
      <c r="L478" s="137"/>
      <c r="M478" s="110"/>
      <c r="N478" s="110"/>
    </row>
    <row r="479" ht="21.75" customHeight="1">
      <c r="A479" s="172">
        <f>472</f>
        <v>472</v>
      </c>
      <c r="B479" s="173" t="s">
        <v>342</v>
      </c>
      <c r="C479" s="143" t="str">
        <f t="array" ref="C479">IF(B479="","",IFERROR(INDEX('FUNCIONÁRIOS'!$B$4:$B$501,MATCH(B479,'FUNCIONÁRIOS'!$C$4:$C$501,0)),""))</f>
        <v>GO TO </v>
      </c>
      <c r="D479" s="143" t="str">
        <f t="array" ref="D479">IF(B479="","",IFERROR(INDEX('FUNCIONÁRIOS'!$D$4:$D$501,MATCH(B479,'FUNCIONÁRIOS'!$C$4:$C$501,0)),""))</f>
        <v>MONTADOR</v>
      </c>
      <c r="E479" s="113" t="str">
        <f t="array" ref="E479">IF(B479="","",IFERROR(INDEX('FUNCIONÁRIOS'!$E$4:$E$501,MATCH(B479,'FUNCIONÁRIOS'!$C$4:$C$501,0)),""))</f>
        <v>NÃO</v>
      </c>
      <c r="F479" s="138">
        <v>46168.0</v>
      </c>
      <c r="G479" s="115" t="str">
        <f t="shared" ref="G479:G583" si="38">IF(H479&lt;&gt;"","✅ "&amp;TEXT(H479,"HH:MM"),"→ Selecione a linha e use o menu ⏱️ Ponto")</f>
        <v>✅ 08:08</v>
      </c>
      <c r="H479" s="174" t="s">
        <v>1624</v>
      </c>
      <c r="I479" s="117" t="str">
        <f t="shared" ref="I479:I672" si="39">IF(J479&lt;&gt;"","✅ "&amp;TEXT(J479,"HH:MM"),"→ Selecione a linha e use o menu ⏱️ Ponto")</f>
        <v>✅ 18:29</v>
      </c>
      <c r="J479" s="174" t="s">
        <v>1759</v>
      </c>
      <c r="K479" s="175">
        <v>0.43125</v>
      </c>
      <c r="L479" s="119" t="str">
        <f t="shared" ref="L479:L652" si="40">IF(AND(H479&lt;&gt;"",J479=""),"🟢 No Evento",IF(AND(H479&lt;&gt;"",J479&lt;&gt;""),"✅ Finalizado",IF(B479&lt;&gt;"","⏳ Não entrou","")))</f>
        <v>✅ Finalizado</v>
      </c>
      <c r="M479" s="110"/>
      <c r="N479" s="110"/>
    </row>
    <row r="480" ht="21.75" customHeight="1">
      <c r="A480" s="170">
        <f>473</f>
        <v>473</v>
      </c>
      <c r="B480" s="171" t="s">
        <v>140</v>
      </c>
      <c r="C480" s="144" t="str">
        <f t="array" ref="C480">IF(B480="","",IFERROR(INDEX('FUNCIONÁRIOS'!$B$4:$B$501,MATCH(B480,'FUNCIONÁRIOS'!$C$4:$C$501,0)),""))</f>
        <v>BIGODE </v>
      </c>
      <c r="D480" s="144" t="str">
        <f t="array" ref="D480">IF(B480="","",IFERROR(INDEX('FUNCIONÁRIOS'!$D$4:$D$501,MATCH(B480,'FUNCIONÁRIOS'!$C$4:$C$501,0)),""))</f>
        <v>CONTROLE DE ACESSO</v>
      </c>
      <c r="E480" s="123" t="str">
        <f t="array" ref="E480">IF(B480="","",IFERROR(INDEX('FUNCIONÁRIOS'!$E$4:$E$501,MATCH(B480,'FUNCIONÁRIOS'!$C$4:$C$501,0)),""))</f>
        <v>NÃO</v>
      </c>
      <c r="F480" s="138">
        <v>46168.0</v>
      </c>
      <c r="G480" s="115" t="str">
        <f t="shared" si="38"/>
        <v>✅ 08:09</v>
      </c>
      <c r="H480" s="176" t="s">
        <v>1625</v>
      </c>
      <c r="I480" s="117" t="str">
        <f t="shared" si="39"/>
        <v>→ Selecione a linha e use o menu ⏱️ Ponto</v>
      </c>
      <c r="J480" s="181"/>
      <c r="K480" s="182"/>
      <c r="L480" s="122" t="str">
        <f t="shared" si="40"/>
        <v>🟢 No Evento</v>
      </c>
      <c r="M480" s="110"/>
      <c r="N480" s="110"/>
    </row>
    <row r="481" ht="21.75" customHeight="1">
      <c r="A481" s="172">
        <f>474</f>
        <v>474</v>
      </c>
      <c r="B481" s="173" t="s">
        <v>142</v>
      </c>
      <c r="C481" s="143" t="str">
        <f t="array" ref="C481">IF(B481="","",IFERROR(INDEX('FUNCIONÁRIOS'!$B$4:$B$501,MATCH(B481,'FUNCIONÁRIOS'!$C$4:$C$501,0)),""))</f>
        <v>BIGODE </v>
      </c>
      <c r="D481" s="143" t="str">
        <f t="array" ref="D481">IF(B481="","",IFERROR(INDEX('FUNCIONÁRIOS'!$D$4:$D$501,MATCH(B481,'FUNCIONÁRIOS'!$C$4:$C$501,0)),""))</f>
        <v>CONTROLE DE ACESSO</v>
      </c>
      <c r="E481" s="113" t="str">
        <f t="array" ref="E481">IF(B481="","",IFERROR(INDEX('FUNCIONÁRIOS'!$E$4:$E$501,MATCH(B481,'FUNCIONÁRIOS'!$C$4:$C$501,0)),""))</f>
        <v>NÃO</v>
      </c>
      <c r="F481" s="138">
        <v>46168.0</v>
      </c>
      <c r="G481" s="115" t="str">
        <f t="shared" si="38"/>
        <v>✅ 08:09</v>
      </c>
      <c r="H481" s="174" t="s">
        <v>1625</v>
      </c>
      <c r="I481" s="117" t="str">
        <f t="shared" si="39"/>
        <v>→ Selecione a linha e use o menu ⏱️ Ponto</v>
      </c>
      <c r="J481" s="180"/>
      <c r="K481" s="179"/>
      <c r="L481" s="119" t="str">
        <f t="shared" si="40"/>
        <v>🟢 No Evento</v>
      </c>
      <c r="M481" s="110"/>
      <c r="N481" s="110"/>
    </row>
    <row r="482" ht="21.75" customHeight="1">
      <c r="A482" s="170">
        <f>475</f>
        <v>475</v>
      </c>
      <c r="B482" s="171" t="s">
        <v>253</v>
      </c>
      <c r="C482" s="144" t="str">
        <f t="array" ref="C482">IF(B482="","",IFERROR(INDEX('FUNCIONÁRIOS'!$B$4:$B$501,MATCH(B482,'FUNCIONÁRIOS'!$C$4:$C$501,0)),""))</f>
        <v>BIGODE </v>
      </c>
      <c r="D482" s="144" t="str">
        <f t="array" ref="D482">IF(B482="","",IFERROR(INDEX('FUNCIONÁRIOS'!$D$4:$D$501,MATCH(B482,'FUNCIONÁRIOS'!$C$4:$C$501,0)),""))</f>
        <v>CONTROLE DE ACESSO</v>
      </c>
      <c r="E482" s="123" t="str">
        <f t="array" ref="E482">IF(B482="","",IFERROR(INDEX('FUNCIONÁRIOS'!$E$4:$E$501,MATCH(B482,'FUNCIONÁRIOS'!$C$4:$C$501,0)),""))</f>
        <v>NÃO</v>
      </c>
      <c r="F482" s="138">
        <v>46168.0</v>
      </c>
      <c r="G482" s="115" t="str">
        <f t="shared" si="38"/>
        <v>✅ 08:09</v>
      </c>
      <c r="H482" s="176" t="s">
        <v>1625</v>
      </c>
      <c r="I482" s="117" t="str">
        <f t="shared" si="39"/>
        <v>→ Selecione a linha e use o menu ⏱️ Ponto</v>
      </c>
      <c r="J482" s="181"/>
      <c r="K482" s="182"/>
      <c r="L482" s="122" t="str">
        <f t="shared" si="40"/>
        <v>🟢 No Evento</v>
      </c>
      <c r="M482" s="110"/>
      <c r="N482" s="110"/>
    </row>
    <row r="483" ht="21.75" customHeight="1">
      <c r="A483" s="172">
        <f>476</f>
        <v>476</v>
      </c>
      <c r="B483" s="173" t="s">
        <v>340</v>
      </c>
      <c r="C483" s="143" t="str">
        <f t="array" ref="C483">IF(B483="","",IFERROR(INDEX('FUNCIONÁRIOS'!$B$4:$B$501,MATCH(B483,'FUNCIONÁRIOS'!$C$4:$C$501,0)),""))</f>
        <v>GO TO </v>
      </c>
      <c r="D483" s="143" t="str">
        <f t="array" ref="D483">IF(B483="","",IFERROR(INDEX('FUNCIONÁRIOS'!$D$4:$D$501,MATCH(B483,'FUNCIONÁRIOS'!$C$4:$C$501,0)),""))</f>
        <v>MONTADOR</v>
      </c>
      <c r="E483" s="113" t="str">
        <f t="array" ref="E483">IF(B483="","",IFERROR(INDEX('FUNCIONÁRIOS'!$E$4:$E$501,MATCH(B483,'FUNCIONÁRIOS'!$C$4:$C$501,0)),""))</f>
        <v>NÃO</v>
      </c>
      <c r="F483" s="138">
        <v>46168.0</v>
      </c>
      <c r="G483" s="115" t="str">
        <f t="shared" si="38"/>
        <v>✅ 08:09</v>
      </c>
      <c r="H483" s="174" t="s">
        <v>1625</v>
      </c>
      <c r="I483" s="117" t="str">
        <f t="shared" si="39"/>
        <v>→ Selecione a linha e use o menu ⏱️ Ponto</v>
      </c>
      <c r="J483" s="180"/>
      <c r="K483" s="179"/>
      <c r="L483" s="119" t="str">
        <f t="shared" si="40"/>
        <v>🟢 No Evento</v>
      </c>
      <c r="M483" s="110"/>
      <c r="N483" s="110"/>
    </row>
    <row r="484" ht="21.75" customHeight="1">
      <c r="A484" s="170">
        <f>477</f>
        <v>477</v>
      </c>
      <c r="B484" s="171" t="s">
        <v>577</v>
      </c>
      <c r="C484" s="144" t="str">
        <f t="array" ref="C484">IF(B484="","",IFERROR(INDEX('FUNCIONÁRIOS'!$B$4:$B$501,MATCH(B484,'FUNCIONÁRIOS'!$C$4:$C$501,0)),""))</f>
        <v>ALL ESTRUTURAS </v>
      </c>
      <c r="D484" s="144" t="str">
        <f t="array" ref="D484">IF(B484="","",IFERROR(INDEX('FUNCIONÁRIOS'!$D$4:$D$501,MATCH(B484,'FUNCIONÁRIOS'!$C$4:$C$501,0)),""))</f>
        <v>MONTADOR </v>
      </c>
      <c r="E484" s="123" t="str">
        <f t="array" ref="E484">IF(B484="","",IFERROR(INDEX('FUNCIONÁRIOS'!$E$4:$E$501,MATCH(B484,'FUNCIONÁRIOS'!$C$4:$C$501,0)),""))</f>
        <v>NÃO</v>
      </c>
      <c r="F484" s="138">
        <v>46168.0</v>
      </c>
      <c r="G484" s="115" t="str">
        <f t="shared" si="38"/>
        <v>✅ 08:10</v>
      </c>
      <c r="H484" s="176" t="s">
        <v>1626</v>
      </c>
      <c r="I484" s="117" t="str">
        <f t="shared" si="39"/>
        <v>→ Selecione a linha e use o menu ⏱️ Ponto</v>
      </c>
      <c r="J484" s="181"/>
      <c r="K484" s="182"/>
      <c r="L484" s="122" t="str">
        <f t="shared" si="40"/>
        <v>🟢 No Evento</v>
      </c>
      <c r="M484" s="110"/>
      <c r="N484" s="110"/>
    </row>
    <row r="485" ht="21.75" customHeight="1">
      <c r="A485" s="172">
        <f>478</f>
        <v>478</v>
      </c>
      <c r="B485" s="173" t="s">
        <v>570</v>
      </c>
      <c r="C485" s="143" t="str">
        <f t="array" ref="C485">IF(B485="","",IFERROR(INDEX('FUNCIONÁRIOS'!$B$4:$B$501,MATCH(B485,'FUNCIONÁRIOS'!$C$4:$C$501,0)),""))</f>
        <v>VISUAL LIVE </v>
      </c>
      <c r="D485" s="143" t="str">
        <f t="array" ref="D485">IF(B485="","",IFERROR(INDEX('FUNCIONÁRIOS'!$D$4:$D$501,MATCH(B485,'FUNCIONÁRIOS'!$C$4:$C$501,0)),""))</f>
        <v>MONTADOR </v>
      </c>
      <c r="E485" s="113" t="str">
        <f t="array" ref="E485">IF(B485="","",IFERROR(INDEX('FUNCIONÁRIOS'!$E$4:$E$501,MATCH(B485,'FUNCIONÁRIOS'!$C$4:$C$501,0)),""))</f>
        <v>NÃO</v>
      </c>
      <c r="F485" s="138">
        <v>46168.0</v>
      </c>
      <c r="G485" s="115" t="str">
        <f t="shared" si="38"/>
        <v>✅ 08:10</v>
      </c>
      <c r="H485" s="174" t="s">
        <v>1626</v>
      </c>
      <c r="I485" s="117" t="str">
        <f t="shared" si="39"/>
        <v>→ Selecione a linha e use o menu ⏱️ Ponto</v>
      </c>
      <c r="J485" s="180"/>
      <c r="K485" s="179"/>
      <c r="L485" s="119" t="str">
        <f t="shared" si="40"/>
        <v>🟢 No Evento</v>
      </c>
      <c r="M485" s="110"/>
      <c r="N485" s="110"/>
    </row>
    <row r="486" ht="21.75" customHeight="1">
      <c r="A486" s="170">
        <f>479</f>
        <v>479</v>
      </c>
      <c r="B486" s="171" t="s">
        <v>571</v>
      </c>
      <c r="C486" s="144" t="str">
        <f t="array" ref="C486">IF(B486="","",IFERROR(INDEX('FUNCIONÁRIOS'!$B$4:$B$501,MATCH(B486,'FUNCIONÁRIOS'!$C$4:$C$501,0)),""))</f>
        <v>VISUAL LIVE </v>
      </c>
      <c r="D486" s="144" t="str">
        <f t="array" ref="D486">IF(B486="","",IFERROR(INDEX('FUNCIONÁRIOS'!$D$4:$D$501,MATCH(B486,'FUNCIONÁRIOS'!$C$4:$C$501,0)),""))</f>
        <v>MONTADOR </v>
      </c>
      <c r="E486" s="123" t="str">
        <f t="array" ref="E486">IF(B486="","",IFERROR(INDEX('FUNCIONÁRIOS'!$E$4:$E$501,MATCH(B486,'FUNCIONÁRIOS'!$C$4:$C$501,0)),""))</f>
        <v>NÃO</v>
      </c>
      <c r="F486" s="138">
        <v>46168.0</v>
      </c>
      <c r="G486" s="115" t="str">
        <f t="shared" si="38"/>
        <v>✅ 08:11</v>
      </c>
      <c r="H486" s="176" t="s">
        <v>1627</v>
      </c>
      <c r="I486" s="117" t="str">
        <f t="shared" si="39"/>
        <v>✅ 18:29</v>
      </c>
      <c r="J486" s="176" t="s">
        <v>1759</v>
      </c>
      <c r="K486" s="177">
        <v>0.4291666666666667</v>
      </c>
      <c r="L486" s="122" t="str">
        <f t="shared" si="40"/>
        <v>✅ Finalizado</v>
      </c>
      <c r="M486" s="110"/>
      <c r="N486" s="110"/>
    </row>
    <row r="487" ht="21.75" customHeight="1">
      <c r="A487" s="172">
        <f>480</f>
        <v>480</v>
      </c>
      <c r="B487" s="173" t="s">
        <v>338</v>
      </c>
      <c r="C487" s="143" t="str">
        <f t="array" ref="C487">IF(B487="","",IFERROR(INDEX('FUNCIONÁRIOS'!$B$4:$B$501,MATCH(B487,'FUNCIONÁRIOS'!$C$4:$C$501,0)),""))</f>
        <v>GO TO </v>
      </c>
      <c r="D487" s="143" t="str">
        <f t="array" ref="D487">IF(B487="","",IFERROR(INDEX('FUNCIONÁRIOS'!$D$4:$D$501,MATCH(B487,'FUNCIONÁRIOS'!$C$4:$C$501,0)),""))</f>
        <v>MONTADOR</v>
      </c>
      <c r="E487" s="113" t="str">
        <f t="array" ref="E487">IF(B487="","",IFERROR(INDEX('FUNCIONÁRIOS'!$E$4:$E$501,MATCH(B487,'FUNCIONÁRIOS'!$C$4:$C$501,0)),""))</f>
        <v>NÃO</v>
      </c>
      <c r="F487" s="138">
        <v>46168.0</v>
      </c>
      <c r="G487" s="115" t="str">
        <f t="shared" si="38"/>
        <v>✅ 08:15</v>
      </c>
      <c r="H487" s="174" t="s">
        <v>1632</v>
      </c>
      <c r="I487" s="117" t="str">
        <f t="shared" si="39"/>
        <v>→ Selecione a linha e use o menu ⏱️ Ponto</v>
      </c>
      <c r="J487" s="180"/>
      <c r="K487" s="179"/>
      <c r="L487" s="119" t="str">
        <f t="shared" si="40"/>
        <v>🟢 No Evento</v>
      </c>
      <c r="M487" s="110"/>
      <c r="N487" s="110"/>
    </row>
    <row r="488" ht="21.75" customHeight="1">
      <c r="A488" s="170">
        <f>481</f>
        <v>481</v>
      </c>
      <c r="B488" s="171" t="s">
        <v>348</v>
      </c>
      <c r="C488" s="144" t="str">
        <f t="array" ref="C488">IF(B488="","",IFERROR(INDEX('FUNCIONÁRIOS'!$B$4:$B$501,MATCH(B488,'FUNCIONÁRIOS'!$C$4:$C$501,0)),""))</f>
        <v>GO TO </v>
      </c>
      <c r="D488" s="144" t="str">
        <f t="array" ref="D488">IF(B488="","",IFERROR(INDEX('FUNCIONÁRIOS'!$D$4:$D$501,MATCH(B488,'FUNCIONÁRIOS'!$C$4:$C$501,0)),""))</f>
        <v>MONTADOR</v>
      </c>
      <c r="E488" s="123" t="str">
        <f t="array" ref="E488">IF(B488="","",IFERROR(INDEX('FUNCIONÁRIOS'!$E$4:$E$501,MATCH(B488,'FUNCIONÁRIOS'!$C$4:$C$501,0)),""))</f>
        <v>NÃO</v>
      </c>
      <c r="F488" s="138">
        <v>46168.0</v>
      </c>
      <c r="G488" s="115" t="str">
        <f t="shared" si="38"/>
        <v>✅ 08:16</v>
      </c>
      <c r="H488" s="176" t="s">
        <v>1633</v>
      </c>
      <c r="I488" s="117" t="str">
        <f t="shared" si="39"/>
        <v>→ Selecione a linha e use o menu ⏱️ Ponto</v>
      </c>
      <c r="J488" s="181"/>
      <c r="K488" s="182"/>
      <c r="L488" s="122" t="str">
        <f t="shared" si="40"/>
        <v>🟢 No Evento</v>
      </c>
      <c r="M488" s="110"/>
      <c r="N488" s="110"/>
    </row>
    <row r="489" ht="21.75" customHeight="1">
      <c r="A489" s="172">
        <f>482</f>
        <v>482</v>
      </c>
      <c r="B489" s="173" t="s">
        <v>350</v>
      </c>
      <c r="C489" s="143" t="str">
        <f t="array" ref="C489">IF(B489="","",IFERROR(INDEX('FUNCIONÁRIOS'!$B$4:$B$501,MATCH(B489,'FUNCIONÁRIOS'!$C$4:$C$501,0)),""))</f>
        <v>GO TO </v>
      </c>
      <c r="D489" s="143" t="str">
        <f t="array" ref="D489">IF(B489="","",IFERROR(INDEX('FUNCIONÁRIOS'!$D$4:$D$501,MATCH(B489,'FUNCIONÁRIOS'!$C$4:$C$501,0)),""))</f>
        <v>MONTADOR</v>
      </c>
      <c r="E489" s="113" t="str">
        <f t="array" ref="E489">IF(B489="","",IFERROR(INDEX('FUNCIONÁRIOS'!$E$4:$E$501,MATCH(B489,'FUNCIONÁRIOS'!$C$4:$C$501,0)),""))</f>
        <v>NÃO</v>
      </c>
      <c r="F489" s="138">
        <v>46168.0</v>
      </c>
      <c r="G489" s="115" t="str">
        <f t="shared" si="38"/>
        <v>✅ 08:16</v>
      </c>
      <c r="H489" s="174" t="s">
        <v>1633</v>
      </c>
      <c r="I489" s="117" t="str">
        <f t="shared" si="39"/>
        <v>→ Selecione a linha e use o menu ⏱️ Ponto</v>
      </c>
      <c r="J489" s="180"/>
      <c r="K489" s="179"/>
      <c r="L489" s="119" t="str">
        <f t="shared" si="40"/>
        <v>🟢 No Evento</v>
      </c>
      <c r="M489" s="110"/>
      <c r="N489" s="110"/>
    </row>
    <row r="490" ht="21.75" customHeight="1">
      <c r="A490" s="170">
        <f>483</f>
        <v>483</v>
      </c>
      <c r="B490" s="171" t="s">
        <v>336</v>
      </c>
      <c r="C490" s="144" t="str">
        <f t="array" ref="C490">IF(B490="","",IFERROR(INDEX('FUNCIONÁRIOS'!$B$4:$B$501,MATCH(B490,'FUNCIONÁRIOS'!$C$4:$C$501,0)),""))</f>
        <v>GO TO </v>
      </c>
      <c r="D490" s="144" t="str">
        <f t="array" ref="D490">IF(B490="","",IFERROR(INDEX('FUNCIONÁRIOS'!$D$4:$D$501,MATCH(B490,'FUNCIONÁRIOS'!$C$4:$C$501,0)),""))</f>
        <v>MONTADOR</v>
      </c>
      <c r="E490" s="123" t="str">
        <f t="array" ref="E490">IF(B490="","",IFERROR(INDEX('FUNCIONÁRIOS'!$E$4:$E$501,MATCH(B490,'FUNCIONÁRIOS'!$C$4:$C$501,0)),""))</f>
        <v>NÃO</v>
      </c>
      <c r="F490" s="138">
        <v>46168.0</v>
      </c>
      <c r="G490" s="115" t="str">
        <f t="shared" si="38"/>
        <v>✅ 08:18</v>
      </c>
      <c r="H490" s="176" t="s">
        <v>1760</v>
      </c>
      <c r="I490" s="117" t="str">
        <f t="shared" si="39"/>
        <v>→ Selecione a linha e use o menu ⏱️ Ponto</v>
      </c>
      <c r="J490" s="181"/>
      <c r="K490" s="182"/>
      <c r="L490" s="122" t="str">
        <f t="shared" si="40"/>
        <v>🟢 No Evento</v>
      </c>
      <c r="M490" s="110"/>
      <c r="N490" s="110"/>
    </row>
    <row r="491" ht="21.75" customHeight="1">
      <c r="A491" s="172">
        <f>484</f>
        <v>484</v>
      </c>
      <c r="B491" s="173" t="s">
        <v>143</v>
      </c>
      <c r="C491" s="143" t="str">
        <f t="array" ref="C491">IF(B491="","",IFERROR(INDEX('FUNCIONÁRIOS'!$B$4:$B$501,MATCH(B491,'FUNCIONÁRIOS'!$C$4:$C$501,0)),""))</f>
        <v/>
      </c>
      <c r="D491" s="143" t="str">
        <f t="array" ref="D491">IF(B491="","",IFERROR(INDEX('FUNCIONÁRIOS'!$D$4:$D$501,MATCH(B491,'FUNCIONÁRIOS'!$C$4:$C$501,0)),""))</f>
        <v>OPERADOR DE EMPILHADEIRA </v>
      </c>
      <c r="E491" s="113" t="str">
        <f t="array" ref="E491">IF(B491="","",IFERROR(INDEX('FUNCIONÁRIOS'!$E$4:$E$501,MATCH(B491,'FUNCIONÁRIOS'!$C$4:$C$501,0)),""))</f>
        <v>NÃO</v>
      </c>
      <c r="F491" s="138">
        <v>46168.0</v>
      </c>
      <c r="G491" s="115" t="str">
        <f t="shared" si="38"/>
        <v>✅ 08:19</v>
      </c>
      <c r="H491" s="174" t="s">
        <v>1761</v>
      </c>
      <c r="I491" s="117" t="str">
        <f t="shared" si="39"/>
        <v>✅ 18:14</v>
      </c>
      <c r="J491" s="174" t="s">
        <v>1762</v>
      </c>
      <c r="K491" s="175">
        <v>0.4131944444444444</v>
      </c>
      <c r="L491" s="119" t="str">
        <f t="shared" si="40"/>
        <v>✅ Finalizado</v>
      </c>
      <c r="M491" s="110"/>
      <c r="N491" s="110"/>
    </row>
    <row r="492" ht="21.75" customHeight="1">
      <c r="A492" s="170">
        <f>485</f>
        <v>485</v>
      </c>
      <c r="B492" s="171" t="s">
        <v>500</v>
      </c>
      <c r="C492" s="144" t="str">
        <f t="array" ref="C492">IF(B492="","",IFERROR(INDEX('FUNCIONÁRIOS'!$B$4:$B$501,MATCH(B492,'FUNCIONÁRIOS'!$C$4:$C$501,0)),""))</f>
        <v>GO TO </v>
      </c>
      <c r="D492" s="144" t="str">
        <f t="array" ref="D492">IF(B492="","",IFERROR(INDEX('FUNCIONÁRIOS'!$D$4:$D$501,MATCH(B492,'FUNCIONÁRIOS'!$C$4:$C$501,0)),""))</f>
        <v>Serralheiro</v>
      </c>
      <c r="E492" s="123" t="str">
        <f t="array" ref="E492">IF(B492="","",IFERROR(INDEX('FUNCIONÁRIOS'!$E$4:$E$501,MATCH(B492,'FUNCIONÁRIOS'!$C$4:$C$501,0)),""))</f>
        <v>NÃO</v>
      </c>
      <c r="F492" s="138">
        <v>46168.0</v>
      </c>
      <c r="G492" s="115" t="str">
        <f t="shared" si="38"/>
        <v>✅ 08:19</v>
      </c>
      <c r="H492" s="176" t="s">
        <v>1761</v>
      </c>
      <c r="I492" s="117" t="str">
        <f t="shared" si="39"/>
        <v>→ Selecione a linha e use o menu ⏱️ Ponto</v>
      </c>
      <c r="J492" s="181"/>
      <c r="K492" s="182"/>
      <c r="L492" s="122" t="str">
        <f t="shared" si="40"/>
        <v>🟢 No Evento</v>
      </c>
      <c r="M492" s="110"/>
      <c r="N492" s="110"/>
    </row>
    <row r="493" ht="21.75" customHeight="1">
      <c r="A493" s="172">
        <f>486</f>
        <v>486</v>
      </c>
      <c r="B493" s="173" t="s">
        <v>535</v>
      </c>
      <c r="C493" s="143" t="str">
        <f t="array" ref="C493">IF(B493="","",IFERROR(INDEX('FUNCIONÁRIOS'!$B$4:$B$501,MATCH(B493,'FUNCIONÁRIOS'!$C$4:$C$501,0)),""))</f>
        <v>LATINO </v>
      </c>
      <c r="D493" s="143" t="str">
        <f t="array" ref="D493">IF(B493="","",IFERROR(INDEX('FUNCIONÁRIOS'!$D$4:$D$501,MATCH(B493,'FUNCIONÁRIOS'!$C$4:$C$501,0)),""))</f>
        <v>COORDENADOR DOS CARREGADORES </v>
      </c>
      <c r="E493" s="113" t="str">
        <f t="array" ref="E493">IF(B493="","",IFERROR(INDEX('FUNCIONÁRIOS'!$E$4:$E$501,MATCH(B493,'FUNCIONÁRIOS'!$C$4:$C$501,0)),""))</f>
        <v>SIM</v>
      </c>
      <c r="F493" s="138">
        <v>46168.0</v>
      </c>
      <c r="G493" s="115" t="str">
        <f t="shared" si="38"/>
        <v>✅ 08:20</v>
      </c>
      <c r="H493" s="174" t="s">
        <v>1763</v>
      </c>
      <c r="I493" s="117" t="str">
        <f t="shared" si="39"/>
        <v>✅ 17:43</v>
      </c>
      <c r="J493" s="174" t="s">
        <v>1586</v>
      </c>
      <c r="K493" s="175">
        <v>0.3909722222222223</v>
      </c>
      <c r="L493" s="119" t="str">
        <f t="shared" si="40"/>
        <v>✅ Finalizado</v>
      </c>
      <c r="M493" s="110"/>
      <c r="N493" s="110"/>
    </row>
    <row r="494" ht="21.75" customHeight="1">
      <c r="A494" s="170">
        <f>487</f>
        <v>487</v>
      </c>
      <c r="B494" s="171" t="s">
        <v>551</v>
      </c>
      <c r="C494" s="144" t="str">
        <f t="array" ref="C494">IF(B494="","",IFERROR(INDEX('FUNCIONÁRIOS'!$B$4:$B$501,MATCH(B494,'FUNCIONÁRIOS'!$C$4:$C$501,0)),""))</f>
        <v>LATINO </v>
      </c>
      <c r="D494" s="144" t="str">
        <f t="array" ref="D494">IF(B494="","",IFERROR(INDEX('FUNCIONÁRIOS'!$D$4:$D$501,MATCH(B494,'FUNCIONÁRIOS'!$C$4:$C$501,0)),""))</f>
        <v>CARREGADOR </v>
      </c>
      <c r="E494" s="123" t="str">
        <f t="array" ref="E494">IF(B494="","",IFERROR(INDEX('FUNCIONÁRIOS'!$E$4:$E$501,MATCH(B494,'FUNCIONÁRIOS'!$C$4:$C$501,0)),""))</f>
        <v/>
      </c>
      <c r="F494" s="138">
        <v>46168.0</v>
      </c>
      <c r="G494" s="115" t="str">
        <f t="shared" si="38"/>
        <v>✅ 08:20</v>
      </c>
      <c r="H494" s="176" t="s">
        <v>1763</v>
      </c>
      <c r="I494" s="117" t="str">
        <f t="shared" si="39"/>
        <v>✅ 17:44</v>
      </c>
      <c r="J494" s="176" t="s">
        <v>1764</v>
      </c>
      <c r="K494" s="177">
        <v>0.3916666666666667</v>
      </c>
      <c r="L494" s="122" t="str">
        <f t="shared" si="40"/>
        <v>✅ Finalizado</v>
      </c>
      <c r="M494" s="110"/>
      <c r="N494" s="110"/>
    </row>
    <row r="495" ht="21.75" customHeight="1">
      <c r="A495" s="172">
        <f>488</f>
        <v>488</v>
      </c>
      <c r="B495" s="173" t="s">
        <v>521</v>
      </c>
      <c r="C495" s="143" t="str">
        <f t="array" ref="C495">IF(B495="","",IFERROR(INDEX('FUNCIONÁRIOS'!$B$4:$B$501,MATCH(B495,'FUNCIONÁRIOS'!$C$4:$C$501,0)),""))</f>
        <v>TJ SERVIÇOS</v>
      </c>
      <c r="D495" s="143" t="str">
        <f t="array" ref="D495">IF(B495="","",IFERROR(INDEX('FUNCIONÁRIOS'!$D$4:$D$501,MATCH(B495,'FUNCIONÁRIOS'!$C$4:$C$501,0)),""))</f>
        <v>Brigadista</v>
      </c>
      <c r="E495" s="113" t="str">
        <f t="array" ref="E495">IF(B495="","",IFERROR(INDEX('FUNCIONÁRIOS'!$E$4:$E$501,MATCH(B495,'FUNCIONÁRIOS'!$C$4:$C$501,0)),""))</f>
        <v>NÃO</v>
      </c>
      <c r="F495" s="138">
        <v>46168.0</v>
      </c>
      <c r="G495" s="115" t="str">
        <f t="shared" si="38"/>
        <v>✅ 08:21</v>
      </c>
      <c r="H495" s="174" t="s">
        <v>1765</v>
      </c>
      <c r="I495" s="117" t="str">
        <f t="shared" si="39"/>
        <v>→ Selecione a linha e use o menu ⏱️ Ponto</v>
      </c>
      <c r="J495" s="180"/>
      <c r="K495" s="179"/>
      <c r="L495" s="119" t="str">
        <f t="shared" si="40"/>
        <v>🟢 No Evento</v>
      </c>
      <c r="M495" s="110"/>
      <c r="N495" s="110"/>
    </row>
    <row r="496" ht="21.75" customHeight="1">
      <c r="A496" s="170">
        <f>489</f>
        <v>489</v>
      </c>
      <c r="B496" s="171" t="s">
        <v>524</v>
      </c>
      <c r="C496" s="144" t="str">
        <f t="array" ref="C496">IF(B496="","",IFERROR(INDEX('FUNCIONÁRIOS'!$B$4:$B$501,MATCH(B496,'FUNCIONÁRIOS'!$C$4:$C$501,0)),""))</f>
        <v>TJ SERVIÇOS</v>
      </c>
      <c r="D496" s="144" t="str">
        <f t="array" ref="D496">IF(B496="","",IFERROR(INDEX('FUNCIONÁRIOS'!$D$4:$D$501,MATCH(B496,'FUNCIONÁRIOS'!$C$4:$C$501,0)),""))</f>
        <v>Brigadista</v>
      </c>
      <c r="E496" s="123" t="str">
        <f t="array" ref="E496">IF(B496="","",IFERROR(INDEX('FUNCIONÁRIOS'!$E$4:$E$501,MATCH(B496,'FUNCIONÁRIOS'!$C$4:$C$501,0)),""))</f>
        <v>NÃO</v>
      </c>
      <c r="F496" s="138">
        <v>46168.0</v>
      </c>
      <c r="G496" s="115" t="str">
        <f t="shared" si="38"/>
        <v>✅ 08:21</v>
      </c>
      <c r="H496" s="176" t="s">
        <v>1765</v>
      </c>
      <c r="I496" s="117" t="str">
        <f t="shared" si="39"/>
        <v>→ Selecione a linha e use o menu ⏱️ Ponto</v>
      </c>
      <c r="J496" s="181"/>
      <c r="K496" s="182"/>
      <c r="L496" s="122" t="str">
        <f t="shared" si="40"/>
        <v>🟢 No Evento</v>
      </c>
      <c r="M496" s="110"/>
      <c r="N496" s="110"/>
    </row>
    <row r="497" ht="21.75" customHeight="1">
      <c r="A497" s="172">
        <f>490</f>
        <v>490</v>
      </c>
      <c r="B497" s="173" t="s">
        <v>352</v>
      </c>
      <c r="C497" s="143" t="str">
        <f t="array" ref="C497">IF(B497="","",IFERROR(INDEX('FUNCIONÁRIOS'!$B$4:$B$501,MATCH(B497,'FUNCIONÁRIOS'!$C$4:$C$501,0)),""))</f>
        <v>GO TO </v>
      </c>
      <c r="D497" s="143" t="str">
        <f t="array" ref="D497">IF(B497="","",IFERROR(INDEX('FUNCIONÁRIOS'!$D$4:$D$501,MATCH(B497,'FUNCIONÁRIOS'!$C$4:$C$501,0)),""))</f>
        <v>MONTADOR</v>
      </c>
      <c r="E497" s="113" t="str">
        <f t="array" ref="E497">IF(B497="","",IFERROR(INDEX('FUNCIONÁRIOS'!$E$4:$E$501,MATCH(B497,'FUNCIONÁRIOS'!$C$4:$C$501,0)),""))</f>
        <v>NÃO</v>
      </c>
      <c r="F497" s="138">
        <v>46168.0</v>
      </c>
      <c r="G497" s="115" t="str">
        <f t="shared" si="38"/>
        <v>✅ 08:22</v>
      </c>
      <c r="H497" s="174" t="s">
        <v>1766</v>
      </c>
      <c r="I497" s="117" t="str">
        <f t="shared" si="39"/>
        <v>→ Selecione a linha e use o menu ⏱️ Ponto</v>
      </c>
      <c r="J497" s="180"/>
      <c r="K497" s="179"/>
      <c r="L497" s="119" t="str">
        <f t="shared" si="40"/>
        <v>🟢 No Evento</v>
      </c>
      <c r="M497" s="110"/>
      <c r="N497" s="110"/>
    </row>
    <row r="498" ht="21.75" customHeight="1">
      <c r="A498" s="170">
        <f>491</f>
        <v>491</v>
      </c>
      <c r="B498" s="171" t="s">
        <v>110</v>
      </c>
      <c r="C498" s="144" t="str">
        <f t="array" ref="C498">IF(B498="","",IFERROR(INDEX('FUNCIONÁRIOS'!$B$4:$B$501,MATCH(B498,'FUNCIONÁRIOS'!$C$4:$C$501,0)),""))</f>
        <v>MONTE EVENTOS </v>
      </c>
      <c r="D498" s="144" t="str">
        <f t="array" ref="D498">IF(B498="","",IFERROR(INDEX('FUNCIONÁRIOS'!$D$4:$D$501,MATCH(B498,'FUNCIONÁRIOS'!$C$4:$C$501,0)),""))</f>
        <v>MONTADOR</v>
      </c>
      <c r="E498" s="123" t="str">
        <f t="array" ref="E498">IF(B498="","",IFERROR(INDEX('FUNCIONÁRIOS'!$E$4:$E$501,MATCH(B498,'FUNCIONÁRIOS'!$C$4:$C$501,0)),""))</f>
        <v>NÃO</v>
      </c>
      <c r="F498" s="138">
        <v>46168.0</v>
      </c>
      <c r="G498" s="115" t="str">
        <f t="shared" si="38"/>
        <v>→ Selecione a linha e use o menu ⏱️ Ponto</v>
      </c>
      <c r="H498" s="181"/>
      <c r="I498" s="117" t="str">
        <f t="shared" si="39"/>
        <v>→ Selecione a linha e use o menu ⏱️ Ponto</v>
      </c>
      <c r="J498" s="181"/>
      <c r="K498" s="186" t="str">
        <f>IF(AND(H498&lt;&gt;"",J498&lt;&gt;""),J498-H498,"")</f>
        <v/>
      </c>
      <c r="L498" s="122" t="str">
        <f t="shared" si="40"/>
        <v>⏳ Não entrou</v>
      </c>
      <c r="M498" s="110"/>
      <c r="N498" s="110"/>
    </row>
    <row r="499" ht="21.75" customHeight="1">
      <c r="A499" s="172">
        <f>492</f>
        <v>492</v>
      </c>
      <c r="B499" s="173" t="s">
        <v>698</v>
      </c>
      <c r="C499" s="143" t="str">
        <f t="array" ref="C499">IF(B499="","",IFERROR(INDEX('FUNCIONÁRIOS'!$B$4:$B$501,MATCH(B499,'FUNCIONÁRIOS'!$C$4:$C$501,0)),""))</f>
        <v>LATINO </v>
      </c>
      <c r="D499" s="143" t="str">
        <f t="array" ref="D499">IF(B499="","",IFERROR(INDEX('FUNCIONÁRIOS'!$D$4:$D$501,MATCH(B499,'FUNCIONÁRIOS'!$C$4:$C$501,0)),""))</f>
        <v>CARREGADOR </v>
      </c>
      <c r="E499" s="113" t="str">
        <f t="array" ref="E499">IF(B499="","",IFERROR(INDEX('FUNCIONÁRIOS'!$E$4:$E$501,MATCH(B499,'FUNCIONÁRIOS'!$C$4:$C$501,0)),""))</f>
        <v>NÃO</v>
      </c>
      <c r="F499" s="138">
        <v>46168.0</v>
      </c>
      <c r="G499" s="115" t="str">
        <f t="shared" si="38"/>
        <v>✅ 08:24</v>
      </c>
      <c r="H499" s="174" t="s">
        <v>1767</v>
      </c>
      <c r="I499" s="117" t="str">
        <f t="shared" si="39"/>
        <v>✅ 19:08</v>
      </c>
      <c r="J499" s="174" t="s">
        <v>1768</v>
      </c>
      <c r="K499" s="175">
        <v>0.4472222222222223</v>
      </c>
      <c r="L499" s="119" t="str">
        <f t="shared" si="40"/>
        <v>✅ Finalizado</v>
      </c>
      <c r="M499" s="110"/>
      <c r="N499" s="110"/>
    </row>
    <row r="500" ht="21.75" customHeight="1">
      <c r="A500" s="170">
        <f>493</f>
        <v>493</v>
      </c>
      <c r="B500" s="171" t="s">
        <v>552</v>
      </c>
      <c r="C500" s="144" t="str">
        <f t="array" ref="C500">IF(B500="","",IFERROR(INDEX('FUNCIONÁRIOS'!$B$4:$B$501,MATCH(B500,'FUNCIONÁRIOS'!$C$4:$C$501,0)),""))</f>
        <v>LATINO </v>
      </c>
      <c r="D500" s="144" t="str">
        <f t="array" ref="D500">IF(B500="","",IFERROR(INDEX('FUNCIONÁRIOS'!$D$4:$D$501,MATCH(B500,'FUNCIONÁRIOS'!$C$4:$C$501,0)),""))</f>
        <v>CARREGADOR </v>
      </c>
      <c r="E500" s="123" t="str">
        <f t="array" ref="E500">IF(B500="","",IFERROR(INDEX('FUNCIONÁRIOS'!$E$4:$E$501,MATCH(B500,'FUNCIONÁRIOS'!$C$4:$C$501,0)),""))</f>
        <v/>
      </c>
      <c r="F500" s="138">
        <v>46168.0</v>
      </c>
      <c r="G500" s="115" t="str">
        <f t="shared" si="38"/>
        <v>✅ 08:24</v>
      </c>
      <c r="H500" s="176" t="s">
        <v>1767</v>
      </c>
      <c r="I500" s="117" t="str">
        <f t="shared" si="39"/>
        <v>✅ 17:46</v>
      </c>
      <c r="J500" s="176" t="s">
        <v>1665</v>
      </c>
      <c r="K500" s="177">
        <v>0.39027777777777783</v>
      </c>
      <c r="L500" s="122" t="str">
        <f t="shared" si="40"/>
        <v>✅ Finalizado</v>
      </c>
      <c r="M500" s="110"/>
      <c r="N500" s="110"/>
    </row>
    <row r="501" ht="21.75" customHeight="1">
      <c r="A501" s="172">
        <f>494</f>
        <v>494</v>
      </c>
      <c r="B501" s="173" t="s">
        <v>455</v>
      </c>
      <c r="C501" s="143" t="str">
        <f t="array" ref="C501">IF(B501="","",IFERROR(INDEX('FUNCIONÁRIOS'!$B$4:$B$501,MATCH(B501,'FUNCIONÁRIOS'!$C$4:$C$501,0)),""))</f>
        <v>GYN EVENTS</v>
      </c>
      <c r="D501" s="143" t="str">
        <f t="array" ref="D501">IF(B501="","",IFERROR(INDEX('FUNCIONÁRIOS'!$D$4:$D$501,MATCH(B501,'FUNCIONÁRIOS'!$C$4:$C$501,0)),""))</f>
        <v>Carregador</v>
      </c>
      <c r="E501" s="113" t="str">
        <f t="array" ref="E501">IF(B501="","",IFERROR(INDEX('FUNCIONÁRIOS'!$E$4:$E$501,MATCH(B501,'FUNCIONÁRIOS'!$C$4:$C$501,0)),""))</f>
        <v>NÃO</v>
      </c>
      <c r="F501" s="138">
        <v>46168.0</v>
      </c>
      <c r="G501" s="115" t="str">
        <f t="shared" si="38"/>
        <v>✅ 08:25</v>
      </c>
      <c r="H501" s="174" t="s">
        <v>1769</v>
      </c>
      <c r="I501" s="117" t="str">
        <f t="shared" si="39"/>
        <v>✅ 17:46</v>
      </c>
      <c r="J501" s="174" t="s">
        <v>1665</v>
      </c>
      <c r="K501" s="175">
        <v>0.3895833333333334</v>
      </c>
      <c r="L501" s="119" t="str">
        <f t="shared" si="40"/>
        <v>✅ Finalizado</v>
      </c>
      <c r="M501" s="110"/>
      <c r="N501" s="110"/>
    </row>
    <row r="502" ht="21.75" customHeight="1">
      <c r="A502" s="170">
        <f>495</f>
        <v>495</v>
      </c>
      <c r="B502" s="171" t="s">
        <v>346</v>
      </c>
      <c r="C502" s="144" t="str">
        <f t="array" ref="C502">IF(B502="","",IFERROR(INDEX('FUNCIONÁRIOS'!$B$4:$B$501,MATCH(B502,'FUNCIONÁRIOS'!$C$4:$C$501,0)),""))</f>
        <v>GO TO </v>
      </c>
      <c r="D502" s="144" t="str">
        <f t="array" ref="D502">IF(B502="","",IFERROR(INDEX('FUNCIONÁRIOS'!$D$4:$D$501,MATCH(B502,'FUNCIONÁRIOS'!$C$4:$C$501,0)),""))</f>
        <v>MONTADOR</v>
      </c>
      <c r="E502" s="123" t="str">
        <f t="array" ref="E502">IF(B502="","",IFERROR(INDEX('FUNCIONÁRIOS'!$E$4:$E$501,MATCH(B502,'FUNCIONÁRIOS'!$C$4:$C$501,0)),""))</f>
        <v>NÃO</v>
      </c>
      <c r="F502" s="138">
        <v>46168.0</v>
      </c>
      <c r="G502" s="115" t="str">
        <f t="shared" si="38"/>
        <v>✅ 08:25</v>
      </c>
      <c r="H502" s="176" t="s">
        <v>1769</v>
      </c>
      <c r="I502" s="117" t="str">
        <f t="shared" si="39"/>
        <v>→ Selecione a linha e use o menu ⏱️ Ponto</v>
      </c>
      <c r="J502" s="181"/>
      <c r="K502" s="182"/>
      <c r="L502" s="122" t="str">
        <f t="shared" si="40"/>
        <v>🟢 No Evento</v>
      </c>
      <c r="M502" s="110"/>
      <c r="N502" s="110"/>
    </row>
    <row r="503" ht="21.75" customHeight="1">
      <c r="A503" s="172">
        <f>496</f>
        <v>496</v>
      </c>
      <c r="B503" s="173" t="s">
        <v>436</v>
      </c>
      <c r="C503" s="143" t="str">
        <f t="array" ref="C503">IF(B503="","",IFERROR(INDEX('FUNCIONÁRIOS'!$B$4:$B$501,MATCH(B503,'FUNCIONÁRIOS'!$C$4:$C$501,0)),""))</f>
        <v>SHOWNEWS</v>
      </c>
      <c r="D503" s="143" t="str">
        <f t="array" ref="D503">IF(B503="","",IFERROR(INDEX('FUNCIONÁRIOS'!$D$4:$D$501,MATCH(B503,'FUNCIONÁRIOS'!$C$4:$C$501,0)),""))</f>
        <v>Montador</v>
      </c>
      <c r="E503" s="113" t="str">
        <f t="array" ref="E503">IF(B503="","",IFERROR(INDEX('FUNCIONÁRIOS'!$E$4:$E$501,MATCH(B503,'FUNCIONÁRIOS'!$C$4:$C$501,0)),""))</f>
        <v>NÃO</v>
      </c>
      <c r="F503" s="138">
        <v>46168.0</v>
      </c>
      <c r="G503" s="115" t="str">
        <f t="shared" si="38"/>
        <v>✅ 08:26</v>
      </c>
      <c r="H503" s="174" t="s">
        <v>1770</v>
      </c>
      <c r="I503" s="117" t="str">
        <f t="shared" si="39"/>
        <v>→ Selecione a linha e use o menu ⏱️ Ponto</v>
      </c>
      <c r="J503" s="180"/>
      <c r="K503" s="179"/>
      <c r="L503" s="119" t="str">
        <f t="shared" si="40"/>
        <v>🟢 No Evento</v>
      </c>
      <c r="M503" s="110"/>
      <c r="N503" s="110"/>
    </row>
    <row r="504" ht="21.75" customHeight="1">
      <c r="A504" s="170">
        <f>497</f>
        <v>497</v>
      </c>
      <c r="B504" s="171" t="s">
        <v>446</v>
      </c>
      <c r="C504" s="144" t="str">
        <f t="array" ref="C504">IF(B504="","",IFERROR(INDEX('FUNCIONÁRIOS'!$B$4:$B$501,MATCH(B504,'FUNCIONÁRIOS'!$C$4:$C$501,0)),""))</f>
        <v>SHOWNEWS</v>
      </c>
      <c r="D504" s="144" t="str">
        <f t="array" ref="D504">IF(B504="","",IFERROR(INDEX('FUNCIONÁRIOS'!$D$4:$D$501,MATCH(B504,'FUNCIONÁRIOS'!$C$4:$C$501,0)),""))</f>
        <v>Montador</v>
      </c>
      <c r="E504" s="123" t="str">
        <f t="array" ref="E504">IF(B504="","",IFERROR(INDEX('FUNCIONÁRIOS'!$E$4:$E$501,MATCH(B504,'FUNCIONÁRIOS'!$C$4:$C$501,0)),""))</f>
        <v>NÃO</v>
      </c>
      <c r="F504" s="138">
        <v>46168.0</v>
      </c>
      <c r="G504" s="115" t="str">
        <f t="shared" si="38"/>
        <v>✅ 08:26</v>
      </c>
      <c r="H504" s="176" t="s">
        <v>1770</v>
      </c>
      <c r="I504" s="117" t="str">
        <f t="shared" si="39"/>
        <v>✅ 13:48</v>
      </c>
      <c r="J504" s="176" t="s">
        <v>1771</v>
      </c>
      <c r="K504" s="177">
        <v>0.2236111111111111</v>
      </c>
      <c r="L504" s="122" t="str">
        <f t="shared" si="40"/>
        <v>✅ Finalizado</v>
      </c>
      <c r="M504" s="110"/>
      <c r="N504" s="110"/>
    </row>
    <row r="505" ht="21.75" customHeight="1">
      <c r="A505" s="172">
        <f>498</f>
        <v>498</v>
      </c>
      <c r="B505" s="173" t="s">
        <v>438</v>
      </c>
      <c r="C505" s="143" t="str">
        <f t="array" ref="C505">IF(B505="","",IFERROR(INDEX('FUNCIONÁRIOS'!$B$4:$B$501,MATCH(B505,'FUNCIONÁRIOS'!$C$4:$C$501,0)),""))</f>
        <v>SHOWNEWS</v>
      </c>
      <c r="D505" s="143" t="str">
        <f t="array" ref="D505">IF(B505="","",IFERROR(INDEX('FUNCIONÁRIOS'!$D$4:$D$501,MATCH(B505,'FUNCIONÁRIOS'!$C$4:$C$501,0)),""))</f>
        <v>Montador</v>
      </c>
      <c r="E505" s="113" t="str">
        <f t="array" ref="E505">IF(B505="","",IFERROR(INDEX('FUNCIONÁRIOS'!$E$4:$E$501,MATCH(B505,'FUNCIONÁRIOS'!$C$4:$C$501,0)),""))</f>
        <v>NÃO</v>
      </c>
      <c r="F505" s="138">
        <v>46168.0</v>
      </c>
      <c r="G505" s="115" t="str">
        <f t="shared" si="38"/>
        <v>✅ 08:27</v>
      </c>
      <c r="H505" s="174" t="s">
        <v>1772</v>
      </c>
      <c r="I505" s="117" t="str">
        <f t="shared" si="39"/>
        <v>✅ 13:49</v>
      </c>
      <c r="J505" s="174" t="s">
        <v>1649</v>
      </c>
      <c r="K505" s="175">
        <v>0.22361111111111104</v>
      </c>
      <c r="L505" s="119" t="str">
        <f t="shared" si="40"/>
        <v>✅ Finalizado</v>
      </c>
      <c r="M505" s="110"/>
      <c r="N505" s="110"/>
    </row>
    <row r="506" ht="21.75" customHeight="1">
      <c r="A506" s="170">
        <f>499</f>
        <v>499</v>
      </c>
      <c r="B506" s="171" t="s">
        <v>215</v>
      </c>
      <c r="C506" s="144" t="str">
        <f t="array" ref="C506">IF(B506="","",IFERROR(INDEX('FUNCIONÁRIOS'!$B$4:$B$501,MATCH(B506,'FUNCIONÁRIOS'!$C$4:$C$501,0)),""))</f>
        <v>GO TO </v>
      </c>
      <c r="D506" s="144" t="str">
        <f t="array" ref="D506">IF(B506="","",IFERROR(INDEX('FUNCIONÁRIOS'!$D$4:$D$501,MATCH(B506,'FUNCIONÁRIOS'!$C$4:$C$501,0)),""))</f>
        <v>CENOGRAFIA </v>
      </c>
      <c r="E506" s="123" t="str">
        <f t="array" ref="E506">IF(B506="","",IFERROR(INDEX('FUNCIONÁRIOS'!$E$4:$E$501,MATCH(B506,'FUNCIONÁRIOS'!$C$4:$C$501,0)),""))</f>
        <v>NÃO</v>
      </c>
      <c r="F506" s="138">
        <v>46168.0</v>
      </c>
      <c r="G506" s="115" t="str">
        <f t="shared" si="38"/>
        <v>✅ 08:28</v>
      </c>
      <c r="H506" s="176" t="s">
        <v>1773</v>
      </c>
      <c r="I506" s="117" t="str">
        <f t="shared" si="39"/>
        <v>→ Selecione a linha e use o menu ⏱️ Ponto</v>
      </c>
      <c r="J506" s="181"/>
      <c r="K506" s="182"/>
      <c r="L506" s="122" t="str">
        <f t="shared" si="40"/>
        <v>🟢 No Evento</v>
      </c>
      <c r="M506" s="110"/>
      <c r="N506" s="110"/>
    </row>
    <row r="507" ht="21.75" customHeight="1">
      <c r="A507" s="172">
        <f>500</f>
        <v>500</v>
      </c>
      <c r="B507" s="173" t="s">
        <v>568</v>
      </c>
      <c r="C507" s="143" t="str">
        <f t="array" ref="C507">IF(B507="","",IFERROR(INDEX('FUNCIONÁRIOS'!$B$4:$B$501,MATCH(B507,'FUNCIONÁRIOS'!$C$4:$C$501,0)),""))</f>
        <v>VISUAL LIVE </v>
      </c>
      <c r="D507" s="143" t="str">
        <f t="array" ref="D507">IF(B507="","",IFERROR(INDEX('FUNCIONÁRIOS'!$D$4:$D$501,MATCH(B507,'FUNCIONÁRIOS'!$C$4:$C$501,0)),""))</f>
        <v>MONTADOR </v>
      </c>
      <c r="E507" s="113" t="str">
        <f t="array" ref="E507">IF(B507="","",IFERROR(INDEX('FUNCIONÁRIOS'!$E$4:$E$501,MATCH(B507,'FUNCIONÁRIOS'!$C$4:$C$501,0)),""))</f>
        <v>NÃO</v>
      </c>
      <c r="F507" s="138">
        <v>46168.0</v>
      </c>
      <c r="G507" s="115" t="str">
        <f t="shared" si="38"/>
        <v>✅ 08:28</v>
      </c>
      <c r="H507" s="174" t="s">
        <v>1773</v>
      </c>
      <c r="I507" s="117" t="str">
        <f t="shared" si="39"/>
        <v>✅ 18:30</v>
      </c>
      <c r="J507" s="174" t="s">
        <v>1774</v>
      </c>
      <c r="K507" s="175">
        <v>0.41805555555555557</v>
      </c>
      <c r="L507" s="119" t="str">
        <f t="shared" si="40"/>
        <v>✅ Finalizado</v>
      </c>
      <c r="M507" s="110"/>
      <c r="N507" s="110"/>
    </row>
    <row r="508" ht="15.75" customHeight="1">
      <c r="A508" s="13"/>
      <c r="B508" s="171" t="s">
        <v>498</v>
      </c>
      <c r="C508" s="144" t="str">
        <f t="array" ref="C508">IF(B508="","",IFERROR(INDEX('FUNCIONÁRIOS'!$B$4:$B$501,MATCH(B508,'FUNCIONÁRIOS'!$C$4:$C$501,0)),""))</f>
        <v>SHOWNEWS</v>
      </c>
      <c r="D508" s="144" t="str">
        <f t="array" ref="D508">IF(B508="","",IFERROR(INDEX('FUNCIONÁRIOS'!$D$4:$D$501,MATCH(B508,'FUNCIONÁRIOS'!$C$4:$C$501,0)),""))</f>
        <v>Montador</v>
      </c>
      <c r="E508" s="123" t="str">
        <f t="array" ref="E508">IF(B508="","",IFERROR(INDEX('FUNCIONÁRIOS'!$E$4:$E$501,MATCH(B508,'FUNCIONÁRIOS'!$C$4:$C$501,0)),""))</f>
        <v>NÃO</v>
      </c>
      <c r="F508" s="138">
        <v>46168.0</v>
      </c>
      <c r="G508" s="115" t="str">
        <f t="shared" si="38"/>
        <v>✅ 08:31</v>
      </c>
      <c r="H508" s="176" t="s">
        <v>1775</v>
      </c>
      <c r="I508" s="117" t="str">
        <f t="shared" si="39"/>
        <v>✅ 17:36</v>
      </c>
      <c r="J508" s="174" t="s">
        <v>1776</v>
      </c>
      <c r="K508" s="175">
        <v>0.37847222222222215</v>
      </c>
      <c r="L508" s="119" t="str">
        <f t="shared" si="40"/>
        <v>✅ Finalizado</v>
      </c>
    </row>
    <row r="509" ht="15.75" customHeight="1">
      <c r="A509" s="13"/>
      <c r="B509" s="173" t="s">
        <v>603</v>
      </c>
      <c r="C509" s="143" t="str">
        <f t="array" ref="C509">IF(B509="","",IFERROR(INDEX('FUNCIONÁRIOS'!$B$4:$B$501,MATCH(B509,'FUNCIONÁRIOS'!$C$4:$C$501,0)),""))</f>
        <v>PRIVIEGE EVENTOS </v>
      </c>
      <c r="D509" s="143" t="str">
        <f t="array" ref="D509">IF(B509="","",IFERROR(INDEX('FUNCIONÁRIOS'!$D$4:$D$501,MATCH(B509,'FUNCIONÁRIOS'!$C$4:$C$501,0)),""))</f>
        <v>MONTADOR </v>
      </c>
      <c r="E509" s="113" t="str">
        <f t="array" ref="E509">IF(B509="","",IFERROR(INDEX('FUNCIONÁRIOS'!$E$4:$E$501,MATCH(B509,'FUNCIONÁRIOS'!$C$4:$C$501,0)),""))</f>
        <v>NÃO</v>
      </c>
      <c r="F509" s="138">
        <v>46168.0</v>
      </c>
      <c r="G509" s="115" t="str">
        <f t="shared" si="38"/>
        <v>✅ 08:32</v>
      </c>
      <c r="H509" s="174" t="s">
        <v>1777</v>
      </c>
      <c r="I509" s="117" t="str">
        <f t="shared" si="39"/>
        <v>✅ 17:34</v>
      </c>
      <c r="J509" s="176" t="s">
        <v>1778</v>
      </c>
      <c r="K509" s="177">
        <v>0.37638888888888883</v>
      </c>
      <c r="L509" s="122" t="str">
        <f t="shared" si="40"/>
        <v>✅ Finalizado</v>
      </c>
    </row>
    <row r="510" ht="15.75" customHeight="1">
      <c r="A510" s="13"/>
      <c r="B510" s="171" t="s">
        <v>699</v>
      </c>
      <c r="C510" s="144" t="str">
        <f t="array" ref="C510">IF(B510="","",IFERROR(INDEX('FUNCIONÁRIOS'!$B$4:$B$501,MATCH(B510,'FUNCIONÁRIOS'!$C$4:$C$501,0)),""))</f>
        <v>PRIVIEGE EVENTOS </v>
      </c>
      <c r="D510" s="144" t="str">
        <f t="array" ref="D510">IF(B510="","",IFERROR(INDEX('FUNCIONÁRIOS'!$D$4:$D$501,MATCH(B510,'FUNCIONÁRIOS'!$C$4:$C$501,0)),""))</f>
        <v>montador </v>
      </c>
      <c r="E510" s="123" t="str">
        <f t="array" ref="E510">IF(B510="","",IFERROR(INDEX('FUNCIONÁRIOS'!$E$4:$E$501,MATCH(B510,'FUNCIONÁRIOS'!$C$4:$C$501,0)),""))</f>
        <v>NÃO</v>
      </c>
      <c r="F510" s="138">
        <v>46168.0</v>
      </c>
      <c r="G510" s="115" t="str">
        <f t="shared" si="38"/>
        <v>✅ 08:34</v>
      </c>
      <c r="H510" s="176" t="s">
        <v>1779</v>
      </c>
      <c r="I510" s="117" t="str">
        <f t="shared" si="39"/>
        <v>✅ 17:39</v>
      </c>
      <c r="J510" s="174" t="s">
        <v>1780</v>
      </c>
      <c r="K510" s="175">
        <v>0.37847222222222227</v>
      </c>
      <c r="L510" s="119" t="str">
        <f t="shared" si="40"/>
        <v>✅ Finalizado</v>
      </c>
    </row>
    <row r="511" ht="15.75" customHeight="1">
      <c r="A511" s="13"/>
      <c r="B511" s="173" t="s">
        <v>609</v>
      </c>
      <c r="C511" s="143" t="str">
        <f t="array" ref="C511">IF(B511="","",IFERROR(INDEX('FUNCIONÁRIOS'!$B$4:$B$501,MATCH(B511,'FUNCIONÁRIOS'!$C$4:$C$501,0)),""))</f>
        <v>PRIVIEGE EVENTOS </v>
      </c>
      <c r="D511" s="143" t="str">
        <f t="array" ref="D511">IF(B511="","",IFERROR(INDEX('FUNCIONÁRIOS'!$D$4:$D$501,MATCH(B511,'FUNCIONÁRIOS'!$C$4:$C$501,0)),""))</f>
        <v>montador </v>
      </c>
      <c r="E511" s="113" t="str">
        <f t="array" ref="E511">IF(B511="","",IFERROR(INDEX('FUNCIONÁRIOS'!$E$4:$E$501,MATCH(B511,'FUNCIONÁRIOS'!$C$4:$C$501,0)),""))</f>
        <v>NÃO</v>
      </c>
      <c r="F511" s="138">
        <v>46168.0</v>
      </c>
      <c r="G511" s="115" t="str">
        <f t="shared" si="38"/>
        <v>✅ 08:34</v>
      </c>
      <c r="H511" s="174" t="s">
        <v>1779</v>
      </c>
      <c r="I511" s="117" t="str">
        <f t="shared" si="39"/>
        <v>✅ 16:36</v>
      </c>
      <c r="J511" s="176" t="s">
        <v>1781</v>
      </c>
      <c r="K511" s="177">
        <v>0.3347222222222222</v>
      </c>
      <c r="L511" s="122" t="str">
        <f t="shared" si="40"/>
        <v>✅ Finalizado</v>
      </c>
    </row>
    <row r="512" ht="15.75" customHeight="1">
      <c r="A512" s="13"/>
      <c r="B512" s="171" t="s">
        <v>605</v>
      </c>
      <c r="C512" s="144" t="str">
        <f t="array" ref="C512">IF(B512="","",IFERROR(INDEX('FUNCIONÁRIOS'!$B$4:$B$501,MATCH(B512,'FUNCIONÁRIOS'!$C$4:$C$501,0)),""))</f>
        <v>PRIVIEGE EVENTOS </v>
      </c>
      <c r="D512" s="144" t="str">
        <f t="array" ref="D512">IF(B512="","",IFERROR(INDEX('FUNCIONÁRIOS'!$D$4:$D$501,MATCH(B512,'FUNCIONÁRIOS'!$C$4:$C$501,0)),""))</f>
        <v>MONTADOR </v>
      </c>
      <c r="E512" s="123" t="str">
        <f t="array" ref="E512">IF(B512="","",IFERROR(INDEX('FUNCIONÁRIOS'!$E$4:$E$501,MATCH(B512,'FUNCIONÁRIOS'!$C$4:$C$501,0)),""))</f>
        <v>NÃO</v>
      </c>
      <c r="F512" s="138">
        <v>46168.0</v>
      </c>
      <c r="G512" s="115" t="str">
        <f t="shared" si="38"/>
        <v>✅ 08:35</v>
      </c>
      <c r="H512" s="176" t="s">
        <v>1782</v>
      </c>
      <c r="I512" s="117" t="str">
        <f t="shared" si="39"/>
        <v>✅ 17:38</v>
      </c>
      <c r="J512" s="174" t="s">
        <v>1783</v>
      </c>
      <c r="K512" s="175">
        <v>0.3770833333333334</v>
      </c>
      <c r="L512" s="119" t="str">
        <f t="shared" si="40"/>
        <v>✅ Finalizado</v>
      </c>
    </row>
    <row r="513" ht="15.75" customHeight="1">
      <c r="A513" s="13"/>
      <c r="B513" s="173" t="s">
        <v>546</v>
      </c>
      <c r="C513" s="143" t="str">
        <f t="array" ref="C513">IF(B513="","",IFERROR(INDEX('FUNCIONÁRIOS'!$B$4:$B$501,MATCH(B513,'FUNCIONÁRIOS'!$C$4:$C$501,0)),""))</f>
        <v>GO TO </v>
      </c>
      <c r="D513" s="143" t="str">
        <f t="array" ref="D513">IF(B513="","",IFERROR(INDEX('FUNCIONÁRIOS'!$D$4:$D$501,MATCH(B513,'FUNCIONÁRIOS'!$C$4:$C$501,0)),""))</f>
        <v>CENOGRAFIA </v>
      </c>
      <c r="E513" s="113" t="str">
        <f t="array" ref="E513">IF(B513="","",IFERROR(INDEX('FUNCIONÁRIOS'!$E$4:$E$501,MATCH(B513,'FUNCIONÁRIOS'!$C$4:$C$501,0)),""))</f>
        <v>NÃO</v>
      </c>
      <c r="F513" s="138">
        <v>46168.0</v>
      </c>
      <c r="G513" s="115" t="str">
        <f t="shared" si="38"/>
        <v>✅ 08:35</v>
      </c>
      <c r="H513" s="174" t="s">
        <v>1782</v>
      </c>
      <c r="I513" s="117" t="str">
        <f t="shared" si="39"/>
        <v>→ Selecione a linha e use o menu ⏱️ Ponto</v>
      </c>
      <c r="J513" s="181"/>
      <c r="K513" s="182"/>
      <c r="L513" s="122" t="str">
        <f t="shared" si="40"/>
        <v>🟢 No Evento</v>
      </c>
    </row>
    <row r="514" ht="15.75" customHeight="1">
      <c r="A514" s="13"/>
      <c r="B514" s="171" t="s">
        <v>547</v>
      </c>
      <c r="C514" s="144" t="str">
        <f t="array" ref="C514">IF(B514="","",IFERROR(INDEX('FUNCIONÁRIOS'!$B$4:$B$501,MATCH(B514,'FUNCIONÁRIOS'!$C$4:$C$501,0)),""))</f>
        <v>GO TO </v>
      </c>
      <c r="D514" s="144" t="str">
        <f t="array" ref="D514">IF(B514="","",IFERROR(INDEX('FUNCIONÁRIOS'!$D$4:$D$501,MATCH(B514,'FUNCIONÁRIOS'!$C$4:$C$501,0)),""))</f>
        <v>CENOGRAFIA </v>
      </c>
      <c r="E514" s="123" t="str">
        <f t="array" ref="E514">IF(B514="","",IFERROR(INDEX('FUNCIONÁRIOS'!$E$4:$E$501,MATCH(B514,'FUNCIONÁRIOS'!$C$4:$C$501,0)),""))</f>
        <v>NÃO</v>
      </c>
      <c r="F514" s="138">
        <v>46168.0</v>
      </c>
      <c r="G514" s="115" t="str">
        <f t="shared" si="38"/>
        <v>✅ 08:36</v>
      </c>
      <c r="H514" s="176" t="s">
        <v>1784</v>
      </c>
      <c r="I514" s="117" t="str">
        <f t="shared" si="39"/>
        <v>→ Selecione a linha e use o menu ⏱️ Ponto</v>
      </c>
      <c r="J514" s="180"/>
      <c r="K514" s="179"/>
      <c r="L514" s="119" t="str">
        <f t="shared" si="40"/>
        <v>🟢 No Evento</v>
      </c>
    </row>
    <row r="515" ht="15.75" customHeight="1">
      <c r="A515" s="13"/>
      <c r="B515" s="173" t="s">
        <v>232</v>
      </c>
      <c r="C515" s="143" t="str">
        <f t="array" ref="C515">IF(B515="","",IFERROR(INDEX('FUNCIONÁRIOS'!$B$4:$B$501,MATCH(B515,'FUNCIONÁRIOS'!$C$4:$C$501,0)),""))</f>
        <v>UP MUSIC </v>
      </c>
      <c r="D515" s="143" t="str">
        <f t="array" ref="D515">IF(B515="","",IFERROR(INDEX('FUNCIONÁRIOS'!$D$4:$D$501,MATCH(B515,'FUNCIONÁRIOS'!$C$4:$C$501,0)),""))</f>
        <v>PRODUTOR GERAL </v>
      </c>
      <c r="E515" s="113" t="str">
        <f t="array" ref="E515">IF(B515="","",IFERROR(INDEX('FUNCIONÁRIOS'!$E$4:$E$501,MATCH(B515,'FUNCIONÁRIOS'!$C$4:$C$501,0)),""))</f>
        <v>SIM</v>
      </c>
      <c r="F515" s="138">
        <v>46168.0</v>
      </c>
      <c r="G515" s="115" t="str">
        <f t="shared" si="38"/>
        <v>✅ 08:00</v>
      </c>
      <c r="H515" s="174" t="s">
        <v>1587</v>
      </c>
      <c r="I515" s="117" t="str">
        <f t="shared" si="39"/>
        <v>✅ 19:19</v>
      </c>
      <c r="J515" s="176" t="s">
        <v>1723</v>
      </c>
      <c r="K515" s="177">
        <v>0.4715277777777778</v>
      </c>
      <c r="L515" s="122" t="str">
        <f t="shared" si="40"/>
        <v>✅ Finalizado</v>
      </c>
    </row>
    <row r="516" ht="15.75" customHeight="1">
      <c r="A516" s="13"/>
      <c r="B516" s="171" t="s">
        <v>224</v>
      </c>
      <c r="C516" s="144" t="str">
        <f t="array" ref="C516">IF(B516="","",IFERROR(INDEX('FUNCIONÁRIOS'!$B$4:$B$501,MATCH(B516,'FUNCIONÁRIOS'!$C$4:$C$501,0)),""))</f>
        <v/>
      </c>
      <c r="D516" s="144" t="str">
        <f t="array" ref="D516">IF(B516="","",IFERROR(INDEX('FUNCIONÁRIOS'!$D$4:$D$501,MATCH(B516,'FUNCIONÁRIOS'!$C$4:$C$501,0)),""))</f>
        <v>PRODUTOR </v>
      </c>
      <c r="E516" s="123" t="str">
        <f t="array" ref="E516">IF(B516="","",IFERROR(INDEX('FUNCIONÁRIOS'!$E$4:$E$501,MATCH(B516,'FUNCIONÁRIOS'!$C$4:$C$501,0)),""))</f>
        <v/>
      </c>
      <c r="F516" s="138">
        <v>46168.0</v>
      </c>
      <c r="G516" s="115" t="str">
        <f t="shared" si="38"/>
        <v>✅ 08:38</v>
      </c>
      <c r="H516" s="176" t="s">
        <v>1785</v>
      </c>
      <c r="I516" s="117" t="str">
        <f t="shared" si="39"/>
        <v>→ Selecione a linha e use o menu ⏱️ Ponto</v>
      </c>
      <c r="J516" s="180"/>
      <c r="K516" s="179"/>
      <c r="L516" s="119" t="str">
        <f t="shared" si="40"/>
        <v>🟢 No Evento</v>
      </c>
    </row>
    <row r="517" ht="15.75" customHeight="1">
      <c r="A517" s="13"/>
      <c r="B517" s="173" t="s">
        <v>113</v>
      </c>
      <c r="C517" s="143" t="str">
        <f t="array" ref="C517">IF(B517="","",IFERROR(INDEX('FUNCIONÁRIOS'!$B$4:$B$501,MATCH(B517,'FUNCIONÁRIOS'!$C$4:$C$501,0)),""))</f>
        <v>MONTE EVENTOS </v>
      </c>
      <c r="D517" s="143" t="str">
        <f t="array" ref="D517">IF(B517="","",IFERROR(INDEX('FUNCIONÁRIOS'!$D$4:$D$501,MATCH(B517,'FUNCIONÁRIOS'!$C$4:$C$501,0)),""))</f>
        <v>COORDENADOR/CEO</v>
      </c>
      <c r="E517" s="113" t="str">
        <f t="array" ref="E517">IF(B517="","",IFERROR(INDEX('FUNCIONÁRIOS'!$E$4:$E$501,MATCH(B517,'FUNCIONÁRIOS'!$C$4:$C$501,0)),""))</f>
        <v>SIM</v>
      </c>
      <c r="F517" s="138">
        <v>46168.0</v>
      </c>
      <c r="G517" s="115" t="str">
        <f t="shared" si="38"/>
        <v>✅ 08:38</v>
      </c>
      <c r="H517" s="174" t="s">
        <v>1785</v>
      </c>
      <c r="I517" s="117" t="str">
        <f t="shared" si="39"/>
        <v>→ Selecione a linha e use o menu ⏱️ Ponto</v>
      </c>
      <c r="J517" s="181"/>
      <c r="K517" s="182"/>
      <c r="L517" s="122" t="str">
        <f t="shared" si="40"/>
        <v>🟢 No Evento</v>
      </c>
    </row>
    <row r="518" ht="15.75" customHeight="1">
      <c r="A518" s="13"/>
      <c r="B518" s="171" t="s">
        <v>208</v>
      </c>
      <c r="C518" s="144" t="str">
        <f t="array" ref="C518">IF(B518="","",IFERROR(INDEX('FUNCIONÁRIOS'!$B$4:$B$501,MATCH(B518,'FUNCIONÁRIOS'!$C$4:$C$501,0)),""))</f>
        <v>FABINHO EVENTOS </v>
      </c>
      <c r="D518" s="144" t="str">
        <f t="array" ref="D518">IF(B518="","",IFERROR(INDEX('FUNCIONÁRIOS'!$D$4:$D$501,MATCH(B518,'FUNCIONÁRIOS'!$C$4:$C$501,0)),""))</f>
        <v>PRODUTORA </v>
      </c>
      <c r="E518" s="123" t="str">
        <f t="array" ref="E518">IF(B518="","",IFERROR(INDEX('FUNCIONÁRIOS'!$E$4:$E$501,MATCH(B518,'FUNCIONÁRIOS'!$C$4:$C$501,0)),""))</f>
        <v>NÃO</v>
      </c>
      <c r="F518" s="138">
        <v>46168.0</v>
      </c>
      <c r="G518" s="115" t="str">
        <f t="shared" si="38"/>
        <v>✅ 08:40</v>
      </c>
      <c r="H518" s="176" t="s">
        <v>1660</v>
      </c>
      <c r="I518" s="117" t="str">
        <f t="shared" si="39"/>
        <v>→ Selecione a linha e use o menu ⏱️ Ponto</v>
      </c>
      <c r="J518" s="180"/>
      <c r="K518" s="179"/>
      <c r="L518" s="119" t="str">
        <f t="shared" si="40"/>
        <v>🟢 No Evento</v>
      </c>
    </row>
    <row r="519" ht="15.75" customHeight="1">
      <c r="A519" s="13"/>
      <c r="B519" s="173" t="s">
        <v>608</v>
      </c>
      <c r="C519" s="143" t="str">
        <f t="array" ref="C519">IF(B519="","",IFERROR(INDEX('FUNCIONÁRIOS'!$B$4:$B$501,MATCH(B519,'FUNCIONÁRIOS'!$C$4:$C$501,0)),""))</f>
        <v>PRIVIEGE EVENTOS </v>
      </c>
      <c r="D519" s="143" t="str">
        <f t="array" ref="D519">IF(B519="","",IFERROR(INDEX('FUNCIONÁRIOS'!$D$4:$D$501,MATCH(B519,'FUNCIONÁRIOS'!$C$4:$C$501,0)),""))</f>
        <v>MONTADOR </v>
      </c>
      <c r="E519" s="113" t="str">
        <f t="array" ref="E519">IF(B519="","",IFERROR(INDEX('FUNCIONÁRIOS'!$E$4:$E$501,MATCH(B519,'FUNCIONÁRIOS'!$C$4:$C$501,0)),""))</f>
        <v>NÃO</v>
      </c>
      <c r="F519" s="138">
        <v>46168.0</v>
      </c>
      <c r="G519" s="115" t="str">
        <f t="shared" si="38"/>
        <v>✅ 08:40</v>
      </c>
      <c r="H519" s="174" t="s">
        <v>1660</v>
      </c>
      <c r="I519" s="117" t="str">
        <f t="shared" si="39"/>
        <v>✅ 17:38</v>
      </c>
      <c r="J519" s="176" t="s">
        <v>1783</v>
      </c>
      <c r="K519" s="177">
        <v>0.37361111111111117</v>
      </c>
      <c r="L519" s="122" t="str">
        <f t="shared" si="40"/>
        <v>✅ Finalizado</v>
      </c>
    </row>
    <row r="520" ht="15.75" customHeight="1">
      <c r="A520" s="13"/>
      <c r="B520" s="171" t="s">
        <v>364</v>
      </c>
      <c r="C520" s="144" t="str">
        <f t="array" ref="C520">IF(B520="","",IFERROR(INDEX('FUNCIONÁRIOS'!$B$4:$B$501,MATCH(B520,'FUNCIONÁRIOS'!$C$4:$C$501,0)),""))</f>
        <v>GO TO </v>
      </c>
      <c r="D520" s="144" t="str">
        <f t="array" ref="D520">IF(B520="","",IFERROR(INDEX('FUNCIONÁRIOS'!$D$4:$D$501,MATCH(B520,'FUNCIONÁRIOS'!$C$4:$C$501,0)),""))</f>
        <v>MONTADOR</v>
      </c>
      <c r="E520" s="123" t="str">
        <f t="array" ref="E520">IF(B520="","",IFERROR(INDEX('FUNCIONÁRIOS'!$E$4:$E$501,MATCH(B520,'FUNCIONÁRIOS'!$C$4:$C$501,0)),""))</f>
        <v>NÃO</v>
      </c>
      <c r="F520" s="138">
        <v>46168.0</v>
      </c>
      <c r="G520" s="115" t="str">
        <f t="shared" si="38"/>
        <v>✅ 08:42</v>
      </c>
      <c r="H520" s="176" t="s">
        <v>1786</v>
      </c>
      <c r="I520" s="117" t="str">
        <f t="shared" si="39"/>
        <v>→ Selecione a linha e use o menu ⏱️ Ponto</v>
      </c>
      <c r="J520" s="180"/>
      <c r="K520" s="179"/>
      <c r="L520" s="119" t="str">
        <f t="shared" si="40"/>
        <v>🟢 No Evento</v>
      </c>
    </row>
    <row r="521" ht="15.75" customHeight="1">
      <c r="A521" s="13"/>
      <c r="B521" s="173" t="s">
        <v>700</v>
      </c>
      <c r="C521" s="143" t="str">
        <f t="array" ref="C521">IF(B521="","",IFERROR(INDEX('FUNCIONÁRIOS'!$B$4:$B$501,MATCH(B521,'FUNCIONÁRIOS'!$C$4:$C$501,0)),""))</f>
        <v>GO TO </v>
      </c>
      <c r="D521" s="143" t="str">
        <f t="array" ref="D521">IF(B521="","",IFERROR(INDEX('FUNCIONÁRIOS'!$D$4:$D$501,MATCH(B521,'FUNCIONÁRIOS'!$C$4:$C$501,0)),""))</f>
        <v>MONTADOR </v>
      </c>
      <c r="E521" s="113" t="str">
        <f t="array" ref="E521">IF(B521="","",IFERROR(INDEX('FUNCIONÁRIOS'!$E$4:$E$501,MATCH(B521,'FUNCIONÁRIOS'!$C$4:$C$501,0)),""))</f>
        <v>NÃO</v>
      </c>
      <c r="F521" s="138">
        <v>46168.0</v>
      </c>
      <c r="G521" s="115" t="str">
        <f t="shared" si="38"/>
        <v>✅ 08:45</v>
      </c>
      <c r="H521" s="174" t="s">
        <v>1787</v>
      </c>
      <c r="I521" s="117" t="str">
        <f t="shared" si="39"/>
        <v>→ Selecione a linha e use o menu ⏱️ Ponto</v>
      </c>
      <c r="J521" s="181"/>
      <c r="K521" s="182"/>
      <c r="L521" s="122" t="str">
        <f t="shared" si="40"/>
        <v>🟢 No Evento</v>
      </c>
    </row>
    <row r="522" ht="15.75" customHeight="1">
      <c r="A522" s="13"/>
      <c r="B522" s="171" t="s">
        <v>701</v>
      </c>
      <c r="C522" s="144" t="str">
        <f t="array" ref="C522">IF(B522="","",IFERROR(INDEX('FUNCIONÁRIOS'!$B$4:$B$501,MATCH(B522,'FUNCIONÁRIOS'!$C$4:$C$501,0)),""))</f>
        <v>GO TO </v>
      </c>
      <c r="D522" s="144" t="str">
        <f t="array" ref="D522">IF(B522="","",IFERROR(INDEX('FUNCIONÁRIOS'!$D$4:$D$501,MATCH(B522,'FUNCIONÁRIOS'!$C$4:$C$501,0)),""))</f>
        <v>MONTADOR </v>
      </c>
      <c r="E522" s="123" t="str">
        <f t="array" ref="E522">IF(B522="","",IFERROR(INDEX('FUNCIONÁRIOS'!$E$4:$E$501,MATCH(B522,'FUNCIONÁRIOS'!$C$4:$C$501,0)),""))</f>
        <v>NÃO</v>
      </c>
      <c r="F522" s="138">
        <v>46168.0</v>
      </c>
      <c r="G522" s="115" t="str">
        <f t="shared" si="38"/>
        <v>✅ 08:46</v>
      </c>
      <c r="H522" s="176" t="s">
        <v>1788</v>
      </c>
      <c r="I522" s="117" t="str">
        <f t="shared" si="39"/>
        <v>→ Selecione a linha e use o menu ⏱️ Ponto</v>
      </c>
      <c r="J522" s="180"/>
      <c r="K522" s="179"/>
      <c r="L522" s="119" t="str">
        <f t="shared" si="40"/>
        <v>🟢 No Evento</v>
      </c>
    </row>
    <row r="523" ht="15.75" customHeight="1">
      <c r="A523" s="13"/>
      <c r="B523" s="173" t="s">
        <v>374</v>
      </c>
      <c r="C523" s="143" t="str">
        <f t="array" ref="C523">IF(B523="","",IFERROR(INDEX('FUNCIONÁRIOS'!$B$4:$B$501,MATCH(B523,'FUNCIONÁRIOS'!$C$4:$C$501,0)),""))</f>
        <v>GO TO </v>
      </c>
      <c r="D523" s="143" t="str">
        <f t="array" ref="D523">IF(B523="","",IFERROR(INDEX('FUNCIONÁRIOS'!$D$4:$D$501,MATCH(B523,'FUNCIONÁRIOS'!$C$4:$C$501,0)),""))</f>
        <v>MONTADOR</v>
      </c>
      <c r="E523" s="113" t="str">
        <f t="array" ref="E523">IF(B523="","",IFERROR(INDEX('FUNCIONÁRIOS'!$E$4:$E$501,MATCH(B523,'FUNCIONÁRIOS'!$C$4:$C$501,0)),""))</f>
        <v>NÃO</v>
      </c>
      <c r="F523" s="138">
        <v>46168.0</v>
      </c>
      <c r="G523" s="115" t="str">
        <f t="shared" si="38"/>
        <v>✅ 08:47</v>
      </c>
      <c r="H523" s="174" t="s">
        <v>1789</v>
      </c>
      <c r="I523" s="117" t="str">
        <f t="shared" si="39"/>
        <v>→ Selecione a linha e use o menu ⏱️ Ponto</v>
      </c>
      <c r="J523" s="181"/>
      <c r="K523" s="182"/>
      <c r="L523" s="122" t="str">
        <f t="shared" si="40"/>
        <v>🟢 No Evento</v>
      </c>
    </row>
    <row r="524" ht="15.75" customHeight="1">
      <c r="A524" s="13"/>
      <c r="B524" s="171" t="s">
        <v>372</v>
      </c>
      <c r="C524" s="144" t="str">
        <f t="array" ref="C524">IF(B524="","",IFERROR(INDEX('FUNCIONÁRIOS'!$B$4:$B$501,MATCH(B524,'FUNCIONÁRIOS'!$C$4:$C$501,0)),""))</f>
        <v>GO TO </v>
      </c>
      <c r="D524" s="144" t="str">
        <f t="array" ref="D524">IF(B524="","",IFERROR(INDEX('FUNCIONÁRIOS'!$D$4:$D$501,MATCH(B524,'FUNCIONÁRIOS'!$C$4:$C$501,0)),""))</f>
        <v>MONTADOR</v>
      </c>
      <c r="E524" s="123" t="str">
        <f t="array" ref="E524">IF(B524="","",IFERROR(INDEX('FUNCIONÁRIOS'!$E$4:$E$501,MATCH(B524,'FUNCIONÁRIOS'!$C$4:$C$501,0)),""))</f>
        <v>NÃO</v>
      </c>
      <c r="F524" s="138">
        <v>46168.0</v>
      </c>
      <c r="G524" s="115" t="str">
        <f t="shared" si="38"/>
        <v>✅ 08:48</v>
      </c>
      <c r="H524" s="176" t="s">
        <v>1662</v>
      </c>
      <c r="I524" s="117" t="str">
        <f t="shared" si="39"/>
        <v>→ Selecione a linha e use o menu ⏱️ Ponto</v>
      </c>
      <c r="J524" s="180"/>
      <c r="K524" s="179"/>
      <c r="L524" s="119" t="str">
        <f t="shared" si="40"/>
        <v>🟢 No Evento</v>
      </c>
    </row>
    <row r="525" ht="15.75" customHeight="1">
      <c r="A525" s="13"/>
      <c r="B525" s="187" t="s">
        <v>550</v>
      </c>
      <c r="C525" s="188" t="str">
        <f t="array" ref="C525">IF(B525="","",IFERROR(INDEX('FUNCIONÁRIOS'!$B$4:$B$501,MATCH(B525,'FUNCIONÁRIOS'!$C$4:$C$501,0)),""))</f>
        <v>ELEMENT </v>
      </c>
      <c r="D525" s="188" t="str">
        <f t="array" ref="D525">IF(B525="","",IFERROR(INDEX('FUNCIONÁRIOS'!$D$4:$D$501,MATCH(B525,'FUNCIONÁRIOS'!$C$4:$C$501,0)),""))</f>
        <v>OPERADOR DE EMPILHADEIRA </v>
      </c>
      <c r="E525" s="189" t="str">
        <f t="array" ref="E525">IF(B525="","",IFERROR(INDEX('FUNCIONÁRIOS'!$E$4:$E$501,MATCH(B525,'FUNCIONÁRIOS'!$C$4:$C$501,0)),""))</f>
        <v>NÃO</v>
      </c>
      <c r="F525" s="138">
        <v>46168.0</v>
      </c>
      <c r="G525" s="190" t="str">
        <f t="shared" si="38"/>
        <v>✅ 08:48</v>
      </c>
      <c r="H525" s="191" t="s">
        <v>1662</v>
      </c>
      <c r="I525" s="192" t="str">
        <f t="shared" si="39"/>
        <v>✅ 17:47</v>
      </c>
      <c r="J525" s="176" t="s">
        <v>1663</v>
      </c>
      <c r="K525" s="177">
        <v>0.3743055555555556</v>
      </c>
      <c r="L525" s="122" t="str">
        <f t="shared" si="40"/>
        <v>✅ Finalizado</v>
      </c>
    </row>
    <row r="526" ht="15.75" customHeight="1">
      <c r="A526" s="13"/>
      <c r="B526" s="193" t="s">
        <v>344</v>
      </c>
      <c r="C526" s="194" t="str">
        <f t="array" ref="C526">IF(B526="","",IFERROR(INDEX('FUNCIONÁRIOS'!$B$4:$B$501,MATCH(B526,'FUNCIONÁRIOS'!$C$4:$C$501,0)),""))</f>
        <v>GO TO </v>
      </c>
      <c r="D526" s="194" t="str">
        <f t="array" ref="D526">IF(B526="","",IFERROR(INDEX('FUNCIONÁRIOS'!$D$4:$D$501,MATCH(B526,'FUNCIONÁRIOS'!$C$4:$C$501,0)),""))</f>
        <v>MONTADOR</v>
      </c>
      <c r="E526" s="194" t="str">
        <f t="array" ref="E526">IF(B526="","",IFERROR(INDEX('FUNCIONÁRIOS'!$E$4:$E$501,MATCH(B526,'FUNCIONÁRIOS'!$C$4:$C$501,0)),""))</f>
        <v>NÃO</v>
      </c>
      <c r="F526" s="138">
        <v>46168.0</v>
      </c>
      <c r="G526" s="195" t="str">
        <f t="shared" si="38"/>
        <v>✅ 08:49</v>
      </c>
      <c r="H526" s="196" t="s">
        <v>1664</v>
      </c>
      <c r="I526" s="197" t="str">
        <f t="shared" si="39"/>
        <v>→ Selecione a linha e use o menu ⏱️ Ponto</v>
      </c>
      <c r="J526" s="180"/>
      <c r="K526" s="179"/>
      <c r="L526" s="119" t="str">
        <f t="shared" si="40"/>
        <v>🟢 No Evento</v>
      </c>
    </row>
    <row r="527" ht="15.75" customHeight="1">
      <c r="A527" s="13"/>
      <c r="B527" s="198" t="s">
        <v>702</v>
      </c>
      <c r="C527" s="199" t="str">
        <f t="array" ref="C527">IF(B527="","",IFERROR(INDEX('FUNCIONÁRIOS'!$B$4:$B$501,MATCH(B527,'FUNCIONÁRIOS'!$C$4:$C$501,0)),""))</f>
        <v>PRIVIEGE EVENTOS </v>
      </c>
      <c r="D527" s="199" t="str">
        <f t="array" ref="D527">IF(B527="","",IFERROR(INDEX('FUNCIONÁRIOS'!$D$4:$D$501,MATCH(B527,'FUNCIONÁRIOS'!$C$4:$C$501,0)),""))</f>
        <v>MONTADOR </v>
      </c>
      <c r="E527" s="199" t="str">
        <f t="array" ref="E527">IF(B527="","",IFERROR(INDEX('FUNCIONÁRIOS'!$E$4:$E$501,MATCH(B527,'FUNCIONÁRIOS'!$C$4:$C$501,0)),""))</f>
        <v>NÃO</v>
      </c>
      <c r="F527" s="138">
        <v>46168.0</v>
      </c>
      <c r="G527" s="195" t="str">
        <f t="shared" si="38"/>
        <v>✅ 08:51</v>
      </c>
      <c r="H527" s="200" t="s">
        <v>1666</v>
      </c>
      <c r="I527" s="197" t="str">
        <f t="shared" si="39"/>
        <v>→ Selecione a linha e use o menu ⏱️ Ponto</v>
      </c>
      <c r="J527" s="180"/>
      <c r="K527" s="179"/>
      <c r="L527" s="119" t="str">
        <f t="shared" si="40"/>
        <v>🟢 No Evento</v>
      </c>
    </row>
    <row r="528" ht="15.75" customHeight="1">
      <c r="A528" s="13"/>
      <c r="B528" s="193" t="s">
        <v>703</v>
      </c>
      <c r="C528" s="194" t="str">
        <f t="array" ref="C528">IF(B528="","",IFERROR(INDEX('FUNCIONÁRIOS'!$B$4:$B$501,MATCH(B528,'FUNCIONÁRIOS'!$C$4:$C$501,0)),""))</f>
        <v>PRIVIEGE EVENTOS </v>
      </c>
      <c r="D528" s="194" t="str">
        <f t="array" ref="D528">IF(B528="","",IFERROR(INDEX('FUNCIONÁRIOS'!$D$4:$D$501,MATCH(B528,'FUNCIONÁRIOS'!$C$4:$C$501,0)),""))</f>
        <v>MONTADOR </v>
      </c>
      <c r="E528" s="194" t="str">
        <f t="array" ref="E528">IF(B528="","",IFERROR(INDEX('FUNCIONÁRIOS'!$E$4:$E$501,MATCH(B528,'FUNCIONÁRIOS'!$C$4:$C$501,0)),""))</f>
        <v>NÃO</v>
      </c>
      <c r="F528" s="138">
        <v>46168.0</v>
      </c>
      <c r="G528" s="195" t="str">
        <f t="shared" si="38"/>
        <v>✅ 08:51</v>
      </c>
      <c r="H528" s="196" t="s">
        <v>1666</v>
      </c>
      <c r="I528" s="197" t="str">
        <f t="shared" si="39"/>
        <v>→ Selecione a linha e use o menu ⏱️ Ponto</v>
      </c>
      <c r="J528" s="181"/>
      <c r="K528" s="182"/>
      <c r="L528" s="122" t="str">
        <f t="shared" si="40"/>
        <v>🟢 No Evento</v>
      </c>
    </row>
    <row r="529" ht="15.75" customHeight="1">
      <c r="A529" s="13"/>
      <c r="B529" s="198" t="s">
        <v>704</v>
      </c>
      <c r="C529" s="199" t="str">
        <f t="array" ref="C529">IF(B529="","",IFERROR(INDEX('FUNCIONÁRIOS'!$B$4:$B$501,MATCH(B529,'FUNCIONÁRIOS'!$C$4:$C$501,0)),""))</f>
        <v>SHOWNEWS</v>
      </c>
      <c r="D529" s="199" t="str">
        <f t="array" ref="D529">IF(B529="","",IFERROR(INDEX('FUNCIONÁRIOS'!$D$4:$D$501,MATCH(B529,'FUNCIONÁRIOS'!$C$4:$C$501,0)),""))</f>
        <v>LIMPEZA </v>
      </c>
      <c r="E529" s="199" t="str">
        <f t="array" ref="E529">IF(B529="","",IFERROR(INDEX('FUNCIONÁRIOS'!$E$4:$E$501,MATCH(B529,'FUNCIONÁRIOS'!$C$4:$C$501,0)),""))</f>
        <v>NÃO</v>
      </c>
      <c r="F529" s="138">
        <v>46168.0</v>
      </c>
      <c r="G529" s="195" t="str">
        <f t="shared" si="38"/>
        <v>✅ 08:54</v>
      </c>
      <c r="H529" s="200" t="s">
        <v>1669</v>
      </c>
      <c r="I529" s="197" t="str">
        <f t="shared" si="39"/>
        <v>✅ 17:10</v>
      </c>
      <c r="J529" s="174" t="s">
        <v>1790</v>
      </c>
      <c r="K529" s="175">
        <v>0.34444444444444444</v>
      </c>
      <c r="L529" s="119" t="str">
        <f t="shared" si="40"/>
        <v>✅ Finalizado</v>
      </c>
    </row>
    <row r="530" ht="15.75" customHeight="1">
      <c r="A530" s="13"/>
      <c r="B530" s="193" t="s">
        <v>706</v>
      </c>
      <c r="C530" s="194" t="str">
        <f t="array" ref="C530">IF(B530="","",IFERROR(INDEX('FUNCIONÁRIOS'!$B$4:$B$501,MATCH(B530,'FUNCIONÁRIOS'!$C$4:$C$501,0)),""))</f>
        <v>SHOWNEWS</v>
      </c>
      <c r="D530" s="194" t="str">
        <f t="array" ref="D530">IF(B530="","",IFERROR(INDEX('FUNCIONÁRIOS'!$D$4:$D$501,MATCH(B530,'FUNCIONÁRIOS'!$C$4:$C$501,0)),""))</f>
        <v>LIMPEZA </v>
      </c>
      <c r="E530" s="194" t="str">
        <f t="array" ref="E530">IF(B530="","",IFERROR(INDEX('FUNCIONÁRIOS'!$E$4:$E$501,MATCH(B530,'FUNCIONÁRIOS'!$C$4:$C$501,0)),""))</f>
        <v>NÃO</v>
      </c>
      <c r="F530" s="138">
        <v>46168.0</v>
      </c>
      <c r="G530" s="201" t="str">
        <f t="shared" si="38"/>
        <v>✅ 08:55</v>
      </c>
      <c r="H530" s="196" t="s">
        <v>1791</v>
      </c>
      <c r="I530" s="197" t="str">
        <f t="shared" si="39"/>
        <v>✅ 17:10</v>
      </c>
      <c r="J530" s="176" t="s">
        <v>1790</v>
      </c>
      <c r="K530" s="177">
        <v>0.34375</v>
      </c>
      <c r="L530" s="122" t="str">
        <f t="shared" si="40"/>
        <v>✅ Finalizado</v>
      </c>
    </row>
    <row r="531" ht="15.75" customHeight="1">
      <c r="A531" s="13"/>
      <c r="B531" s="198" t="s">
        <v>707</v>
      </c>
      <c r="C531" s="199" t="str">
        <f t="array" ref="C531">IF(B531="","",IFERROR(INDEX('FUNCIONÁRIOS'!$B$4:$B$501,MATCH(B531,'FUNCIONÁRIOS'!$C$4:$C$501,0)),""))</f>
        <v>SHOWNEWS</v>
      </c>
      <c r="D531" s="199" t="str">
        <f t="array" ref="D531">IF(B531="","",IFERROR(INDEX('FUNCIONÁRIOS'!$D$4:$D$501,MATCH(B531,'FUNCIONÁRIOS'!$C$4:$C$501,0)),""))</f>
        <v>LIMPEZA </v>
      </c>
      <c r="E531" s="199" t="str">
        <f t="array" ref="E531">IF(B531="","",IFERROR(INDEX('FUNCIONÁRIOS'!$E$4:$E$501,MATCH(B531,'FUNCIONÁRIOS'!$C$4:$C$501,0)),""))</f>
        <v>NÃO</v>
      </c>
      <c r="F531" s="138">
        <v>46168.0</v>
      </c>
      <c r="G531" s="195" t="str">
        <f t="shared" si="38"/>
        <v>✅ 08:54</v>
      </c>
      <c r="H531" s="200" t="s">
        <v>1669</v>
      </c>
      <c r="I531" s="197" t="str">
        <f t="shared" si="39"/>
        <v>✅ 17:11</v>
      </c>
      <c r="J531" s="174" t="s">
        <v>1792</v>
      </c>
      <c r="K531" s="175">
        <v>0.3451388888888889</v>
      </c>
      <c r="L531" s="119" t="str">
        <f t="shared" si="40"/>
        <v>✅ Finalizado</v>
      </c>
    </row>
    <row r="532" ht="15.75" customHeight="1">
      <c r="A532" s="13"/>
      <c r="B532" s="193" t="s">
        <v>617</v>
      </c>
      <c r="C532" s="194" t="str">
        <f t="array" ref="C532">IF(B532="","",IFERROR(INDEX('FUNCIONÁRIOS'!$B$4:$B$501,MATCH(B532,'FUNCIONÁRIOS'!$C$4:$C$501,0)),""))</f>
        <v>STUDIO K MULTI EVENTOS LTDA </v>
      </c>
      <c r="D532" s="194" t="str">
        <f t="array" ref="D532">IF(B532="","",IFERROR(INDEX('FUNCIONÁRIOS'!$D$4:$D$501,MATCH(B532,'FUNCIONÁRIOS'!$C$4:$C$501,0)),""))</f>
        <v>PRODUTOR TECNICO</v>
      </c>
      <c r="E532" s="194" t="str">
        <f t="array" ref="E532">IF(B532="","",IFERROR(INDEX('FUNCIONÁRIOS'!$E$4:$E$501,MATCH(B532,'FUNCIONÁRIOS'!$C$4:$C$501,0)),""))</f>
        <v>NÃO</v>
      </c>
      <c r="F532" s="138">
        <v>46168.0</v>
      </c>
      <c r="G532" s="195" t="str">
        <f t="shared" si="38"/>
        <v>✅ 08:56</v>
      </c>
      <c r="H532" s="196" t="s">
        <v>1670</v>
      </c>
      <c r="I532" s="197" t="str">
        <f t="shared" si="39"/>
        <v>→ Selecione a linha e use o menu ⏱️ Ponto</v>
      </c>
      <c r="J532" s="181"/>
      <c r="K532" s="182"/>
      <c r="L532" s="122" t="str">
        <f t="shared" si="40"/>
        <v>🟢 No Evento</v>
      </c>
    </row>
    <row r="533" ht="15.75" customHeight="1">
      <c r="A533" s="13"/>
      <c r="B533" s="198" t="s">
        <v>392</v>
      </c>
      <c r="C533" s="199" t="str">
        <f t="array" ref="C533">IF(B533="","",IFERROR(INDEX('FUNCIONÁRIOS'!$B$4:$B$501,MATCH(B533,'FUNCIONÁRIOS'!$C$4:$C$501,0)),""))</f>
        <v>GO TO </v>
      </c>
      <c r="D533" s="199" t="str">
        <f t="array" ref="D533">IF(B533="","",IFERROR(INDEX('FUNCIONÁRIOS'!$D$4:$D$501,MATCH(B533,'FUNCIONÁRIOS'!$C$4:$C$501,0)),""))</f>
        <v>MONTADOR</v>
      </c>
      <c r="E533" s="199" t="str">
        <f t="array" ref="E533">IF(B533="","",IFERROR(INDEX('FUNCIONÁRIOS'!$E$4:$E$501,MATCH(B533,'FUNCIONÁRIOS'!$C$4:$C$501,0)),""))</f>
        <v>NÃO</v>
      </c>
      <c r="F533" s="138">
        <v>46168.0</v>
      </c>
      <c r="G533" s="195" t="str">
        <f t="shared" si="38"/>
        <v>✅ 08:57</v>
      </c>
      <c r="H533" s="200" t="s">
        <v>1672</v>
      </c>
      <c r="I533" s="197" t="str">
        <f t="shared" si="39"/>
        <v>→ Selecione a linha e use o menu ⏱️ Ponto</v>
      </c>
      <c r="J533" s="180"/>
      <c r="K533" s="179"/>
      <c r="L533" s="119" t="str">
        <f t="shared" si="40"/>
        <v>🟢 No Evento</v>
      </c>
    </row>
    <row r="534" ht="15.75" customHeight="1">
      <c r="A534" s="13"/>
      <c r="B534" s="193" t="s">
        <v>368</v>
      </c>
      <c r="C534" s="194" t="str">
        <f t="array" ref="C534">IF(B534="","",IFERROR(INDEX('FUNCIONÁRIOS'!$B$4:$B$501,MATCH(B534,'FUNCIONÁRIOS'!$C$4:$C$501,0)),""))</f>
        <v>GO TO </v>
      </c>
      <c r="D534" s="194" t="str">
        <f t="array" ref="D534">IF(B534="","",IFERROR(INDEX('FUNCIONÁRIOS'!$D$4:$D$501,MATCH(B534,'FUNCIONÁRIOS'!$C$4:$C$501,0)),""))</f>
        <v>MONTADOR</v>
      </c>
      <c r="E534" s="194" t="str">
        <f t="array" ref="E534">IF(B534="","",IFERROR(INDEX('FUNCIONÁRIOS'!$E$4:$E$501,MATCH(B534,'FUNCIONÁRIOS'!$C$4:$C$501,0)),""))</f>
        <v>NÃO</v>
      </c>
      <c r="F534" s="138">
        <v>46168.0</v>
      </c>
      <c r="G534" s="195" t="str">
        <f t="shared" si="38"/>
        <v>✅ 08:57</v>
      </c>
      <c r="H534" s="196" t="s">
        <v>1672</v>
      </c>
      <c r="I534" s="197" t="str">
        <f t="shared" si="39"/>
        <v>→ Selecione a linha e use o menu ⏱️ Ponto</v>
      </c>
      <c r="J534" s="181"/>
      <c r="K534" s="182"/>
      <c r="L534" s="122" t="str">
        <f t="shared" si="40"/>
        <v>🟢 No Evento</v>
      </c>
    </row>
    <row r="535" ht="15.75" customHeight="1">
      <c r="A535" s="13"/>
      <c r="B535" s="198" t="s">
        <v>380</v>
      </c>
      <c r="C535" s="199" t="str">
        <f t="array" ref="C535">IF(B535="","",IFERROR(INDEX('FUNCIONÁRIOS'!$B$4:$B$501,MATCH(B535,'FUNCIONÁRIOS'!$C$4:$C$501,0)),""))</f>
        <v>GO TO </v>
      </c>
      <c r="D535" s="199" t="str">
        <f t="array" ref="D535">IF(B535="","",IFERROR(INDEX('FUNCIONÁRIOS'!$D$4:$D$501,MATCH(B535,'FUNCIONÁRIOS'!$C$4:$C$501,0)),""))</f>
        <v>MONTADOR</v>
      </c>
      <c r="E535" s="199" t="str">
        <f t="array" ref="E535">IF(B535="","",IFERROR(INDEX('FUNCIONÁRIOS'!$E$4:$E$501,MATCH(B535,'FUNCIONÁRIOS'!$C$4:$C$501,0)),""))</f>
        <v>NÃO</v>
      </c>
      <c r="F535" s="138">
        <v>46168.0</v>
      </c>
      <c r="G535" s="195" t="str">
        <f t="shared" si="38"/>
        <v>✅ 08:58</v>
      </c>
      <c r="H535" s="200" t="s">
        <v>1673</v>
      </c>
      <c r="I535" s="197" t="str">
        <f t="shared" si="39"/>
        <v>→ Selecione a linha e use o menu ⏱️ Ponto</v>
      </c>
      <c r="J535" s="180"/>
      <c r="K535" s="179"/>
      <c r="L535" s="119" t="str">
        <f t="shared" si="40"/>
        <v>🟢 No Evento</v>
      </c>
    </row>
    <row r="536" ht="15.75" customHeight="1">
      <c r="A536" s="13"/>
      <c r="B536" s="193" t="s">
        <v>542</v>
      </c>
      <c r="C536" s="194" t="str">
        <f t="array" ref="C536">IF(B536="","",IFERROR(INDEX('FUNCIONÁRIOS'!$B$4:$B$501,MATCH(B536,'FUNCIONÁRIOS'!$C$4:$C$501,0)),""))</f>
        <v>GO TO </v>
      </c>
      <c r="D536" s="194" t="str">
        <f t="array" ref="D536">IF(B536="","",IFERROR(INDEX('FUNCIONÁRIOS'!$D$4:$D$501,MATCH(B536,'FUNCIONÁRIOS'!$C$4:$C$501,0)),""))</f>
        <v>CENOGRAFIA</v>
      </c>
      <c r="E536" s="194" t="str">
        <f t="array" ref="E536">IF(B536="","",IFERROR(INDEX('FUNCIONÁRIOS'!$E$4:$E$501,MATCH(B536,'FUNCIONÁRIOS'!$C$4:$C$501,0)),""))</f>
        <v>NÃO</v>
      </c>
      <c r="F536" s="138">
        <v>46168.0</v>
      </c>
      <c r="G536" s="195" t="str">
        <f t="shared" si="38"/>
        <v>✅ 08:58</v>
      </c>
      <c r="H536" s="196" t="s">
        <v>1673</v>
      </c>
      <c r="I536" s="197" t="str">
        <f t="shared" si="39"/>
        <v>→ Selecione a linha e use o menu ⏱️ Ponto</v>
      </c>
      <c r="J536" s="181"/>
      <c r="K536" s="182"/>
      <c r="L536" s="122" t="str">
        <f t="shared" si="40"/>
        <v>🟢 No Evento</v>
      </c>
    </row>
    <row r="537" ht="15.75" customHeight="1">
      <c r="A537" s="13"/>
      <c r="B537" s="198" t="s">
        <v>574</v>
      </c>
      <c r="C537" s="199" t="str">
        <f t="array" ref="C537">IF(B537="","",IFERROR(INDEX('FUNCIONÁRIOS'!$B$4:$B$501,MATCH(B537,'FUNCIONÁRIOS'!$C$4:$C$501,0)),""))</f>
        <v>GO TO </v>
      </c>
      <c r="D537" s="199" t="str">
        <f t="array" ref="D537">IF(B537="","",IFERROR(INDEX('FUNCIONÁRIOS'!$D$4:$D$501,MATCH(B537,'FUNCIONÁRIOS'!$C$4:$C$501,0)),""))</f>
        <v>CENOGRAFIA </v>
      </c>
      <c r="E537" s="199" t="str">
        <f t="array" ref="E537">IF(B537="","",IFERROR(INDEX('FUNCIONÁRIOS'!$E$4:$E$501,MATCH(B537,'FUNCIONÁRIOS'!$C$4:$C$501,0)),""))</f>
        <v>NÃO</v>
      </c>
      <c r="F537" s="138">
        <v>46168.0</v>
      </c>
      <c r="G537" s="195" t="str">
        <f t="shared" si="38"/>
        <v>✅ 08:59</v>
      </c>
      <c r="H537" s="200" t="s">
        <v>1675</v>
      </c>
      <c r="I537" s="197" t="str">
        <f t="shared" si="39"/>
        <v>→ Selecione a linha e use o menu ⏱️ Ponto</v>
      </c>
      <c r="J537" s="180"/>
      <c r="K537" s="179"/>
      <c r="L537" s="119" t="str">
        <f t="shared" si="40"/>
        <v>🟢 No Evento</v>
      </c>
    </row>
    <row r="538" ht="15.75" customHeight="1">
      <c r="A538" s="13"/>
      <c r="B538" s="193" t="s">
        <v>544</v>
      </c>
      <c r="C538" s="194" t="str">
        <f t="array" ref="C538">IF(B538="","",IFERROR(INDEX('FUNCIONÁRIOS'!$B$4:$B$501,MATCH(B538,'FUNCIONÁRIOS'!$C$4:$C$501,0)),""))</f>
        <v>GO TO </v>
      </c>
      <c r="D538" s="194" t="str">
        <f t="array" ref="D538">IF(B538="","",IFERROR(INDEX('FUNCIONÁRIOS'!$D$4:$D$501,MATCH(B538,'FUNCIONÁRIOS'!$C$4:$C$501,0)),""))</f>
        <v>FORRADOR </v>
      </c>
      <c r="E538" s="194" t="str">
        <f t="array" ref="E538">IF(B538="","",IFERROR(INDEX('FUNCIONÁRIOS'!$E$4:$E$501,MATCH(B538,'FUNCIONÁRIOS'!$C$4:$C$501,0)),""))</f>
        <v>NÃO</v>
      </c>
      <c r="F538" s="138">
        <v>46168.0</v>
      </c>
      <c r="G538" s="195" t="str">
        <f t="shared" si="38"/>
        <v>✅ 09:00</v>
      </c>
      <c r="H538" s="196" t="s">
        <v>1793</v>
      </c>
      <c r="I538" s="197" t="str">
        <f t="shared" si="39"/>
        <v>→ Selecione a linha e use o menu ⏱️ Ponto</v>
      </c>
      <c r="J538" s="181"/>
      <c r="K538" s="182"/>
      <c r="L538" s="122" t="str">
        <f t="shared" si="40"/>
        <v>🟢 No Evento</v>
      </c>
    </row>
    <row r="539" ht="15.75" customHeight="1">
      <c r="A539" s="13"/>
      <c r="B539" s="198" t="s">
        <v>627</v>
      </c>
      <c r="C539" s="199" t="str">
        <f t="array" ref="C539">IF(B539="","",IFERROR(INDEX('FUNCIONÁRIOS'!$B$4:$B$501,MATCH(B539,'FUNCIONÁRIOS'!$C$4:$C$501,0)),""))</f>
        <v>STUDIO K MULTI EVENTOS LTDA </v>
      </c>
      <c r="D539" s="199" t="str">
        <f t="array" ref="D539">IF(B539="","",IFERROR(INDEX('FUNCIONÁRIOS'!$D$4:$D$501,MATCH(B539,'FUNCIONÁRIOS'!$C$4:$C$501,0)),""))</f>
        <v>TECNICO EM SONORIZAÇÃO</v>
      </c>
      <c r="E539" s="199" t="str">
        <f t="array" ref="E539">IF(B539="","",IFERROR(INDEX('FUNCIONÁRIOS'!$E$4:$E$501,MATCH(B539,'FUNCIONÁRIOS'!$C$4:$C$501,0)),""))</f>
        <v>NÃO</v>
      </c>
      <c r="F539" s="138">
        <v>46168.0</v>
      </c>
      <c r="G539" s="195" t="str">
        <f t="shared" si="38"/>
        <v>✅ 09:02</v>
      </c>
      <c r="H539" s="200" t="s">
        <v>1794</v>
      </c>
      <c r="I539" s="197" t="str">
        <f t="shared" si="39"/>
        <v>→ Selecione a linha e use o menu ⏱️ Ponto</v>
      </c>
      <c r="J539" s="180"/>
      <c r="K539" s="179"/>
      <c r="L539" s="119" t="str">
        <f t="shared" si="40"/>
        <v>🟢 No Evento</v>
      </c>
    </row>
    <row r="540" ht="15.75" customHeight="1">
      <c r="A540" s="13"/>
      <c r="B540" s="193" t="s">
        <v>505</v>
      </c>
      <c r="C540" s="194" t="str">
        <f t="array" ref="C540">IF(B540="","",IFERROR(INDEX('FUNCIONÁRIOS'!$B$4:$B$501,MATCH(B540,'FUNCIONÁRIOS'!$C$4:$C$501,0)),""))</f>
        <v>GO TO </v>
      </c>
      <c r="D540" s="194" t="str">
        <f t="array" ref="D540">IF(B540="","",IFERROR(INDEX('FUNCIONÁRIOS'!$D$4:$D$501,MATCH(B540,'FUNCIONÁRIOS'!$C$4:$C$501,0)),""))</f>
        <v>Auxiliar de Serralheiro</v>
      </c>
      <c r="E540" s="194" t="str">
        <f t="array" ref="E540">IF(B540="","",IFERROR(INDEX('FUNCIONÁRIOS'!$E$4:$E$501,MATCH(B540,'FUNCIONÁRIOS'!$C$4:$C$501,0)),""))</f>
        <v>NÃO</v>
      </c>
      <c r="F540" s="138">
        <v>46168.0</v>
      </c>
      <c r="G540" s="195" t="str">
        <f t="shared" si="38"/>
        <v>✅ 09:06</v>
      </c>
      <c r="H540" s="196" t="s">
        <v>1650</v>
      </c>
      <c r="I540" s="197" t="str">
        <f t="shared" si="39"/>
        <v>→ Selecione a linha e use o menu ⏱️ Ponto</v>
      </c>
      <c r="J540" s="181"/>
      <c r="K540" s="182"/>
      <c r="L540" s="122" t="str">
        <f t="shared" si="40"/>
        <v>🟢 No Evento</v>
      </c>
    </row>
    <row r="541" ht="15.75" customHeight="1">
      <c r="A541" s="13"/>
      <c r="B541" s="198" t="s">
        <v>500</v>
      </c>
      <c r="C541" s="199" t="str">
        <f t="array" ref="C541">IF(B541="","",IFERROR(INDEX('FUNCIONÁRIOS'!$B$4:$B$501,MATCH(B541,'FUNCIONÁRIOS'!$C$4:$C$501,0)),""))</f>
        <v>GO TO </v>
      </c>
      <c r="D541" s="199" t="str">
        <f t="array" ref="D541">IF(B541="","",IFERROR(INDEX('FUNCIONÁRIOS'!$D$4:$D$501,MATCH(B541,'FUNCIONÁRIOS'!$C$4:$C$501,0)),""))</f>
        <v>Serralheiro</v>
      </c>
      <c r="E541" s="199" t="str">
        <f t="array" ref="E541">IF(B541="","",IFERROR(INDEX('FUNCIONÁRIOS'!$E$4:$E$501,MATCH(B541,'FUNCIONÁRIOS'!$C$4:$C$501,0)),""))</f>
        <v>NÃO</v>
      </c>
      <c r="F541" s="138">
        <v>46168.0</v>
      </c>
      <c r="G541" s="195" t="str">
        <f t="shared" si="38"/>
        <v>✅ 09:07</v>
      </c>
      <c r="H541" s="200" t="s">
        <v>1677</v>
      </c>
      <c r="I541" s="197" t="str">
        <f t="shared" si="39"/>
        <v>→ Selecione a linha e use o menu ⏱️ Ponto</v>
      </c>
      <c r="J541" s="180"/>
      <c r="K541" s="179"/>
      <c r="L541" s="119" t="str">
        <f t="shared" si="40"/>
        <v>🟢 No Evento</v>
      </c>
    </row>
    <row r="542" ht="15.75" customHeight="1">
      <c r="A542" s="13"/>
      <c r="B542" s="193" t="s">
        <v>485</v>
      </c>
      <c r="C542" s="194" t="str">
        <f t="array" ref="C542">IF(B542="","",IFERROR(INDEX('FUNCIONÁRIOS'!$B$4:$B$501,MATCH(B542,'FUNCIONÁRIOS'!$C$4:$C$501,0)),""))</f>
        <v>EL SHADDAI</v>
      </c>
      <c r="D542" s="194" t="str">
        <f t="array" ref="D542">IF(B542="","",IFERROR(INDEX('FUNCIONÁRIOS'!$D$4:$D$501,MATCH(B542,'FUNCIONÁRIOS'!$C$4:$C$501,0)),""))</f>
        <v>soldador </v>
      </c>
      <c r="E542" s="194" t="str">
        <f t="array" ref="E542">IF(B542="","",IFERROR(INDEX('FUNCIONÁRIOS'!$E$4:$E$501,MATCH(B542,'FUNCIONÁRIOS'!$C$4:$C$501,0)),""))</f>
        <v>NÃO</v>
      </c>
      <c r="F542" s="138">
        <v>46168.0</v>
      </c>
      <c r="G542" s="195" t="str">
        <f t="shared" si="38"/>
        <v>✅ 09:07</v>
      </c>
      <c r="H542" s="196" t="s">
        <v>1677</v>
      </c>
      <c r="I542" s="197" t="str">
        <f t="shared" si="39"/>
        <v>✅ 17:40</v>
      </c>
      <c r="J542" s="176" t="s">
        <v>1795</v>
      </c>
      <c r="K542" s="177">
        <v>0.35625000000000007</v>
      </c>
      <c r="L542" s="122" t="str">
        <f t="shared" si="40"/>
        <v>✅ Finalizado</v>
      </c>
    </row>
    <row r="543" ht="15.75" customHeight="1">
      <c r="A543" s="13"/>
      <c r="B543" s="198" t="s">
        <v>319</v>
      </c>
      <c r="C543" s="199" t="str">
        <f t="array" ref="C543">IF(B543="","",IFERROR(INDEX('FUNCIONÁRIOS'!$B$4:$B$501,MATCH(B543,'FUNCIONÁRIOS'!$C$4:$C$501,0)),""))</f>
        <v>EL SHADDAI</v>
      </c>
      <c r="D543" s="199" t="str">
        <f t="array" ref="D543">IF(B543="","",IFERROR(INDEX('FUNCIONÁRIOS'!$D$4:$D$501,MATCH(B543,'FUNCIONÁRIOS'!$C$4:$C$501,0)),""))</f>
        <v>Montador</v>
      </c>
      <c r="E543" s="199" t="str">
        <f t="array" ref="E543">IF(B543="","",IFERROR(INDEX('FUNCIONÁRIOS'!$E$4:$E$501,MATCH(B543,'FUNCIONÁRIOS'!$C$4:$C$501,0)),""))</f>
        <v>NÃO</v>
      </c>
      <c r="F543" s="138">
        <v>46168.0</v>
      </c>
      <c r="G543" s="195" t="str">
        <f t="shared" si="38"/>
        <v>✅ 09:08</v>
      </c>
      <c r="H543" s="200" t="s">
        <v>1678</v>
      </c>
      <c r="I543" s="197" t="str">
        <f t="shared" si="39"/>
        <v>✅ 17:40</v>
      </c>
      <c r="J543" s="174" t="s">
        <v>1795</v>
      </c>
      <c r="K543" s="175">
        <v>0.3555555555555556</v>
      </c>
      <c r="L543" s="119" t="str">
        <f t="shared" si="40"/>
        <v>✅ Finalizado</v>
      </c>
    </row>
    <row r="544" ht="15.75" customHeight="1">
      <c r="A544" s="13"/>
      <c r="B544" s="193" t="s">
        <v>708</v>
      </c>
      <c r="C544" s="194" t="str">
        <f t="array" ref="C544">IF(B544="","",IFERROR(INDEX('FUNCIONÁRIOS'!$B$4:$B$501,MATCH(B544,'FUNCIONÁRIOS'!$C$4:$C$501,0)),""))</f>
        <v>PRIVIEGE EVENTOS </v>
      </c>
      <c r="D544" s="194" t="str">
        <f t="array" ref="D544">IF(B544="","",IFERROR(INDEX('FUNCIONÁRIOS'!$D$4:$D$501,MATCH(B544,'FUNCIONÁRIOS'!$C$4:$C$501,0)),""))</f>
        <v>LIMPEZA </v>
      </c>
      <c r="E544" s="194" t="str">
        <f t="array" ref="E544">IF(B544="","",IFERROR(INDEX('FUNCIONÁRIOS'!$E$4:$E$501,MATCH(B544,'FUNCIONÁRIOS'!$C$4:$C$501,0)),""))</f>
        <v>NÃO</v>
      </c>
      <c r="F544" s="138">
        <v>46168.0</v>
      </c>
      <c r="G544" s="195" t="str">
        <f t="shared" si="38"/>
        <v>✅ 09:11</v>
      </c>
      <c r="H544" s="196" t="s">
        <v>1683</v>
      </c>
      <c r="I544" s="197" t="str">
        <f t="shared" si="39"/>
        <v>→ Selecione a linha e use o menu ⏱️ Ponto</v>
      </c>
      <c r="J544" s="181"/>
      <c r="K544" s="182"/>
      <c r="L544" s="122" t="str">
        <f t="shared" si="40"/>
        <v>🟢 No Evento</v>
      </c>
    </row>
    <row r="545" ht="15.75" customHeight="1">
      <c r="A545" s="13"/>
      <c r="B545" s="198" t="s">
        <v>697</v>
      </c>
      <c r="C545" s="199" t="str">
        <f t="array" ref="C545">IF(B545="","",IFERROR(INDEX('FUNCIONÁRIOS'!$B$4:$B$501,MATCH(B545,'FUNCIONÁRIOS'!$C$4:$C$501,0)),""))</f>
        <v/>
      </c>
      <c r="D545" s="199" t="str">
        <f t="array" ref="D545">IF(B545="","",IFERROR(INDEX('FUNCIONÁRIOS'!$D$4:$D$501,MATCH(B545,'FUNCIONÁRIOS'!$C$4:$C$501,0)),""))</f>
        <v/>
      </c>
      <c r="E545" s="199" t="str">
        <f t="array" ref="E545">IF(B545="","",IFERROR(INDEX('FUNCIONÁRIOS'!$E$4:$E$501,MATCH(B545,'FUNCIONÁRIOS'!$C$4:$C$501,0)),""))</f>
        <v>NÃO</v>
      </c>
      <c r="F545" s="138">
        <v>46168.0</v>
      </c>
      <c r="G545" s="195" t="str">
        <f t="shared" si="38"/>
        <v>✅ 09:11</v>
      </c>
      <c r="H545" s="200" t="s">
        <v>1683</v>
      </c>
      <c r="I545" s="197" t="str">
        <f t="shared" si="39"/>
        <v>→ Selecione a linha e use o menu ⏱️ Ponto</v>
      </c>
      <c r="J545" s="180"/>
      <c r="K545" s="179"/>
      <c r="L545" s="119" t="str">
        <f t="shared" si="40"/>
        <v>🟢 No Evento</v>
      </c>
    </row>
    <row r="546" ht="15.75" customHeight="1">
      <c r="A546" s="13"/>
      <c r="B546" s="193" t="s">
        <v>709</v>
      </c>
      <c r="C546" s="194" t="str">
        <f t="array" ref="C546">IF(B546="","",IFERROR(INDEX('FUNCIONÁRIOS'!$B$4:$B$501,MATCH(B546,'FUNCIONÁRIOS'!$C$4:$C$501,0)),""))</f>
        <v>PRIVIEGE EVENTOS </v>
      </c>
      <c r="D546" s="194" t="str">
        <f t="array" ref="D546">IF(B546="","",IFERROR(INDEX('FUNCIONÁRIOS'!$D$4:$D$501,MATCH(B546,'FUNCIONÁRIOS'!$C$4:$C$501,0)),""))</f>
        <v>LIMPEZA </v>
      </c>
      <c r="E546" s="194" t="str">
        <f t="array" ref="E546">IF(B546="","",IFERROR(INDEX('FUNCIONÁRIOS'!$E$4:$E$501,MATCH(B546,'FUNCIONÁRIOS'!$C$4:$C$501,0)),""))</f>
        <v>NÃO</v>
      </c>
      <c r="F546" s="138">
        <v>46168.0</v>
      </c>
      <c r="G546" s="195" t="str">
        <f t="shared" si="38"/>
        <v>✅ 09:11</v>
      </c>
      <c r="H546" s="196" t="s">
        <v>1683</v>
      </c>
      <c r="I546" s="197" t="str">
        <f t="shared" si="39"/>
        <v>→ Selecione a linha e use o menu ⏱️ Ponto</v>
      </c>
      <c r="J546" s="180"/>
      <c r="K546" s="179"/>
      <c r="L546" s="119" t="str">
        <f t="shared" si="40"/>
        <v>🟢 No Evento</v>
      </c>
    </row>
    <row r="547" ht="15.75" customHeight="1">
      <c r="A547" s="13"/>
      <c r="B547" s="198" t="s">
        <v>710</v>
      </c>
      <c r="C547" s="199" t="str">
        <f t="array" ref="C547">IF(B547="","",IFERROR(INDEX('FUNCIONÁRIOS'!$B$4:$B$501,MATCH(B547,'FUNCIONÁRIOS'!$C$4:$C$501,0)),""))</f>
        <v>GO TO </v>
      </c>
      <c r="D547" s="199" t="str">
        <f t="array" ref="D547">IF(B547="","",IFERROR(INDEX('FUNCIONÁRIOS'!$D$4:$D$501,MATCH(B547,'FUNCIONÁRIOS'!$C$4:$C$501,0)),""))</f>
        <v>MONTADOR </v>
      </c>
      <c r="E547" s="199" t="str">
        <f t="array" ref="E547">IF(B547="","",IFERROR(INDEX('FUNCIONÁRIOS'!$E$4:$E$501,MATCH(B547,'FUNCIONÁRIOS'!$C$4:$C$501,0)),""))</f>
        <v>NÃO</v>
      </c>
      <c r="F547" s="138">
        <v>46168.0</v>
      </c>
      <c r="G547" s="195" t="str">
        <f t="shared" si="38"/>
        <v>✅ 09:13</v>
      </c>
      <c r="H547" s="200" t="s">
        <v>1796</v>
      </c>
      <c r="I547" s="197" t="str">
        <f t="shared" si="39"/>
        <v>→ Selecione a linha e use o menu ⏱️ Ponto</v>
      </c>
      <c r="J547" s="181"/>
      <c r="K547" s="182"/>
      <c r="L547" s="122" t="str">
        <f t="shared" si="40"/>
        <v>🟢 No Evento</v>
      </c>
    </row>
    <row r="548" ht="15.75" customHeight="1">
      <c r="A548" s="13"/>
      <c r="B548" s="193" t="s">
        <v>640</v>
      </c>
      <c r="C548" s="194" t="str">
        <f t="array" ref="C548">IF(B548="","",IFERROR(INDEX('FUNCIONÁRIOS'!$B$4:$B$501,MATCH(B548,'FUNCIONÁRIOS'!$C$4:$C$501,0)),""))</f>
        <v>STUDIO K MULTI EVENTOS LTDA </v>
      </c>
      <c r="D548" s="194" t="str">
        <f t="array" ref="D548">IF(B548="","",IFERROR(INDEX('FUNCIONÁRIOS'!$D$4:$D$501,MATCH(B548,'FUNCIONÁRIOS'!$C$4:$C$501,0)),""))</f>
        <v>TECNICO EM SONORIZAÇÃO</v>
      </c>
      <c r="E548" s="194" t="str">
        <f t="array" ref="E548">IF(B548="","",IFERROR(INDEX('FUNCIONÁRIOS'!$E$4:$E$501,MATCH(B548,'FUNCIONÁRIOS'!$C$4:$C$501,0)),""))</f>
        <v>NÃO</v>
      </c>
      <c r="F548" s="138">
        <v>46168.0</v>
      </c>
      <c r="G548" s="195" t="str">
        <f t="shared" si="38"/>
        <v>✅ 09:15</v>
      </c>
      <c r="H548" s="196" t="s">
        <v>1685</v>
      </c>
      <c r="I548" s="197" t="str">
        <f t="shared" si="39"/>
        <v>→ Selecione a linha e use o menu ⏱️ Ponto</v>
      </c>
      <c r="J548" s="180"/>
      <c r="K548" s="179"/>
      <c r="L548" s="119" t="str">
        <f t="shared" si="40"/>
        <v>🟢 No Evento</v>
      </c>
    </row>
    <row r="549" ht="15.75" customHeight="1">
      <c r="A549" s="13"/>
      <c r="B549" s="198" t="s">
        <v>629</v>
      </c>
      <c r="C549" s="199" t="str">
        <f t="array" ref="C549">IF(B549="","",IFERROR(INDEX('FUNCIONÁRIOS'!$B$4:$B$501,MATCH(B549,'FUNCIONÁRIOS'!$C$4:$C$501,0)),""))</f>
        <v>STUDIO K MULTI EVENTOS LTDA </v>
      </c>
      <c r="D549" s="199" t="str">
        <f t="array" ref="D549">IF(B549="","",IFERROR(INDEX('FUNCIONÁRIOS'!$D$4:$D$501,MATCH(B549,'FUNCIONÁRIOS'!$C$4:$C$501,0)),""))</f>
        <v>TECNICO EM SONORIZAÇÃO</v>
      </c>
      <c r="E549" s="199" t="str">
        <f t="array" ref="E549">IF(B549="","",IFERROR(INDEX('FUNCIONÁRIOS'!$E$4:$E$501,MATCH(B549,'FUNCIONÁRIOS'!$C$4:$C$501,0)),""))</f>
        <v>NÃO</v>
      </c>
      <c r="F549" s="138">
        <v>46168.0</v>
      </c>
      <c r="G549" s="195" t="str">
        <f t="shared" si="38"/>
        <v>✅ 09:15</v>
      </c>
      <c r="H549" s="200" t="s">
        <v>1685</v>
      </c>
      <c r="I549" s="197" t="str">
        <f t="shared" si="39"/>
        <v>→ Selecione a linha e use o menu ⏱️ Ponto</v>
      </c>
      <c r="J549" s="181"/>
      <c r="K549" s="182"/>
      <c r="L549" s="122" t="str">
        <f t="shared" si="40"/>
        <v>🟢 No Evento</v>
      </c>
    </row>
    <row r="550" ht="15.75" customHeight="1">
      <c r="A550" s="13"/>
      <c r="B550" s="193" t="s">
        <v>649</v>
      </c>
      <c r="C550" s="194" t="str">
        <f t="array" ref="C550">IF(B550="","",IFERROR(INDEX('FUNCIONÁRIOS'!$B$4:$B$501,MATCH(B550,'FUNCIONÁRIOS'!$C$4:$C$501,0)),""))</f>
        <v>STUDIO K MULTI EVENTOS LTDA </v>
      </c>
      <c r="D550" s="194" t="str">
        <f t="array" ref="D550">IF(B550="","",IFERROR(INDEX('FUNCIONÁRIOS'!$D$4:$D$501,MATCH(B550,'FUNCIONÁRIOS'!$C$4:$C$501,0)),""))</f>
        <v>TECNICO EM SONORIZAÇÃO</v>
      </c>
      <c r="E550" s="194" t="str">
        <f t="array" ref="E550">IF(B550="","",IFERROR(INDEX('FUNCIONÁRIOS'!$E$4:$E$501,MATCH(B550,'FUNCIONÁRIOS'!$C$4:$C$501,0)),""))</f>
        <v>NÃO</v>
      </c>
      <c r="F550" s="138">
        <v>46168.0</v>
      </c>
      <c r="G550" s="195" t="str">
        <f t="shared" si="38"/>
        <v>✅ 09:16</v>
      </c>
      <c r="H550" s="196" t="s">
        <v>1797</v>
      </c>
      <c r="I550" s="197" t="str">
        <f t="shared" si="39"/>
        <v>→ Selecione a linha e use o menu ⏱️ Ponto</v>
      </c>
      <c r="J550" s="180"/>
      <c r="K550" s="179"/>
      <c r="L550" s="119" t="str">
        <f t="shared" si="40"/>
        <v>🟢 No Evento</v>
      </c>
    </row>
    <row r="551" ht="15.75" customHeight="1">
      <c r="A551" s="13"/>
      <c r="B551" s="198" t="s">
        <v>647</v>
      </c>
      <c r="C551" s="199" t="str">
        <f t="array" ref="C551">IF(B551="","",IFERROR(INDEX('FUNCIONÁRIOS'!$B$4:$B$501,MATCH(B551,'FUNCIONÁRIOS'!$C$4:$C$501,0)),""))</f>
        <v>STUDIO K MULTI EVENTOS LTDA </v>
      </c>
      <c r="D551" s="199" t="str">
        <f t="array" ref="D551">IF(B551="","",IFERROR(INDEX('FUNCIONÁRIOS'!$D$4:$D$501,MATCH(B551,'FUNCIONÁRIOS'!$C$4:$C$501,0)),""))</f>
        <v>TECNICO EM SONORIZAÇÃO</v>
      </c>
      <c r="E551" s="199" t="str">
        <f t="array" ref="E551">IF(B551="","",IFERROR(INDEX('FUNCIONÁRIOS'!$E$4:$E$501,MATCH(B551,'FUNCIONÁRIOS'!$C$4:$C$501,0)),""))</f>
        <v>NÃO</v>
      </c>
      <c r="F551" s="138">
        <v>46168.0</v>
      </c>
      <c r="G551" s="195" t="str">
        <f t="shared" si="38"/>
        <v>✅ 09:16</v>
      </c>
      <c r="H551" s="200" t="s">
        <v>1797</v>
      </c>
      <c r="I551" s="197" t="str">
        <f t="shared" si="39"/>
        <v>→ Selecione a linha e use o menu ⏱️ Ponto</v>
      </c>
      <c r="J551" s="181"/>
      <c r="K551" s="182"/>
      <c r="L551" s="122" t="str">
        <f t="shared" si="40"/>
        <v>🟢 No Evento</v>
      </c>
    </row>
    <row r="552" ht="15.75" customHeight="1">
      <c r="A552" s="13"/>
      <c r="B552" s="193" t="s">
        <v>503</v>
      </c>
      <c r="C552" s="194" t="str">
        <f t="array" ref="C552">IF(B552="","",IFERROR(INDEX('FUNCIONÁRIOS'!$B$4:$B$501,MATCH(B552,'FUNCIONÁRIOS'!$C$4:$C$501,0)),""))</f>
        <v>GO TO </v>
      </c>
      <c r="D552" s="194" t="str">
        <f t="array" ref="D552">IF(B552="","",IFERROR(INDEX('FUNCIONÁRIOS'!$D$4:$D$501,MATCH(B552,'FUNCIONÁRIOS'!$C$4:$C$501,0)),""))</f>
        <v>Serralheiro</v>
      </c>
      <c r="E552" s="194" t="str">
        <f t="array" ref="E552">IF(B552="","",IFERROR(INDEX('FUNCIONÁRIOS'!$E$4:$E$501,MATCH(B552,'FUNCIONÁRIOS'!$C$4:$C$501,0)),""))</f>
        <v>NÃO</v>
      </c>
      <c r="F552" s="138">
        <v>46168.0</v>
      </c>
      <c r="G552" s="195" t="str">
        <f t="shared" si="38"/>
        <v>✅ 09:17</v>
      </c>
      <c r="H552" s="196" t="s">
        <v>1798</v>
      </c>
      <c r="I552" s="197" t="str">
        <f t="shared" si="39"/>
        <v>→ Selecione a linha e use o menu ⏱️ Ponto</v>
      </c>
      <c r="J552" s="180"/>
      <c r="K552" s="179"/>
      <c r="L552" s="119" t="str">
        <f t="shared" si="40"/>
        <v>🟢 No Evento</v>
      </c>
    </row>
    <row r="553" ht="15.75" customHeight="1">
      <c r="A553" s="13"/>
      <c r="B553" s="198" t="s">
        <v>511</v>
      </c>
      <c r="C553" s="199" t="str">
        <f t="array" ref="C553">IF(B553="","",IFERROR(INDEX('FUNCIONÁRIOS'!$B$4:$B$501,MATCH(B553,'FUNCIONÁRIOS'!$C$4:$C$501,0)),""))</f>
        <v>GO TO </v>
      </c>
      <c r="D553" s="199" t="str">
        <f t="array" ref="D553">IF(B553="","",IFERROR(INDEX('FUNCIONÁRIOS'!$D$4:$D$501,MATCH(B553,'FUNCIONÁRIOS'!$C$4:$C$501,0)),""))</f>
        <v>Montador</v>
      </c>
      <c r="E553" s="199" t="str">
        <f t="array" ref="E553">IF(B553="","",IFERROR(INDEX('FUNCIONÁRIOS'!$E$4:$E$501,MATCH(B553,'FUNCIONÁRIOS'!$C$4:$C$501,0)),""))</f>
        <v>NÃO</v>
      </c>
      <c r="F553" s="138">
        <v>46168.0</v>
      </c>
      <c r="G553" s="195" t="str">
        <f t="shared" si="38"/>
        <v>✅ 09:17</v>
      </c>
      <c r="H553" s="200" t="s">
        <v>1798</v>
      </c>
      <c r="I553" s="197" t="str">
        <f t="shared" si="39"/>
        <v>→ Selecione a linha e use o menu ⏱️ Ponto</v>
      </c>
      <c r="J553" s="181"/>
      <c r="K553" s="182"/>
      <c r="L553" s="122" t="str">
        <f t="shared" si="40"/>
        <v>🟢 No Evento</v>
      </c>
    </row>
    <row r="554" ht="15.75" customHeight="1">
      <c r="A554" s="13"/>
      <c r="B554" s="193" t="s">
        <v>540</v>
      </c>
      <c r="C554" s="194" t="str">
        <f t="array" ref="C554">IF(B554="","",IFERROR(INDEX('FUNCIONÁRIOS'!$B$4:$B$501,MATCH(B554,'FUNCIONÁRIOS'!$C$4:$C$501,0)),""))</f>
        <v>LATINO </v>
      </c>
      <c r="D554" s="194" t="str">
        <f t="array" ref="D554">IF(B554="","",IFERROR(INDEX('FUNCIONÁRIOS'!$D$4:$D$501,MATCH(B554,'FUNCIONÁRIOS'!$C$4:$C$501,0)),""))</f>
        <v>CARREGADOR </v>
      </c>
      <c r="E554" s="194" t="str">
        <f t="array" ref="E554">IF(B554="","",IFERROR(INDEX('FUNCIONÁRIOS'!$E$4:$E$501,MATCH(B554,'FUNCIONÁRIOS'!$C$4:$C$501,0)),""))</f>
        <v>NÃO</v>
      </c>
      <c r="F554" s="138">
        <v>46168.0</v>
      </c>
      <c r="G554" s="195" t="str">
        <f t="shared" si="38"/>
        <v>✅ 09:17</v>
      </c>
      <c r="H554" s="196" t="s">
        <v>1798</v>
      </c>
      <c r="I554" s="197" t="str">
        <f t="shared" si="39"/>
        <v>✅ 19:39</v>
      </c>
      <c r="J554" s="174" t="s">
        <v>1799</v>
      </c>
      <c r="K554" s="175">
        <v>0.4319444444444444</v>
      </c>
      <c r="L554" s="119" t="str">
        <f t="shared" si="40"/>
        <v>✅ Finalizado</v>
      </c>
    </row>
    <row r="555" ht="15.75" customHeight="1">
      <c r="A555" s="13"/>
      <c r="B555" s="198" t="s">
        <v>711</v>
      </c>
      <c r="C555" s="199" t="str">
        <f t="array" ref="C555">IF(B555="","",IFERROR(INDEX('FUNCIONÁRIOS'!$B$4:$B$501,MATCH(B555,'FUNCIONÁRIOS'!$C$4:$C$501,0)),""))</f>
        <v>FABINHO EVENTOS </v>
      </c>
      <c r="D555" s="199" t="str">
        <f t="array" ref="D555">IF(B555="","",IFERROR(INDEX('FUNCIONÁRIOS'!$D$4:$D$501,MATCH(B555,'FUNCIONÁRIOS'!$C$4:$C$501,0)),""))</f>
        <v>GERENTE </v>
      </c>
      <c r="E555" s="199" t="str">
        <f t="array" ref="E555">IF(B555="","",IFERROR(INDEX('FUNCIONÁRIOS'!$E$4:$E$501,MATCH(B555,'FUNCIONÁRIOS'!$C$4:$C$501,0)),""))</f>
        <v>NÃO</v>
      </c>
      <c r="F555" s="138">
        <v>46168.0</v>
      </c>
      <c r="G555" s="195" t="str">
        <f t="shared" si="38"/>
        <v>✅ 09:19</v>
      </c>
      <c r="H555" s="200" t="s">
        <v>1800</v>
      </c>
      <c r="I555" s="197" t="str">
        <f t="shared" si="39"/>
        <v>→ Selecione a linha e use o menu ⏱️ Ponto</v>
      </c>
      <c r="J555" s="181"/>
      <c r="K555" s="182"/>
      <c r="L555" s="122" t="str">
        <f t="shared" si="40"/>
        <v>🟢 No Evento</v>
      </c>
    </row>
    <row r="556" ht="15.75" customHeight="1">
      <c r="A556" s="13"/>
      <c r="B556" s="193" t="s">
        <v>712</v>
      </c>
      <c r="C556" s="194" t="str">
        <f t="array" ref="C556">IF(B556="","",IFERROR(INDEX('FUNCIONÁRIOS'!$B$4:$B$501,MATCH(B556,'FUNCIONÁRIOS'!$C$4:$C$501,0)),""))</f>
        <v>LATINO </v>
      </c>
      <c r="D556" s="194" t="str">
        <f t="array" ref="D556">IF(B556="","",IFERROR(INDEX('FUNCIONÁRIOS'!$D$4:$D$501,MATCH(B556,'FUNCIONÁRIOS'!$C$4:$C$501,0)),""))</f>
        <v>MONTADOR </v>
      </c>
      <c r="E556" s="194" t="str">
        <f t="array" ref="E556">IF(B556="","",IFERROR(INDEX('FUNCIONÁRIOS'!$E$4:$E$501,MATCH(B556,'FUNCIONÁRIOS'!$C$4:$C$501,0)),""))</f>
        <v>NÃO</v>
      </c>
      <c r="F556" s="138">
        <v>46168.0</v>
      </c>
      <c r="G556" s="195" t="str">
        <f t="shared" si="38"/>
        <v>✅ 09:20</v>
      </c>
      <c r="H556" s="196" t="s">
        <v>1801</v>
      </c>
      <c r="I556" s="197" t="str">
        <f t="shared" si="39"/>
        <v>✅ 19:39</v>
      </c>
      <c r="J556" s="174" t="s">
        <v>1799</v>
      </c>
      <c r="K556" s="175">
        <v>0.4298611111111111</v>
      </c>
      <c r="L556" s="119" t="str">
        <f t="shared" si="40"/>
        <v>✅ Finalizado</v>
      </c>
    </row>
    <row r="557" ht="15.75" customHeight="1">
      <c r="A557" s="13"/>
      <c r="B557" s="198" t="s">
        <v>713</v>
      </c>
      <c r="C557" s="199" t="str">
        <f t="array" ref="C557">IF(B557="","",IFERROR(INDEX('FUNCIONÁRIOS'!$B$4:$B$501,MATCH(B557,'FUNCIONÁRIOS'!$C$4:$C$501,0)),""))</f>
        <v>LATINO </v>
      </c>
      <c r="D557" s="199" t="str">
        <f t="array" ref="D557">IF(B557="","",IFERROR(INDEX('FUNCIONÁRIOS'!$D$4:$D$501,MATCH(B557,'FUNCIONÁRIOS'!$C$4:$C$501,0)),""))</f>
        <v>CARREGADOR </v>
      </c>
      <c r="E557" s="199" t="str">
        <f t="array" ref="E557">IF(B557="","",IFERROR(INDEX('FUNCIONÁRIOS'!$E$4:$E$501,MATCH(B557,'FUNCIONÁRIOS'!$C$4:$C$501,0)),""))</f>
        <v>NÃO</v>
      </c>
      <c r="F557" s="138">
        <v>46168.0</v>
      </c>
      <c r="G557" s="195" t="str">
        <f t="shared" si="38"/>
        <v>✅ 09:21</v>
      </c>
      <c r="H557" s="200" t="s">
        <v>1802</v>
      </c>
      <c r="I557" s="197" t="str">
        <f t="shared" si="39"/>
        <v>✅ 19:40</v>
      </c>
      <c r="J557" s="176" t="s">
        <v>1803</v>
      </c>
      <c r="K557" s="177">
        <v>0.4298611111111111</v>
      </c>
      <c r="L557" s="122" t="str">
        <f t="shared" si="40"/>
        <v>✅ Finalizado</v>
      </c>
    </row>
    <row r="558" ht="15.75" customHeight="1">
      <c r="A558" s="13"/>
      <c r="B558" s="193" t="s">
        <v>317</v>
      </c>
      <c r="C558" s="194" t="str">
        <f t="array" ref="C558">IF(B558="","",IFERROR(INDEX('FUNCIONÁRIOS'!$B$4:$B$501,MATCH(B558,'FUNCIONÁRIOS'!$C$4:$C$501,0)),""))</f>
        <v>EL SHADDAI</v>
      </c>
      <c r="D558" s="194" t="str">
        <f t="array" ref="D558">IF(B558="","",IFERROR(INDEX('FUNCIONÁRIOS'!$D$4:$D$501,MATCH(B558,'FUNCIONÁRIOS'!$C$4:$C$501,0)),""))</f>
        <v>Montador</v>
      </c>
      <c r="E558" s="194" t="str">
        <f t="array" ref="E558">IF(B558="","",IFERROR(INDEX('FUNCIONÁRIOS'!$E$4:$E$501,MATCH(B558,'FUNCIONÁRIOS'!$C$4:$C$501,0)),""))</f>
        <v>NÃO</v>
      </c>
      <c r="F558" s="138">
        <v>46168.0</v>
      </c>
      <c r="G558" s="195" t="str">
        <f t="shared" si="38"/>
        <v>✅ 09:21</v>
      </c>
      <c r="H558" s="196" t="s">
        <v>1802</v>
      </c>
      <c r="I558" s="197" t="str">
        <f t="shared" si="39"/>
        <v>✅ 17:39</v>
      </c>
      <c r="J558" s="174" t="s">
        <v>1780</v>
      </c>
      <c r="K558" s="175">
        <v>0.3458333333333334</v>
      </c>
      <c r="L558" s="119" t="str">
        <f t="shared" si="40"/>
        <v>✅ Finalizado</v>
      </c>
    </row>
    <row r="559" ht="15.75" customHeight="1">
      <c r="A559" s="13"/>
      <c r="B559" s="198" t="s">
        <v>490</v>
      </c>
      <c r="C559" s="199" t="str">
        <f t="array" ref="C559">IF(B559="","",IFERROR(INDEX('FUNCIONÁRIOS'!$B$4:$B$501,MATCH(B559,'FUNCIONÁRIOS'!$C$4:$C$501,0)),""))</f>
        <v>EL SHADDAI</v>
      </c>
      <c r="D559" s="199" t="str">
        <f t="array" ref="D559">IF(B559="","",IFERROR(INDEX('FUNCIONÁRIOS'!$D$4:$D$501,MATCH(B559,'FUNCIONÁRIOS'!$C$4:$C$501,0)),""))</f>
        <v>Montador</v>
      </c>
      <c r="E559" s="199" t="str">
        <f t="array" ref="E559">IF(B559="","",IFERROR(INDEX('FUNCIONÁRIOS'!$E$4:$E$501,MATCH(B559,'FUNCIONÁRIOS'!$C$4:$C$501,0)),""))</f>
        <v>NÃO</v>
      </c>
      <c r="F559" s="138">
        <v>46168.0</v>
      </c>
      <c r="G559" s="195" t="str">
        <f t="shared" si="38"/>
        <v>✅ 09:22</v>
      </c>
      <c r="H559" s="200" t="s">
        <v>1686</v>
      </c>
      <c r="I559" s="197" t="str">
        <f t="shared" si="39"/>
        <v>✅ 17:40</v>
      </c>
      <c r="J559" s="176" t="s">
        <v>1795</v>
      </c>
      <c r="K559" s="177">
        <v>0.3458333333333334</v>
      </c>
      <c r="L559" s="122" t="str">
        <f t="shared" si="40"/>
        <v>✅ Finalizado</v>
      </c>
    </row>
    <row r="560" ht="15.75" customHeight="1">
      <c r="A560" s="13"/>
      <c r="B560" s="193" t="s">
        <v>236</v>
      </c>
      <c r="C560" s="194" t="str">
        <f t="array" ref="C560">IF(B560="","",IFERROR(INDEX('FUNCIONÁRIOS'!$B$4:$B$501,MATCH(B560,'FUNCIONÁRIOS'!$C$4:$C$501,0)),""))</f>
        <v>EL SHADDAI</v>
      </c>
      <c r="D560" s="194" t="str">
        <f t="array" ref="D560">IF(B560="","",IFERROR(INDEX('FUNCIONÁRIOS'!$D$4:$D$501,MATCH(B560,'FUNCIONÁRIOS'!$C$4:$C$501,0)),""))</f>
        <v>SOLDADOR </v>
      </c>
      <c r="E560" s="194" t="str">
        <f t="array" ref="E560">IF(B560="","",IFERROR(INDEX('FUNCIONÁRIOS'!$E$4:$E$501,MATCH(B560,'FUNCIONÁRIOS'!$C$4:$C$501,0)),""))</f>
        <v>NÃO</v>
      </c>
      <c r="F560" s="138">
        <v>46168.0</v>
      </c>
      <c r="G560" s="195" t="str">
        <f t="shared" si="38"/>
        <v>✅ 09:22</v>
      </c>
      <c r="H560" s="196" t="s">
        <v>1686</v>
      </c>
      <c r="I560" s="197" t="str">
        <f t="shared" si="39"/>
        <v>✅ 17:40</v>
      </c>
      <c r="J560" s="174" t="s">
        <v>1795</v>
      </c>
      <c r="K560" s="175">
        <v>0.3458333333333334</v>
      </c>
      <c r="L560" s="119" t="str">
        <f t="shared" si="40"/>
        <v>✅ Finalizado</v>
      </c>
    </row>
    <row r="561" ht="15.75" customHeight="1">
      <c r="A561" s="13"/>
      <c r="B561" s="198" t="s">
        <v>539</v>
      </c>
      <c r="C561" s="199" t="str">
        <f t="array" ref="C561">IF(B561="","",IFERROR(INDEX('FUNCIONÁRIOS'!$B$4:$B$501,MATCH(B561,'FUNCIONÁRIOS'!$C$4:$C$501,0)),""))</f>
        <v>LATINO </v>
      </c>
      <c r="D561" s="199" t="str">
        <f t="array" ref="D561">IF(B561="","",IFERROR(INDEX('FUNCIONÁRIOS'!$D$4:$D$501,MATCH(B561,'FUNCIONÁRIOS'!$C$4:$C$501,0)),""))</f>
        <v>CARREGADOR </v>
      </c>
      <c r="E561" s="199" t="str">
        <f t="array" ref="E561">IF(B561="","",IFERROR(INDEX('FUNCIONÁRIOS'!$E$4:$E$501,MATCH(B561,'FUNCIONÁRIOS'!$C$4:$C$501,0)),""))</f>
        <v>NÃO</v>
      </c>
      <c r="F561" s="138">
        <v>46168.0</v>
      </c>
      <c r="G561" s="195" t="str">
        <f t="shared" si="38"/>
        <v>✅ 09:22</v>
      </c>
      <c r="H561" s="200" t="s">
        <v>1686</v>
      </c>
      <c r="I561" s="197" t="str">
        <f t="shared" si="39"/>
        <v>→ Selecione a linha e use o menu ⏱️ Ponto</v>
      </c>
      <c r="J561" s="181"/>
      <c r="K561" s="182"/>
      <c r="L561" s="122" t="str">
        <f t="shared" si="40"/>
        <v>🟢 No Evento</v>
      </c>
    </row>
    <row r="562" ht="15.75" customHeight="1">
      <c r="A562" s="13"/>
      <c r="B562" s="193" t="s">
        <v>714</v>
      </c>
      <c r="C562" s="194" t="str">
        <f t="array" ref="C562">IF(B562="","",IFERROR(INDEX('FUNCIONÁRIOS'!$B$4:$B$501,MATCH(B562,'FUNCIONÁRIOS'!$C$4:$C$501,0)),""))</f>
        <v>EL SHADDAI</v>
      </c>
      <c r="D562" s="194" t="str">
        <f t="array" ref="D562">IF(B562="","",IFERROR(INDEX('FUNCIONÁRIOS'!$D$4:$D$501,MATCH(B562,'FUNCIONÁRIOS'!$C$4:$C$501,0)),""))</f>
        <v>GERENTE CCOMERCIA </v>
      </c>
      <c r="E562" s="194" t="str">
        <f t="array" ref="E562">IF(B562="","",IFERROR(INDEX('FUNCIONÁRIOS'!$E$4:$E$501,MATCH(B562,'FUNCIONÁRIOS'!$C$4:$C$501,0)),""))</f>
        <v>NÃO</v>
      </c>
      <c r="F562" s="138">
        <v>46168.0</v>
      </c>
      <c r="G562" s="195" t="str">
        <f t="shared" si="38"/>
        <v>✅ 09:23</v>
      </c>
      <c r="H562" s="196" t="s">
        <v>1688</v>
      </c>
      <c r="I562" s="197" t="str">
        <f t="shared" si="39"/>
        <v>→ Selecione a linha e use o menu ⏱️ Ponto</v>
      </c>
      <c r="J562" s="180"/>
      <c r="K562" s="179"/>
      <c r="L562" s="119" t="str">
        <f t="shared" si="40"/>
        <v>🟢 No Evento</v>
      </c>
    </row>
    <row r="563" ht="15.75" customHeight="1">
      <c r="A563" s="13"/>
      <c r="B563" s="198" t="s">
        <v>716</v>
      </c>
      <c r="C563" s="199" t="str">
        <f t="array" ref="C563">IF(B563="","",IFERROR(INDEX('FUNCIONÁRIOS'!$B$4:$B$501,MATCH(B563,'FUNCIONÁRIOS'!$C$4:$C$501,0)),""))</f>
        <v>MINAS PIPOCA </v>
      </c>
      <c r="D563" s="199" t="str">
        <f t="array" ref="D563">IF(B563="","",IFERROR(INDEX('FUNCIONÁRIOS'!$D$4:$D$501,MATCH(B563,'FUNCIONÁRIOS'!$C$4:$C$501,0)),""))</f>
        <v>COORDENADOR </v>
      </c>
      <c r="E563" s="199" t="str">
        <f t="array" ref="E563">IF(B563="","",IFERROR(INDEX('FUNCIONÁRIOS'!$E$4:$E$501,MATCH(B563,'FUNCIONÁRIOS'!$C$4:$C$501,0)),""))</f>
        <v>NÃO</v>
      </c>
      <c r="F563" s="138">
        <v>46168.0</v>
      </c>
      <c r="G563" s="195" t="str">
        <f t="shared" si="38"/>
        <v>✅ 09:24</v>
      </c>
      <c r="H563" s="200" t="s">
        <v>1804</v>
      </c>
      <c r="I563" s="197" t="str">
        <f t="shared" si="39"/>
        <v>→ Selecione a linha e use o menu ⏱️ Ponto</v>
      </c>
      <c r="J563" s="181"/>
      <c r="K563" s="182"/>
      <c r="L563" s="122" t="str">
        <f t="shared" si="40"/>
        <v>🟢 No Evento</v>
      </c>
    </row>
    <row r="564" ht="15.75" customHeight="1">
      <c r="A564" s="13"/>
      <c r="B564" s="193" t="s">
        <v>718</v>
      </c>
      <c r="C564" s="194" t="str">
        <f t="array" ref="C564">IF(B564="","",IFERROR(INDEX('FUNCIONÁRIOS'!$B$4:$B$501,MATCH(B564,'FUNCIONÁRIOS'!$C$4:$C$501,0)),""))</f>
        <v>GOYA</v>
      </c>
      <c r="D564" s="194" t="str">
        <f t="array" ref="D564">IF(B564="","",IFERROR(INDEX('FUNCIONÁRIOS'!$D$4:$D$501,MATCH(B564,'FUNCIONÁRIOS'!$C$4:$C$501,0)),""))</f>
        <v>MOTORISTA </v>
      </c>
      <c r="E564" s="194" t="str">
        <f t="array" ref="E564">IF(B564="","",IFERROR(INDEX('FUNCIONÁRIOS'!$E$4:$E$501,MATCH(B564,'FUNCIONÁRIOS'!$C$4:$C$501,0)),""))</f>
        <v>NÃO</v>
      </c>
      <c r="F564" s="138">
        <v>46168.0</v>
      </c>
      <c r="G564" s="195" t="str">
        <f t="shared" si="38"/>
        <v>✅ 09:26</v>
      </c>
      <c r="H564" s="196" t="s">
        <v>1805</v>
      </c>
      <c r="I564" s="197" t="str">
        <f t="shared" si="39"/>
        <v>→ Selecione a linha e use o menu ⏱️ Ponto</v>
      </c>
      <c r="J564" s="180"/>
      <c r="K564" s="179"/>
      <c r="L564" s="119" t="str">
        <f t="shared" si="40"/>
        <v>🟢 No Evento</v>
      </c>
    </row>
    <row r="565" ht="15.75" customHeight="1">
      <c r="A565" s="13"/>
      <c r="B565" s="198" t="s">
        <v>719</v>
      </c>
      <c r="C565" s="199" t="str">
        <f t="array" ref="C565">IF(B565="","",IFERROR(INDEX('FUNCIONÁRIOS'!$B$4:$B$501,MATCH(B565,'FUNCIONÁRIOS'!$C$4:$C$501,0)),""))</f>
        <v>GOYA</v>
      </c>
      <c r="D565" s="199" t="str">
        <f t="array" ref="D565">IF(B565="","",IFERROR(INDEX('FUNCIONÁRIOS'!$D$4:$D$501,MATCH(B565,'FUNCIONÁRIOS'!$C$4:$C$501,0)),""))</f>
        <v>MOTORISTA </v>
      </c>
      <c r="E565" s="199" t="str">
        <f t="array" ref="E565">IF(B565="","",IFERROR(INDEX('FUNCIONÁRIOS'!$E$4:$E$501,MATCH(B565,'FUNCIONÁRIOS'!$C$4:$C$501,0)),""))</f>
        <v>NÃO</v>
      </c>
      <c r="F565" s="138">
        <v>46168.0</v>
      </c>
      <c r="G565" s="195" t="str">
        <f t="shared" si="38"/>
        <v>✅ 09:28</v>
      </c>
      <c r="H565" s="200" t="s">
        <v>1806</v>
      </c>
      <c r="I565" s="197" t="str">
        <f t="shared" si="39"/>
        <v>→ Selecione a linha e use o menu ⏱️ Ponto</v>
      </c>
      <c r="J565" s="180"/>
      <c r="K565" s="179"/>
      <c r="L565" s="119" t="str">
        <f t="shared" si="40"/>
        <v>🟢 No Evento</v>
      </c>
    </row>
    <row r="566" ht="15.75" customHeight="1">
      <c r="A566" s="13"/>
      <c r="B566" s="193" t="s">
        <v>720</v>
      </c>
      <c r="C566" s="194" t="str">
        <f t="array" ref="C566">IF(B566="","",IFERROR(INDEX('FUNCIONÁRIOS'!$B$4:$B$501,MATCH(B566,'FUNCIONÁRIOS'!$C$4:$C$501,0)),""))</f>
        <v>LINQ </v>
      </c>
      <c r="D566" s="194" t="str">
        <f t="array" ref="D566">IF(B566="","",IFERROR(INDEX('FUNCIONÁRIOS'!$D$4:$D$501,MATCH(B566,'FUNCIONÁRIOS'!$C$4:$C$501,0)),""))</f>
        <v>TECNICO DE INTERNET </v>
      </c>
      <c r="E566" s="194" t="str">
        <f t="array" ref="E566">IF(B566="","",IFERROR(INDEX('FUNCIONÁRIOS'!$E$4:$E$501,MATCH(B566,'FUNCIONÁRIOS'!$C$4:$C$501,0)),""))</f>
        <v>NÃO</v>
      </c>
      <c r="F566" s="138">
        <v>46168.0</v>
      </c>
      <c r="G566" s="195" t="str">
        <f t="shared" si="38"/>
        <v>✅ 09:30</v>
      </c>
      <c r="H566" s="196" t="s">
        <v>1807</v>
      </c>
      <c r="I566" s="197" t="str">
        <f t="shared" si="39"/>
        <v>→ Selecione a linha e use o menu ⏱️ Ponto</v>
      </c>
      <c r="J566" s="181"/>
      <c r="K566" s="182"/>
      <c r="L566" s="122" t="str">
        <f t="shared" si="40"/>
        <v>🟢 No Evento</v>
      </c>
    </row>
    <row r="567" ht="15.75" customHeight="1">
      <c r="A567" s="13"/>
      <c r="B567" s="198" t="s">
        <v>722</v>
      </c>
      <c r="C567" s="199" t="str">
        <f t="array" ref="C567">IF(B567="","",IFERROR(INDEX('FUNCIONÁRIOS'!$B$4:$B$501,MATCH(B567,'FUNCIONÁRIOS'!$C$4:$C$501,0)),""))</f>
        <v>LINQ </v>
      </c>
      <c r="D567" s="199" t="str">
        <f t="array" ref="D567">IF(B567="","",IFERROR(INDEX('FUNCIONÁRIOS'!$D$4:$D$501,MATCH(B567,'FUNCIONÁRIOS'!$C$4:$C$501,0)),""))</f>
        <v>SUPERVISOR ADE MARKETING </v>
      </c>
      <c r="E567" s="199" t="str">
        <f t="array" ref="E567">IF(B567="","",IFERROR(INDEX('FUNCIONÁRIOS'!$E$4:$E$501,MATCH(B567,'FUNCIONÁRIOS'!$C$4:$C$501,0)),""))</f>
        <v>NÃO</v>
      </c>
      <c r="F567" s="138">
        <v>46168.0</v>
      </c>
      <c r="G567" s="195" t="str">
        <f t="shared" si="38"/>
        <v>✅ 09:31</v>
      </c>
      <c r="H567" s="200" t="s">
        <v>1808</v>
      </c>
      <c r="I567" s="197" t="str">
        <f t="shared" si="39"/>
        <v>→ Selecione a linha e use o menu ⏱️ Ponto</v>
      </c>
      <c r="J567" s="180"/>
      <c r="K567" s="179"/>
      <c r="L567" s="119" t="str">
        <f t="shared" si="40"/>
        <v>🟢 No Evento</v>
      </c>
    </row>
    <row r="568" ht="15.75" customHeight="1">
      <c r="A568" s="13"/>
      <c r="B568" s="193" t="s">
        <v>724</v>
      </c>
      <c r="C568" s="194" t="str">
        <f t="array" ref="C568">IF(B568="","",IFERROR(INDEX('FUNCIONÁRIOS'!$B$4:$B$501,MATCH(B568,'FUNCIONÁRIOS'!$C$4:$C$501,0)),""))</f>
        <v>LINQ </v>
      </c>
      <c r="D568" s="194" t="str">
        <f t="array" ref="D568">IF(B568="","",IFERROR(INDEX('FUNCIONÁRIOS'!$D$4:$D$501,MATCH(B568,'FUNCIONÁRIOS'!$C$4:$C$501,0)),""))</f>
        <v>ASSISTENTE DE MARKETING </v>
      </c>
      <c r="E568" s="194" t="str">
        <f t="array" ref="E568">IF(B568="","",IFERROR(INDEX('FUNCIONÁRIOS'!$E$4:$E$501,MATCH(B568,'FUNCIONÁRIOS'!$C$4:$C$501,0)),""))</f>
        <v>NÃO</v>
      </c>
      <c r="F568" s="138">
        <v>46168.0</v>
      </c>
      <c r="G568" s="195" t="str">
        <f t="shared" si="38"/>
        <v>✅ 09:32</v>
      </c>
      <c r="H568" s="196" t="s">
        <v>1809</v>
      </c>
      <c r="I568" s="197" t="str">
        <f t="shared" si="39"/>
        <v>→ Selecione a linha e use o menu ⏱️ Ponto</v>
      </c>
      <c r="J568" s="181"/>
      <c r="K568" s="182"/>
      <c r="L568" s="122" t="str">
        <f t="shared" si="40"/>
        <v>🟢 No Evento</v>
      </c>
    </row>
    <row r="569" ht="15.75" customHeight="1">
      <c r="A569" s="13"/>
      <c r="B569" s="198" t="s">
        <v>726</v>
      </c>
      <c r="C569" s="199" t="str">
        <f t="array" ref="C569">IF(B569="","",IFERROR(INDEX('FUNCIONÁRIOS'!$B$4:$B$501,MATCH(B569,'FUNCIONÁRIOS'!$C$4:$C$501,0)),""))</f>
        <v>LINQ </v>
      </c>
      <c r="D569" s="199" t="str">
        <f t="array" ref="D569">IF(B569="","",IFERROR(INDEX('FUNCIONÁRIOS'!$D$4:$D$501,MATCH(B569,'FUNCIONÁRIOS'!$C$4:$C$501,0)),""))</f>
        <v>AUXILIAR DE TECNICO </v>
      </c>
      <c r="E569" s="199" t="str">
        <f t="array" ref="E569">IF(B569="","",IFERROR(INDEX('FUNCIONÁRIOS'!$E$4:$E$501,MATCH(B569,'FUNCIONÁRIOS'!$C$4:$C$501,0)),""))</f>
        <v>NÃO</v>
      </c>
      <c r="F569" s="138">
        <v>46168.0</v>
      </c>
      <c r="G569" s="195" t="str">
        <f t="shared" si="38"/>
        <v>✅ 09:34</v>
      </c>
      <c r="H569" s="200" t="s">
        <v>1810</v>
      </c>
      <c r="I569" s="197" t="str">
        <f t="shared" si="39"/>
        <v>→ Selecione a linha e use o menu ⏱️ Ponto</v>
      </c>
      <c r="J569" s="180"/>
      <c r="K569" s="179"/>
      <c r="L569" s="119" t="str">
        <f t="shared" si="40"/>
        <v>🟢 No Evento</v>
      </c>
    </row>
    <row r="570" ht="15.75" customHeight="1">
      <c r="A570" s="13"/>
      <c r="B570" s="193" t="s">
        <v>654</v>
      </c>
      <c r="C570" s="194" t="str">
        <f t="array" ref="C570">IF(B570="","",IFERROR(INDEX('FUNCIONÁRIOS'!$B$4:$B$501,MATCH(B570,'FUNCIONÁRIOS'!$C$4:$C$501,0)),""))</f>
        <v>STUDIO K MULTI EVENTOS LTDA </v>
      </c>
      <c r="D570" s="194" t="str">
        <f t="array" ref="D570">IF(B570="","",IFERROR(INDEX('FUNCIONÁRIOS'!$D$4:$D$501,MATCH(B570,'FUNCIONÁRIOS'!$C$4:$C$501,0)),""))</f>
        <v>TECNICO EM SONORIZAÇÃO</v>
      </c>
      <c r="E570" s="194" t="str">
        <f t="array" ref="E570">IF(B570="","",IFERROR(INDEX('FUNCIONÁRIOS'!$E$4:$E$501,MATCH(B570,'FUNCIONÁRIOS'!$C$4:$C$501,0)),""))</f>
        <v>NÃO</v>
      </c>
      <c r="F570" s="138">
        <v>46168.0</v>
      </c>
      <c r="G570" s="195" t="str">
        <f t="shared" si="38"/>
        <v>✅ 09:34</v>
      </c>
      <c r="H570" s="196" t="s">
        <v>1810</v>
      </c>
      <c r="I570" s="197" t="str">
        <f t="shared" si="39"/>
        <v>→ Selecione a linha e use o menu ⏱️ Ponto</v>
      </c>
      <c r="J570" s="181"/>
      <c r="K570" s="182"/>
      <c r="L570" s="122" t="str">
        <f t="shared" si="40"/>
        <v>🟢 No Evento</v>
      </c>
    </row>
    <row r="571" ht="15.75" customHeight="1">
      <c r="A571" s="13"/>
      <c r="B571" s="198" t="s">
        <v>728</v>
      </c>
      <c r="C571" s="199" t="str">
        <f t="array" ref="C571">IF(B571="","",IFERROR(INDEX('FUNCIONÁRIOS'!$B$4:$B$501,MATCH(B571,'FUNCIONÁRIOS'!$C$4:$C$501,0)),""))</f>
        <v>LINQ </v>
      </c>
      <c r="D571" s="199" t="str">
        <f t="array" ref="D571">IF(B571="","",IFERROR(INDEX('FUNCIONÁRIOS'!$D$4:$D$501,MATCH(B571,'FUNCIONÁRIOS'!$C$4:$C$501,0)),""))</f>
        <v>AUXILIA DE TECNICO </v>
      </c>
      <c r="E571" s="199" t="str">
        <f t="array" ref="E571">IF(B571="","",IFERROR(INDEX('FUNCIONÁRIOS'!$E$4:$E$501,MATCH(B571,'FUNCIONÁRIOS'!$C$4:$C$501,0)),""))</f>
        <v>NÃO</v>
      </c>
      <c r="F571" s="138">
        <v>46168.0</v>
      </c>
      <c r="G571" s="195" t="str">
        <f t="shared" si="38"/>
        <v>✅ 09:35</v>
      </c>
      <c r="H571" s="200" t="s">
        <v>1692</v>
      </c>
      <c r="I571" s="197" t="str">
        <f t="shared" si="39"/>
        <v>→ Selecione a linha e use o menu ⏱️ Ponto</v>
      </c>
      <c r="J571" s="180"/>
      <c r="K571" s="179"/>
      <c r="L571" s="119" t="str">
        <f t="shared" si="40"/>
        <v>🟢 No Evento</v>
      </c>
    </row>
    <row r="572" ht="15.75" customHeight="1">
      <c r="A572" s="13"/>
      <c r="B572" s="193" t="s">
        <v>730</v>
      </c>
      <c r="C572" s="194" t="str">
        <f t="array" ref="C572">IF(B572="","",IFERROR(INDEX('FUNCIONÁRIOS'!$B$4:$B$501,MATCH(B572,'FUNCIONÁRIOS'!$C$4:$C$501,0)),""))</f>
        <v>FABINHO EVENTOS </v>
      </c>
      <c r="D572" s="194" t="str">
        <f t="array" ref="D572">IF(B572="","",IFERROR(INDEX('FUNCIONÁRIOS'!$D$4:$D$501,MATCH(B572,'FUNCIONÁRIOS'!$C$4:$C$501,0)),""))</f>
        <v>MONTADOR DE BAR </v>
      </c>
      <c r="E572" s="194" t="str">
        <f t="array" ref="E572">IF(B572="","",IFERROR(INDEX('FUNCIONÁRIOS'!$E$4:$E$501,MATCH(B572,'FUNCIONÁRIOS'!$C$4:$C$501,0)),""))</f>
        <v>NÃO</v>
      </c>
      <c r="F572" s="138">
        <v>46168.0</v>
      </c>
      <c r="G572" s="195" t="str">
        <f t="shared" si="38"/>
        <v>✅ 09:36</v>
      </c>
      <c r="H572" s="196" t="s">
        <v>1694</v>
      </c>
      <c r="I572" s="197" t="str">
        <f t="shared" si="39"/>
        <v>✅ 21:58</v>
      </c>
      <c r="J572" s="176" t="s">
        <v>1811</v>
      </c>
      <c r="K572" s="177">
        <v>0.5152777777777777</v>
      </c>
      <c r="L572" s="122" t="str">
        <f t="shared" si="40"/>
        <v>✅ Finalizado</v>
      </c>
    </row>
    <row r="573" ht="15.75" customHeight="1">
      <c r="A573" s="13"/>
      <c r="B573" s="198" t="s">
        <v>453</v>
      </c>
      <c r="C573" s="199" t="str">
        <f t="array" ref="C573">IF(B573="","",IFERROR(INDEX('FUNCIONÁRIOS'!$B$4:$B$501,MATCH(B573,'FUNCIONÁRIOS'!$C$4:$C$501,0)),""))</f>
        <v>GYN EVENTS</v>
      </c>
      <c r="D573" s="199" t="str">
        <f t="array" ref="D573">IF(B573="","",IFERROR(INDEX('FUNCIONÁRIOS'!$D$4:$D$501,MATCH(B573,'FUNCIONÁRIOS'!$C$4:$C$501,0)),""))</f>
        <v>Carregador</v>
      </c>
      <c r="E573" s="199" t="str">
        <f t="array" ref="E573">IF(B573="","",IFERROR(INDEX('FUNCIONÁRIOS'!$E$4:$E$501,MATCH(B573,'FUNCIONÁRIOS'!$C$4:$C$501,0)),""))</f>
        <v>SIM</v>
      </c>
      <c r="F573" s="138">
        <v>46168.0</v>
      </c>
      <c r="G573" s="195" t="str">
        <f t="shared" si="38"/>
        <v>✅ 09:37</v>
      </c>
      <c r="H573" s="200" t="s">
        <v>1696</v>
      </c>
      <c r="I573" s="197" t="str">
        <f t="shared" si="39"/>
        <v>→ Selecione a linha e use o menu ⏱️ Ponto</v>
      </c>
      <c r="J573" s="180"/>
      <c r="K573" s="179"/>
      <c r="L573" s="119" t="str">
        <f t="shared" si="40"/>
        <v>🟢 No Evento</v>
      </c>
    </row>
    <row r="574" ht="15.75" customHeight="1">
      <c r="A574" s="13"/>
      <c r="B574" s="193" t="s">
        <v>410</v>
      </c>
      <c r="C574" s="194" t="str">
        <f t="array" ref="C574">IF(B574="","",IFERROR(INDEX('FUNCIONÁRIOS'!$B$4:$B$501,MATCH(B574,'FUNCIONÁRIOS'!$C$4:$C$501,0)),""))</f>
        <v>GO TO </v>
      </c>
      <c r="D574" s="194" t="str">
        <f t="array" ref="D574">IF(B574="","",IFERROR(INDEX('FUNCIONÁRIOS'!$D$4:$D$501,MATCH(B574,'FUNCIONÁRIOS'!$C$4:$C$501,0)),""))</f>
        <v>ARQUITETO</v>
      </c>
      <c r="E574" s="194" t="str">
        <f t="array" ref="E574">IF(B574="","",IFERROR(INDEX('FUNCIONÁRIOS'!$E$4:$E$501,MATCH(B574,'FUNCIONÁRIOS'!$C$4:$C$501,0)),""))</f>
        <v>NÃO</v>
      </c>
      <c r="F574" s="138">
        <v>46168.0</v>
      </c>
      <c r="G574" s="195" t="str">
        <f t="shared" si="38"/>
        <v>✅ 09:38</v>
      </c>
      <c r="H574" s="196" t="s">
        <v>1812</v>
      </c>
      <c r="I574" s="197" t="str">
        <f t="shared" si="39"/>
        <v>→ Selecione a linha e use o menu ⏱️ Ponto</v>
      </c>
      <c r="J574" s="181"/>
      <c r="K574" s="182"/>
      <c r="L574" s="122" t="str">
        <f t="shared" si="40"/>
        <v>🟢 No Evento</v>
      </c>
    </row>
    <row r="575" ht="15.75" customHeight="1">
      <c r="A575" s="13"/>
      <c r="B575" s="198" t="s">
        <v>636</v>
      </c>
      <c r="C575" s="199" t="str">
        <f t="array" ref="C575">IF(B575="","",IFERROR(INDEX('FUNCIONÁRIOS'!$B$4:$B$501,MATCH(B575,'FUNCIONÁRIOS'!$C$4:$C$501,0)),""))</f>
        <v>STUDIO K MULTI EVENTOS LTDA </v>
      </c>
      <c r="D575" s="199" t="str">
        <f t="array" ref="D575">IF(B575="","",IFERROR(INDEX('FUNCIONÁRIOS'!$D$4:$D$501,MATCH(B575,'FUNCIONÁRIOS'!$C$4:$C$501,0)),""))</f>
        <v>CONTRA-REGRA</v>
      </c>
      <c r="E575" s="199" t="str">
        <f t="array" ref="E575">IF(B575="","",IFERROR(INDEX('FUNCIONÁRIOS'!$E$4:$E$501,MATCH(B575,'FUNCIONÁRIOS'!$C$4:$C$501,0)),""))</f>
        <v>NÃO</v>
      </c>
      <c r="F575" s="138">
        <v>46168.0</v>
      </c>
      <c r="G575" s="195" t="str">
        <f t="shared" si="38"/>
        <v>✅ 09:39</v>
      </c>
      <c r="H575" s="200" t="s">
        <v>1698</v>
      </c>
      <c r="I575" s="197" t="str">
        <f t="shared" si="39"/>
        <v>→ Selecione a linha e use o menu ⏱️ Ponto</v>
      </c>
      <c r="J575" s="180"/>
      <c r="K575" s="179"/>
      <c r="L575" s="119" t="str">
        <f t="shared" si="40"/>
        <v>🟢 No Evento</v>
      </c>
    </row>
    <row r="576" ht="15.75" customHeight="1">
      <c r="A576" s="13"/>
      <c r="B576" s="193" t="s">
        <v>732</v>
      </c>
      <c r="C576" s="194" t="str">
        <f t="array" ref="C576">IF(B576="","",IFERROR(INDEX('FUNCIONÁRIOS'!$B$4:$B$501,MATCH(B576,'FUNCIONÁRIOS'!$C$4:$C$501,0)),""))</f>
        <v>LATINO </v>
      </c>
      <c r="D576" s="194" t="str">
        <f t="array" ref="D576">IF(B576="","",IFERROR(INDEX('FUNCIONÁRIOS'!$D$4:$D$501,MATCH(B576,'FUNCIONÁRIOS'!$C$4:$C$501,0)),""))</f>
        <v>CARREGADOR </v>
      </c>
      <c r="E576" s="194" t="str">
        <f t="array" ref="E576">IF(B576="","",IFERROR(INDEX('FUNCIONÁRIOS'!$E$4:$E$501,MATCH(B576,'FUNCIONÁRIOS'!$C$4:$C$501,0)),""))</f>
        <v>NÃO</v>
      </c>
      <c r="F576" s="138">
        <v>46168.0</v>
      </c>
      <c r="G576" s="195" t="str">
        <f t="shared" si="38"/>
        <v>✅ 09:40</v>
      </c>
      <c r="H576" s="196" t="s">
        <v>1700</v>
      </c>
      <c r="I576" s="197" t="str">
        <f t="shared" si="39"/>
        <v>✅ 19:40</v>
      </c>
      <c r="J576" s="176" t="s">
        <v>1803</v>
      </c>
      <c r="K576" s="177">
        <v>0.41666666666666663</v>
      </c>
      <c r="L576" s="122" t="str">
        <f t="shared" si="40"/>
        <v>✅ Finalizado</v>
      </c>
    </row>
    <row r="577" ht="15.75" customHeight="1">
      <c r="A577" s="13"/>
      <c r="B577" s="198" t="s">
        <v>733</v>
      </c>
      <c r="C577" s="199" t="str">
        <f t="array" ref="C577">IF(B577="","",IFERROR(INDEX('FUNCIONÁRIOS'!$B$4:$B$501,MATCH(B577,'FUNCIONÁRIOS'!$C$4:$C$501,0)),""))</f>
        <v>LATINO </v>
      </c>
      <c r="D577" s="199" t="str">
        <f t="array" ref="D577">IF(B577="","",IFERROR(INDEX('FUNCIONÁRIOS'!$D$4:$D$501,MATCH(B577,'FUNCIONÁRIOS'!$C$4:$C$501,0)),""))</f>
        <v>CARREGADOR </v>
      </c>
      <c r="E577" s="199" t="str">
        <f t="array" ref="E577">IF(B577="","",IFERROR(INDEX('FUNCIONÁRIOS'!$E$4:$E$501,MATCH(B577,'FUNCIONÁRIOS'!$C$4:$C$501,0)),""))</f>
        <v>NÃO</v>
      </c>
      <c r="F577" s="138">
        <v>46168.0</v>
      </c>
      <c r="G577" s="195" t="str">
        <f t="shared" si="38"/>
        <v>✅ 09:42</v>
      </c>
      <c r="H577" s="200" t="s">
        <v>1703</v>
      </c>
      <c r="I577" s="197" t="str">
        <f t="shared" si="39"/>
        <v>✅ 18:28</v>
      </c>
      <c r="J577" s="174" t="s">
        <v>1813</v>
      </c>
      <c r="K577" s="175">
        <v>0.3652777777777778</v>
      </c>
      <c r="L577" s="119" t="str">
        <f t="shared" si="40"/>
        <v>✅ Finalizado</v>
      </c>
    </row>
    <row r="578" ht="15.75" customHeight="1">
      <c r="A578" s="13"/>
      <c r="B578" s="193" t="s">
        <v>625</v>
      </c>
      <c r="C578" s="194" t="str">
        <f t="array" ref="C578">IF(B578="","",IFERROR(INDEX('FUNCIONÁRIOS'!$B$4:$B$501,MATCH(B578,'FUNCIONÁRIOS'!$C$4:$C$501,0)),""))</f>
        <v>STUDIO K MULTI EVENTOS LTDA </v>
      </c>
      <c r="D578" s="194" t="str">
        <f t="array" ref="D578">IF(B578="","",IFERROR(INDEX('FUNCIONÁRIOS'!$D$4:$D$501,MATCH(B578,'FUNCIONÁRIOS'!$C$4:$C$501,0)),""))</f>
        <v>TECNICO EM SONORIZAÇÃO</v>
      </c>
      <c r="E578" s="194" t="str">
        <f t="array" ref="E578">IF(B578="","",IFERROR(INDEX('FUNCIONÁRIOS'!$E$4:$E$501,MATCH(B578,'FUNCIONÁRIOS'!$C$4:$C$501,0)),""))</f>
        <v>NÃO</v>
      </c>
      <c r="F578" s="138">
        <v>46168.0</v>
      </c>
      <c r="G578" s="195" t="str">
        <f t="shared" si="38"/>
        <v>✅ 09:43</v>
      </c>
      <c r="H578" s="196" t="s">
        <v>1814</v>
      </c>
      <c r="I578" s="197" t="str">
        <f t="shared" si="39"/>
        <v>✅ 13:20</v>
      </c>
      <c r="J578" s="176" t="s">
        <v>1815</v>
      </c>
      <c r="K578" s="177">
        <v>0.15069444444444446</v>
      </c>
      <c r="L578" s="122" t="str">
        <f t="shared" si="40"/>
        <v>✅ Finalizado</v>
      </c>
    </row>
    <row r="579" ht="15.75" customHeight="1">
      <c r="A579" s="13"/>
      <c r="B579" s="198" t="s">
        <v>530</v>
      </c>
      <c r="C579" s="199" t="str">
        <f t="array" ref="C579">IF(B579="","",IFERROR(INDEX('FUNCIONÁRIOS'!$B$4:$B$501,MATCH(B579,'FUNCIONÁRIOS'!$C$4:$C$501,0)),""))</f>
        <v>SHOWNEWS</v>
      </c>
      <c r="D579" s="199" t="str">
        <f t="array" ref="D579">IF(B579="","",IFERROR(INDEX('FUNCIONÁRIOS'!$D$4:$D$501,MATCH(B579,'FUNCIONÁRIOS'!$C$4:$C$501,0)),""))</f>
        <v>Montador</v>
      </c>
      <c r="E579" s="199" t="str">
        <f t="array" ref="E579">IF(B579="","",IFERROR(INDEX('FUNCIONÁRIOS'!$E$4:$E$501,MATCH(B579,'FUNCIONÁRIOS'!$C$4:$C$501,0)),""))</f>
        <v>NÃO</v>
      </c>
      <c r="F579" s="138">
        <v>46168.0</v>
      </c>
      <c r="G579" s="195" t="str">
        <f t="shared" si="38"/>
        <v>✅ 09:43</v>
      </c>
      <c r="H579" s="200" t="s">
        <v>1814</v>
      </c>
      <c r="I579" s="197" t="str">
        <f t="shared" si="39"/>
        <v>✅ 13:20</v>
      </c>
      <c r="J579" s="174" t="s">
        <v>1815</v>
      </c>
      <c r="K579" s="175">
        <v>0.15069444444444446</v>
      </c>
      <c r="L579" s="119" t="str">
        <f t="shared" si="40"/>
        <v>✅ Finalizado</v>
      </c>
    </row>
    <row r="580" ht="15.75" customHeight="1">
      <c r="A580" s="13"/>
      <c r="B580" s="193" t="s">
        <v>734</v>
      </c>
      <c r="C580" s="194" t="str">
        <f t="array" ref="C580">IF(B580="","",IFERROR(INDEX('FUNCIONÁRIOS'!$B$4:$B$501,MATCH(B580,'FUNCIONÁRIOS'!$C$4:$C$501,0)),""))</f>
        <v>SHOWNEWS</v>
      </c>
      <c r="D580" s="194" t="str">
        <f t="array" ref="D580">IF(B580="","",IFERROR(INDEX('FUNCIONÁRIOS'!$D$4:$D$501,MATCH(B580,'FUNCIONÁRIOS'!$C$4:$C$501,0)),""))</f>
        <v>MONTADOR </v>
      </c>
      <c r="E580" s="194" t="str">
        <f t="array" ref="E580">IF(B580="","",IFERROR(INDEX('FUNCIONÁRIOS'!$E$4:$E$501,MATCH(B580,'FUNCIONÁRIOS'!$C$4:$C$501,0)),""))</f>
        <v>NÃO</v>
      </c>
      <c r="F580" s="138">
        <v>46168.0</v>
      </c>
      <c r="G580" s="195" t="str">
        <f t="shared" si="38"/>
        <v>✅ 09:44</v>
      </c>
      <c r="H580" s="196" t="s">
        <v>1816</v>
      </c>
      <c r="I580" s="197" t="str">
        <f t="shared" si="39"/>
        <v>→ Selecione a linha e use o menu ⏱️ Ponto</v>
      </c>
      <c r="J580" s="181"/>
      <c r="K580" s="182"/>
      <c r="L580" s="122" t="str">
        <f t="shared" si="40"/>
        <v>🟢 No Evento</v>
      </c>
    </row>
    <row r="581" ht="15.75" customHeight="1">
      <c r="A581" s="13"/>
      <c r="B581" s="198" t="s">
        <v>633</v>
      </c>
      <c r="C581" s="199" t="str">
        <f t="array" ref="C581">IF(B581="","",IFERROR(INDEX('FUNCIONÁRIOS'!$B$4:$B$501,MATCH(B581,'FUNCIONÁRIOS'!$C$4:$C$501,0)),""))</f>
        <v>STUDIO K MULTI EVENTOS LTDA </v>
      </c>
      <c r="D581" s="199" t="str">
        <f t="array" ref="D581">IF(B581="","",IFERROR(INDEX('FUNCIONÁRIOS'!$D$4:$D$501,MATCH(B581,'FUNCIONÁRIOS'!$C$4:$C$501,0)),""))</f>
        <v>CONTRA-REGRA</v>
      </c>
      <c r="E581" s="199" t="str">
        <f t="array" ref="E581">IF(B581="","",IFERROR(INDEX('FUNCIONÁRIOS'!$E$4:$E$501,MATCH(B581,'FUNCIONÁRIOS'!$C$4:$C$501,0)),""))</f>
        <v>NÃO</v>
      </c>
      <c r="F581" s="138">
        <v>46168.0</v>
      </c>
      <c r="G581" s="195" t="str">
        <f t="shared" si="38"/>
        <v>✅ 09:45</v>
      </c>
      <c r="H581" s="200" t="s">
        <v>1817</v>
      </c>
      <c r="I581" s="197" t="str">
        <f t="shared" si="39"/>
        <v>→ Selecione a linha e use o menu ⏱️ Ponto</v>
      </c>
      <c r="J581" s="180"/>
      <c r="K581" s="179"/>
      <c r="L581" s="119" t="str">
        <f t="shared" si="40"/>
        <v>🟢 No Evento</v>
      </c>
    </row>
    <row r="582" ht="15.75" customHeight="1">
      <c r="A582" s="13"/>
      <c r="B582" s="193" t="s">
        <v>735</v>
      </c>
      <c r="C582" s="194" t="str">
        <f t="array" ref="C582">IF(B582="","",IFERROR(INDEX('FUNCIONÁRIOS'!$B$4:$B$501,MATCH(B582,'FUNCIONÁRIOS'!$C$4:$C$501,0)),""))</f>
        <v>LATINO </v>
      </c>
      <c r="D582" s="194" t="str">
        <f t="array" ref="D582">IF(B582="","",IFERROR(INDEX('FUNCIONÁRIOS'!$D$4:$D$501,MATCH(B582,'FUNCIONÁRIOS'!$C$4:$C$501,0)),""))</f>
        <v>CARREGADOR </v>
      </c>
      <c r="E582" s="194" t="str">
        <f t="array" ref="E582">IF(B582="","",IFERROR(INDEX('FUNCIONÁRIOS'!$E$4:$E$501,MATCH(B582,'FUNCIONÁRIOS'!$C$4:$C$501,0)),""))</f>
        <v>NÃO</v>
      </c>
      <c r="F582" s="138">
        <v>46168.0</v>
      </c>
      <c r="G582" s="195" t="str">
        <f t="shared" si="38"/>
        <v>✅ 09:47</v>
      </c>
      <c r="H582" s="196" t="s">
        <v>1818</v>
      </c>
      <c r="I582" s="197" t="str">
        <f t="shared" si="39"/>
        <v>✅ 19:40</v>
      </c>
      <c r="J582" s="176" t="s">
        <v>1803</v>
      </c>
      <c r="K582" s="177">
        <v>0.41180555555555554</v>
      </c>
      <c r="L582" s="122" t="str">
        <f t="shared" si="40"/>
        <v>✅ Finalizado</v>
      </c>
    </row>
    <row r="583" ht="15.75" customHeight="1">
      <c r="A583" s="13"/>
      <c r="B583" s="198" t="s">
        <v>736</v>
      </c>
      <c r="C583" s="199" t="str">
        <f t="array" ref="C583">IF(B583="","",IFERROR(INDEX('FUNCIONÁRIOS'!$B$4:$B$501,MATCH(B583,'FUNCIONÁRIOS'!$C$4:$C$501,0)),""))</f>
        <v>LATINO </v>
      </c>
      <c r="D583" s="199" t="str">
        <f t="array" ref="D583">IF(B583="","",IFERROR(INDEX('FUNCIONÁRIOS'!$D$4:$D$501,MATCH(B583,'FUNCIONÁRIOS'!$C$4:$C$501,0)),""))</f>
        <v>CARREGADOR </v>
      </c>
      <c r="E583" s="199" t="str">
        <f t="array" ref="E583">IF(B583="","",IFERROR(INDEX('FUNCIONÁRIOS'!$E$4:$E$501,MATCH(B583,'FUNCIONÁRIOS'!$C$4:$C$501,0)),""))</f>
        <v>NÃO</v>
      </c>
      <c r="F583" s="138">
        <v>46168.0</v>
      </c>
      <c r="G583" s="195" t="str">
        <f t="shared" si="38"/>
        <v>✅ 09:48</v>
      </c>
      <c r="H583" s="200" t="s">
        <v>1819</v>
      </c>
      <c r="I583" s="197" t="str">
        <f t="shared" si="39"/>
        <v>✅ 19:02</v>
      </c>
      <c r="J583" s="174" t="s">
        <v>1820</v>
      </c>
      <c r="K583" s="175">
        <v>0.3847222222222222</v>
      </c>
      <c r="L583" s="119" t="str">
        <f t="shared" si="40"/>
        <v>✅ Finalizado</v>
      </c>
    </row>
    <row r="584" ht="15.75" customHeight="1">
      <c r="A584" s="13"/>
      <c r="B584" s="193" t="s">
        <v>254</v>
      </c>
      <c r="C584" s="194" t="str">
        <f t="array" ref="C584">IF(B584="","",IFERROR(INDEX('FUNCIONÁRIOS'!$B$4:$B$501,MATCH(B584,'FUNCIONÁRIOS'!$C$4:$C$501,0)),""))</f>
        <v>GO TO </v>
      </c>
      <c r="D584" s="194" t="str">
        <f t="array" ref="D584">IF(B584="","",IFERROR(INDEX('FUNCIONÁRIOS'!$D$4:$D$501,MATCH(B584,'FUNCIONÁRIOS'!$C$4:$C$501,0)),""))</f>
        <v>DIRETOR </v>
      </c>
      <c r="E584" s="194" t="str">
        <f t="array" ref="E584">IF(B584="","",IFERROR(INDEX('FUNCIONÁRIOS'!$E$4:$E$501,MATCH(B584,'FUNCIONÁRIOS'!$C$4:$C$501,0)),""))</f>
        <v>NÃO</v>
      </c>
      <c r="F584" s="138">
        <v>46168.0</v>
      </c>
      <c r="G584" s="202" t="s">
        <v>1821</v>
      </c>
      <c r="H584" s="196" t="s">
        <v>1822</v>
      </c>
      <c r="I584" s="197" t="str">
        <f t="shared" si="39"/>
        <v>→ Selecione a linha e use o menu ⏱️ Ponto</v>
      </c>
      <c r="J584" s="180"/>
      <c r="K584" s="179"/>
      <c r="L584" s="119" t="str">
        <f t="shared" si="40"/>
        <v>🟢 No Evento</v>
      </c>
    </row>
    <row r="585" ht="15.75" customHeight="1">
      <c r="A585" s="13"/>
      <c r="B585" s="198" t="s">
        <v>198</v>
      </c>
      <c r="C585" s="199" t="str">
        <f t="array" ref="C585">IF(B585="","",IFERROR(INDEX('FUNCIONÁRIOS'!$B$4:$B$501,MATCH(B585,'FUNCIONÁRIOS'!$C$4:$C$501,0)),""))</f>
        <v/>
      </c>
      <c r="D585" s="199" t="str">
        <f t="array" ref="D585">IF(B585="","",IFERROR(INDEX('FUNCIONÁRIOS'!$D$4:$D$501,MATCH(B585,'FUNCIONÁRIOS'!$C$4:$C$501,0)),""))</f>
        <v>GERENTE </v>
      </c>
      <c r="E585" s="199" t="str">
        <f t="array" ref="E585">IF(B585="","",IFERROR(INDEX('FUNCIONÁRIOS'!$E$4:$E$501,MATCH(B585,'FUNCIONÁRIOS'!$C$4:$C$501,0)),""))</f>
        <v>NÃO</v>
      </c>
      <c r="F585" s="138">
        <v>46168.0</v>
      </c>
      <c r="G585" s="195" t="str">
        <f t="shared" ref="G585:G672" si="41">IF(H585&lt;&gt;"","✅ "&amp;TEXT(H585,"HH:MM"),"→ Selecione a linha e use o menu ⏱️ Ponto")</f>
        <v>✅ 09:50</v>
      </c>
      <c r="H585" s="200" t="s">
        <v>1823</v>
      </c>
      <c r="I585" s="197" t="str">
        <f t="shared" si="39"/>
        <v>→ Selecione a linha e use o menu ⏱️ Ponto</v>
      </c>
      <c r="J585" s="181"/>
      <c r="K585" s="182"/>
      <c r="L585" s="122" t="str">
        <f t="shared" si="40"/>
        <v>🟢 No Evento</v>
      </c>
    </row>
    <row r="586" ht="15.75" customHeight="1">
      <c r="A586" s="13"/>
      <c r="B586" s="193" t="s">
        <v>661</v>
      </c>
      <c r="C586" s="194" t="str">
        <f t="array" ref="C586">IF(B586="","",IFERROR(INDEX('FUNCIONÁRIOS'!$B$4:$B$501,MATCH(B586,'FUNCIONÁRIOS'!$C$4:$C$501,0)),""))</f>
        <v>UP MUSIC </v>
      </c>
      <c r="D586" s="194" t="str">
        <f t="array" ref="D586">IF(B586="","",IFERROR(INDEX('FUNCIONÁRIOS'!$D$4:$D$501,MATCH(B586,'FUNCIONÁRIOS'!$C$4:$C$501,0)),""))</f>
        <v>PRODUTOR </v>
      </c>
      <c r="E586" s="194" t="str">
        <f t="array" ref="E586">IF(B586="","",IFERROR(INDEX('FUNCIONÁRIOS'!$E$4:$E$501,MATCH(B586,'FUNCIONÁRIOS'!$C$4:$C$501,0)),""))</f>
        <v>NÃO</v>
      </c>
      <c r="F586" s="138">
        <v>46168.0</v>
      </c>
      <c r="G586" s="195" t="str">
        <f t="shared" si="41"/>
        <v>✅ 09:52</v>
      </c>
      <c r="H586" s="196" t="s">
        <v>1611</v>
      </c>
      <c r="I586" s="197" t="str">
        <f t="shared" si="39"/>
        <v>→ Selecione a linha e use o menu ⏱️ Ponto</v>
      </c>
      <c r="J586" s="180"/>
      <c r="K586" s="179"/>
      <c r="L586" s="119" t="str">
        <f t="shared" si="40"/>
        <v>🟢 No Evento</v>
      </c>
    </row>
    <row r="587" ht="15.75" customHeight="1">
      <c r="A587" s="13"/>
      <c r="B587" s="198" t="s">
        <v>196</v>
      </c>
      <c r="C587" s="199" t="str">
        <f t="array" ref="C587">IF(B587="","",IFERROR(INDEX('FUNCIONÁRIOS'!$B$4:$B$501,MATCH(B587,'FUNCIONÁRIOS'!$C$4:$C$501,0)),""))</f>
        <v>ASSOCIAÇÃO ASSUNÇÃO </v>
      </c>
      <c r="D587" s="199" t="str">
        <f t="array" ref="D587">IF(B587="","",IFERROR(INDEX('FUNCIONÁRIOS'!$D$4:$D$501,MATCH(B587,'FUNCIONÁRIOS'!$C$4:$C$501,0)),""))</f>
        <v>ADMINISTRATIVO </v>
      </c>
      <c r="E587" s="199" t="str">
        <f t="array" ref="E587">IF(B587="","",IFERROR(INDEX('FUNCIONÁRIOS'!$E$4:$E$501,MATCH(B587,'FUNCIONÁRIOS'!$C$4:$C$501,0)),""))</f>
        <v>SIM</v>
      </c>
      <c r="F587" s="138">
        <v>46168.0</v>
      </c>
      <c r="G587" s="195" t="str">
        <f t="shared" si="41"/>
        <v>✅ 09:52</v>
      </c>
      <c r="H587" s="200" t="s">
        <v>1611</v>
      </c>
      <c r="I587" s="197" t="str">
        <f t="shared" si="39"/>
        <v>→ Selecione a linha e use o menu ⏱️ Ponto</v>
      </c>
      <c r="J587" s="181"/>
      <c r="K587" s="182"/>
      <c r="L587" s="122" t="str">
        <f t="shared" si="40"/>
        <v>🟢 No Evento</v>
      </c>
    </row>
    <row r="588" ht="15.75" customHeight="1">
      <c r="A588" s="13"/>
      <c r="B588" s="193" t="s">
        <v>737</v>
      </c>
      <c r="C588" s="194" t="str">
        <f t="array" ref="C588">IF(B588="","",IFERROR(INDEX('FUNCIONÁRIOS'!$B$4:$B$501,MATCH(B588,'FUNCIONÁRIOS'!$C$4:$C$501,0)),""))</f>
        <v/>
      </c>
      <c r="D588" s="194" t="str">
        <f t="array" ref="D588">IF(B588="","",IFERROR(INDEX('FUNCIONÁRIOS'!$D$4:$D$501,MATCH(B588,'FUNCIONÁRIOS'!$C$4:$C$501,0)),""))</f>
        <v>ADVOGADO </v>
      </c>
      <c r="E588" s="194" t="str">
        <f t="array" ref="E588">IF(B588="","",IFERROR(INDEX('FUNCIONÁRIOS'!$E$4:$E$501,MATCH(B588,'FUNCIONÁRIOS'!$C$4:$C$501,0)),""))</f>
        <v>NÃO</v>
      </c>
      <c r="F588" s="138">
        <v>46168.0</v>
      </c>
      <c r="G588" s="195" t="str">
        <f t="shared" si="41"/>
        <v>✅ 09:55</v>
      </c>
      <c r="H588" s="196" t="s">
        <v>1824</v>
      </c>
      <c r="I588" s="197" t="str">
        <f t="shared" si="39"/>
        <v>→ Selecione a linha e use o menu ⏱️ Ponto</v>
      </c>
      <c r="J588" s="180"/>
      <c r="K588" s="179"/>
      <c r="L588" s="119" t="str">
        <f t="shared" si="40"/>
        <v>🟢 No Evento</v>
      </c>
    </row>
    <row r="589" ht="15.75" customHeight="1">
      <c r="A589" s="13"/>
      <c r="B589" s="198" t="s">
        <v>738</v>
      </c>
      <c r="C589" s="199" t="str">
        <f t="array" ref="C589">IF(B589="","",IFERROR(INDEX('FUNCIONÁRIOS'!$B$4:$B$501,MATCH(B589,'FUNCIONÁRIOS'!$C$4:$C$501,0)),""))</f>
        <v>LINQ </v>
      </c>
      <c r="D589" s="199" t="str">
        <f t="array" ref="D589">IF(B589="","",IFERROR(INDEX('FUNCIONÁRIOS'!$D$4:$D$501,MATCH(B589,'FUNCIONÁRIOS'!$C$4:$C$501,0)),""))</f>
        <v>TECNICO DE INTERNET </v>
      </c>
      <c r="E589" s="199" t="str">
        <f t="array" ref="E589">IF(B589="","",IFERROR(INDEX('FUNCIONÁRIOS'!$E$4:$E$501,MATCH(B589,'FUNCIONÁRIOS'!$C$4:$C$501,0)),""))</f>
        <v>NÃO</v>
      </c>
      <c r="F589" s="138">
        <v>46168.0</v>
      </c>
      <c r="G589" s="195" t="str">
        <f t="shared" si="41"/>
        <v>✅ 09:57</v>
      </c>
      <c r="H589" s="200" t="s">
        <v>1825</v>
      </c>
      <c r="I589" s="197" t="str">
        <f t="shared" si="39"/>
        <v>→ Selecione a linha e use o menu ⏱️ Ponto</v>
      </c>
      <c r="J589" s="181"/>
      <c r="K589" s="182"/>
      <c r="L589" s="122" t="str">
        <f t="shared" si="40"/>
        <v>🟢 No Evento</v>
      </c>
    </row>
    <row r="590" ht="15.75" customHeight="1">
      <c r="A590" s="13"/>
      <c r="B590" s="193" t="s">
        <v>739</v>
      </c>
      <c r="C590" s="194" t="str">
        <f t="array" ref="C590">IF(B590="","",IFERROR(INDEX('FUNCIONÁRIOS'!$B$4:$B$501,MATCH(B590,'FUNCIONÁRIOS'!$C$4:$C$501,0)),""))</f>
        <v>LINQ </v>
      </c>
      <c r="D590" s="194" t="str">
        <f t="array" ref="D590">IF(B590="","",IFERROR(INDEX('FUNCIONÁRIOS'!$D$4:$D$501,MATCH(B590,'FUNCIONÁRIOS'!$C$4:$C$501,0)),""))</f>
        <v>TECNICO DE INTERNET </v>
      </c>
      <c r="E590" s="194" t="str">
        <f t="array" ref="E590">IF(B590="","",IFERROR(INDEX('FUNCIONÁRIOS'!$E$4:$E$501,MATCH(B590,'FUNCIONÁRIOS'!$C$4:$C$501,0)),""))</f>
        <v>NÃO</v>
      </c>
      <c r="F590" s="138">
        <v>46168.0</v>
      </c>
      <c r="G590" s="195" t="str">
        <f t="shared" si="41"/>
        <v>✅ 09:58</v>
      </c>
      <c r="H590" s="196" t="s">
        <v>1826</v>
      </c>
      <c r="I590" s="197" t="str">
        <f t="shared" si="39"/>
        <v>→ Selecione a linha e use o menu ⏱️ Ponto</v>
      </c>
      <c r="J590" s="180"/>
      <c r="K590" s="179"/>
      <c r="L590" s="119" t="str">
        <f t="shared" si="40"/>
        <v>🟢 No Evento</v>
      </c>
    </row>
    <row r="591" ht="15.75" customHeight="1">
      <c r="A591" s="13"/>
      <c r="B591" s="198" t="s">
        <v>740</v>
      </c>
      <c r="C591" s="199" t="str">
        <f t="array" ref="C591">IF(B591="","",IFERROR(INDEX('FUNCIONÁRIOS'!$B$4:$B$501,MATCH(B591,'FUNCIONÁRIOS'!$C$4:$C$501,0)),""))</f>
        <v>LINQ </v>
      </c>
      <c r="D591" s="199" t="str">
        <f t="array" ref="D591">IF(B591="","",IFERROR(INDEX('FUNCIONÁRIOS'!$D$4:$D$501,MATCH(B591,'FUNCIONÁRIOS'!$C$4:$C$501,0)),""))</f>
        <v>TECNICO DE INTERNET </v>
      </c>
      <c r="E591" s="199" t="str">
        <f t="array" ref="E591">IF(B591="","",IFERROR(INDEX('FUNCIONÁRIOS'!$E$4:$E$501,MATCH(B591,'FUNCIONÁRIOS'!$C$4:$C$501,0)),""))</f>
        <v>NÃO</v>
      </c>
      <c r="F591" s="138">
        <v>46168.0</v>
      </c>
      <c r="G591" s="195" t="str">
        <f t="shared" si="41"/>
        <v>✅ 09:59</v>
      </c>
      <c r="H591" s="200" t="s">
        <v>1827</v>
      </c>
      <c r="I591" s="197" t="str">
        <f t="shared" si="39"/>
        <v>→ Selecione a linha e use o menu ⏱️ Ponto</v>
      </c>
      <c r="J591" s="181"/>
      <c r="K591" s="182"/>
      <c r="L591" s="122" t="str">
        <f t="shared" si="40"/>
        <v>🟢 No Evento</v>
      </c>
    </row>
    <row r="592" ht="15.75" customHeight="1">
      <c r="A592" s="13"/>
      <c r="B592" s="193" t="s">
        <v>642</v>
      </c>
      <c r="C592" s="194" t="str">
        <f t="array" ref="C592">IF(B592="","",IFERROR(INDEX('FUNCIONÁRIOS'!$B$4:$B$501,MATCH(B592,'FUNCIONÁRIOS'!$C$4:$C$501,0)),""))</f>
        <v>STUDIO K MULTI EVENTOS LTDA </v>
      </c>
      <c r="D592" s="194" t="str">
        <f t="array" ref="D592">IF(B592="","",IFERROR(INDEX('FUNCIONÁRIOS'!$D$4:$D$501,MATCH(B592,'FUNCIONÁRIOS'!$C$4:$C$501,0)),""))</f>
        <v>TECNICO EM SONORIZAÇÃO</v>
      </c>
      <c r="E592" s="194" t="str">
        <f t="array" ref="E592">IF(B592="","",IFERROR(INDEX('FUNCIONÁRIOS'!$E$4:$E$501,MATCH(B592,'FUNCIONÁRIOS'!$C$4:$C$501,0)),""))</f>
        <v>NÃO</v>
      </c>
      <c r="F592" s="138">
        <v>46168.0</v>
      </c>
      <c r="G592" s="195" t="str">
        <f t="shared" si="41"/>
        <v>✅ 10:01</v>
      </c>
      <c r="H592" s="196" t="s">
        <v>1828</v>
      </c>
      <c r="I592" s="197" t="str">
        <f t="shared" si="39"/>
        <v>→ Selecione a linha e use o menu ⏱️ Ponto</v>
      </c>
      <c r="J592" s="180"/>
      <c r="K592" s="179"/>
      <c r="L592" s="119" t="str">
        <f t="shared" si="40"/>
        <v>🟢 No Evento</v>
      </c>
    </row>
    <row r="593" ht="15.75" customHeight="1">
      <c r="A593" s="13"/>
      <c r="B593" s="198" t="s">
        <v>742</v>
      </c>
      <c r="C593" s="199" t="str">
        <f t="array" ref="C593">IF(B593="","",IFERROR(INDEX('FUNCIONÁRIOS'!$B$4:$B$501,MATCH(B593,'FUNCIONÁRIOS'!$C$4:$C$501,0)),""))</f>
        <v>IPRILUX</v>
      </c>
      <c r="D593" s="199" t="str">
        <f t="array" ref="D593">IF(B593="","",IFERROR(INDEX('FUNCIONÁRIOS'!$D$4:$D$501,MATCH(B593,'FUNCIONÁRIOS'!$C$4:$C$501,0)),""))</f>
        <v>LONAS </v>
      </c>
      <c r="E593" s="199" t="str">
        <f t="array" ref="E593">IF(B593="","",IFERROR(INDEX('FUNCIONÁRIOS'!$E$4:$E$501,MATCH(B593,'FUNCIONÁRIOS'!$C$4:$C$501,0)),""))</f>
        <v>NÃO</v>
      </c>
      <c r="F593" s="138">
        <v>46168.0</v>
      </c>
      <c r="G593" s="195" t="str">
        <f t="shared" si="41"/>
        <v>✅ 10:03</v>
      </c>
      <c r="H593" s="200" t="s">
        <v>1636</v>
      </c>
      <c r="I593" s="197" t="str">
        <f t="shared" si="39"/>
        <v>→ Selecione a linha e use o menu ⏱️ Ponto</v>
      </c>
      <c r="J593" s="181"/>
      <c r="K593" s="182"/>
      <c r="L593" s="122" t="str">
        <f t="shared" si="40"/>
        <v>🟢 No Evento</v>
      </c>
    </row>
    <row r="594" ht="15.75" customHeight="1">
      <c r="A594" s="13"/>
      <c r="B594" s="193" t="s">
        <v>526</v>
      </c>
      <c r="C594" s="194" t="str">
        <f t="array" ref="C594">IF(B594="","",IFERROR(INDEX('FUNCIONÁRIOS'!$B$4:$B$501,MATCH(B594,'FUNCIONÁRIOS'!$C$4:$C$501,0)),""))</f>
        <v>SHOWNEWS</v>
      </c>
      <c r="D594" s="194" t="str">
        <f t="array" ref="D594">IF(B594="","",IFERROR(INDEX('FUNCIONÁRIOS'!$D$4:$D$501,MATCH(B594,'FUNCIONÁRIOS'!$C$4:$C$501,0)),""))</f>
        <v>Montador</v>
      </c>
      <c r="E594" s="194" t="str">
        <f t="array" ref="E594">IF(B594="","",IFERROR(INDEX('FUNCIONÁRIOS'!$E$4:$E$501,MATCH(B594,'FUNCIONÁRIOS'!$C$4:$C$501,0)),""))</f>
        <v>NÃO</v>
      </c>
      <c r="F594" s="138">
        <v>46168.0</v>
      </c>
      <c r="G594" s="195" t="str">
        <f t="shared" si="41"/>
        <v>✅ 10:05</v>
      </c>
      <c r="H594" s="196" t="s">
        <v>1638</v>
      </c>
      <c r="I594" s="197" t="str">
        <f t="shared" si="39"/>
        <v>→ Selecione a linha e use o menu ⏱️ Ponto</v>
      </c>
      <c r="J594" s="180"/>
      <c r="K594" s="179"/>
      <c r="L594" s="119" t="str">
        <f t="shared" si="40"/>
        <v>🟢 No Evento</v>
      </c>
    </row>
    <row r="595" ht="15.75" customHeight="1">
      <c r="A595" s="13"/>
      <c r="B595" s="198" t="s">
        <v>444</v>
      </c>
      <c r="C595" s="199" t="str">
        <f t="array" ref="C595">IF(B595="","",IFERROR(INDEX('FUNCIONÁRIOS'!$B$4:$B$501,MATCH(B595,'FUNCIONÁRIOS'!$C$4:$C$501,0)),""))</f>
        <v>SHOWNEWS</v>
      </c>
      <c r="D595" s="199" t="str">
        <f t="array" ref="D595">IF(B595="","",IFERROR(INDEX('FUNCIONÁRIOS'!$D$4:$D$501,MATCH(B595,'FUNCIONÁRIOS'!$C$4:$C$501,0)),""))</f>
        <v>Montador</v>
      </c>
      <c r="E595" s="199" t="str">
        <f t="array" ref="E595">IF(B595="","",IFERROR(INDEX('FUNCIONÁRIOS'!$E$4:$E$501,MATCH(B595,'FUNCIONÁRIOS'!$C$4:$C$501,0)),""))</f>
        <v>NÃO</v>
      </c>
      <c r="F595" s="138">
        <v>46168.0</v>
      </c>
      <c r="G595" s="195" t="str">
        <f t="shared" si="41"/>
        <v>✅ 10:06</v>
      </c>
      <c r="H595" s="200" t="s">
        <v>1704</v>
      </c>
      <c r="I595" s="197" t="str">
        <f t="shared" si="39"/>
        <v>→ Selecione a linha e use o menu ⏱️ Ponto</v>
      </c>
      <c r="J595" s="181"/>
      <c r="K595" s="182"/>
      <c r="L595" s="122" t="str">
        <f t="shared" si="40"/>
        <v>🟢 No Evento</v>
      </c>
    </row>
    <row r="596" ht="15.75" customHeight="1">
      <c r="A596" s="13"/>
      <c r="B596" s="193" t="s">
        <v>744</v>
      </c>
      <c r="C596" s="194" t="str">
        <f t="array" ref="C596">IF(B596="","",IFERROR(INDEX('FUNCIONÁRIOS'!$B$4:$B$501,MATCH(B596,'FUNCIONÁRIOS'!$C$4:$C$501,0)),""))</f>
        <v>PRIVILEGE EVENTOS </v>
      </c>
      <c r="D596" s="194" t="str">
        <f t="array" ref="D596">IF(B596="","",IFERROR(INDEX('FUNCIONÁRIOS'!$D$4:$D$501,MATCH(B596,'FUNCIONÁRIOS'!$C$4:$C$501,0)),""))</f>
        <v>ELETRICISTA </v>
      </c>
      <c r="E596" s="194" t="str">
        <f t="array" ref="E596">IF(B596="","",IFERROR(INDEX('FUNCIONÁRIOS'!$E$4:$E$501,MATCH(B596,'FUNCIONÁRIOS'!$C$4:$C$501,0)),""))</f>
        <v>NÃO</v>
      </c>
      <c r="F596" s="138">
        <v>46168.0</v>
      </c>
      <c r="G596" s="195" t="str">
        <f t="shared" si="41"/>
        <v>✅ 10:08</v>
      </c>
      <c r="H596" s="196" t="s">
        <v>1829</v>
      </c>
      <c r="I596" s="197" t="str">
        <f t="shared" si="39"/>
        <v>→ Selecione a linha e use o menu ⏱️ Ponto</v>
      </c>
      <c r="J596" s="180"/>
      <c r="K596" s="179"/>
      <c r="L596" s="119" t="str">
        <f t="shared" si="40"/>
        <v>🟢 No Evento</v>
      </c>
    </row>
    <row r="597" ht="15.75" customHeight="1">
      <c r="A597" s="13"/>
      <c r="B597" s="198" t="s">
        <v>746</v>
      </c>
      <c r="C597" s="199" t="str">
        <f t="array" ref="C597">IF(B597="","",IFERROR(INDEX('FUNCIONÁRIOS'!$B$4:$B$501,MATCH(B597,'FUNCIONÁRIOS'!$C$4:$C$501,0)),""))</f>
        <v>FLASH MED</v>
      </c>
      <c r="D597" s="199" t="str">
        <f t="array" ref="D597">IF(B597="","",IFERROR(INDEX('FUNCIONÁRIOS'!$D$4:$D$501,MATCH(B597,'FUNCIONÁRIOS'!$C$4:$C$501,0)),""))</f>
        <v>COORDENADORA </v>
      </c>
      <c r="E597" s="199" t="str">
        <f t="array" ref="E597">IF(B597="","",IFERROR(INDEX('FUNCIONÁRIOS'!$E$4:$E$501,MATCH(B597,'FUNCIONÁRIOS'!$C$4:$C$501,0)),""))</f>
        <v>NÃO</v>
      </c>
      <c r="F597" s="138">
        <v>46168.0</v>
      </c>
      <c r="G597" s="195" t="str">
        <f t="shared" si="41"/>
        <v>✅ 10:10</v>
      </c>
      <c r="H597" s="200" t="s">
        <v>1697</v>
      </c>
      <c r="I597" s="197" t="str">
        <f t="shared" si="39"/>
        <v>→ Selecione a linha e use o menu ⏱️ Ponto</v>
      </c>
      <c r="J597" s="181"/>
      <c r="K597" s="182"/>
      <c r="L597" s="122" t="str">
        <f t="shared" si="40"/>
        <v>🟢 No Evento</v>
      </c>
    </row>
    <row r="598" ht="15.75" customHeight="1">
      <c r="A598" s="13"/>
      <c r="B598" s="193" t="s">
        <v>748</v>
      </c>
      <c r="C598" s="194" t="str">
        <f t="array" ref="C598">IF(B598="","",IFERROR(INDEX('FUNCIONÁRIOS'!$B$4:$B$501,MATCH(B598,'FUNCIONÁRIOS'!$C$4:$C$501,0)),""))</f>
        <v/>
      </c>
      <c r="D598" s="194" t="str">
        <f t="array" ref="D598">IF(B598="","",IFERROR(INDEX('FUNCIONÁRIOS'!$D$4:$D$501,MATCH(B598,'FUNCIONÁRIOS'!$C$4:$C$501,0)),""))</f>
        <v>OPERADOR DE MAQUINA </v>
      </c>
      <c r="E598" s="194" t="str">
        <f t="array" ref="E598">IF(B598="","",IFERROR(INDEX('FUNCIONÁRIOS'!$E$4:$E$501,MATCH(B598,'FUNCIONÁRIOS'!$C$4:$C$501,0)),""))</f>
        <v>NÃO</v>
      </c>
      <c r="F598" s="138">
        <v>46168.0</v>
      </c>
      <c r="G598" s="195" t="str">
        <f t="shared" si="41"/>
        <v>✅ 10:12</v>
      </c>
      <c r="H598" s="196" t="s">
        <v>1830</v>
      </c>
      <c r="I598" s="197" t="str">
        <f t="shared" si="39"/>
        <v>→ Selecione a linha e use o menu ⏱️ Ponto</v>
      </c>
      <c r="J598" s="180"/>
      <c r="K598" s="179"/>
      <c r="L598" s="119" t="str">
        <f t="shared" si="40"/>
        <v>🟢 No Evento</v>
      </c>
    </row>
    <row r="599" ht="15.75" customHeight="1">
      <c r="A599" s="13"/>
      <c r="B599" s="198" t="s">
        <v>750</v>
      </c>
      <c r="C599" s="199" t="str">
        <f t="array" ref="C599">IF(B599="","",IFERROR(INDEX('FUNCIONÁRIOS'!$B$4:$B$501,MATCH(B599,'FUNCIONÁRIOS'!$C$4:$C$501,0)),""))</f>
        <v>FLASH MED</v>
      </c>
      <c r="D599" s="199" t="str">
        <f t="array" ref="D599">IF(B599="","",IFERROR(INDEX('FUNCIONÁRIOS'!$D$4:$D$501,MATCH(B599,'FUNCIONÁRIOS'!$C$4:$C$501,0)),""))</f>
        <v>COORDENADOR </v>
      </c>
      <c r="E599" s="199" t="str">
        <f t="array" ref="E599">IF(B599="","",IFERROR(INDEX('FUNCIONÁRIOS'!$E$4:$E$501,MATCH(B599,'FUNCIONÁRIOS'!$C$4:$C$501,0)),""))</f>
        <v>NÃO</v>
      </c>
      <c r="F599" s="138">
        <v>46168.0</v>
      </c>
      <c r="G599" s="195" t="str">
        <f t="shared" si="41"/>
        <v>✅ 10:14</v>
      </c>
      <c r="H599" s="200" t="s">
        <v>1831</v>
      </c>
      <c r="I599" s="197" t="str">
        <f t="shared" si="39"/>
        <v>→ Selecione a linha e use o menu ⏱️ Ponto</v>
      </c>
      <c r="J599" s="181"/>
      <c r="K599" s="182"/>
      <c r="L599" s="122" t="str">
        <f t="shared" si="40"/>
        <v>🟢 No Evento</v>
      </c>
    </row>
    <row r="600" ht="15.75" customHeight="1">
      <c r="A600" s="13"/>
      <c r="B600" s="193" t="s">
        <v>751</v>
      </c>
      <c r="C600" s="194" t="str">
        <f t="array" ref="C600">IF(B600="","",IFERROR(INDEX('FUNCIONÁRIOS'!$B$4:$B$501,MATCH(B600,'FUNCIONÁRIOS'!$C$4:$C$501,0)),""))</f>
        <v>FLASH MED</v>
      </c>
      <c r="D600" s="194" t="str">
        <f t="array" ref="D600">IF(B600="","",IFERROR(INDEX('FUNCIONÁRIOS'!$D$4:$D$501,MATCH(B600,'FUNCIONÁRIOS'!$C$4:$C$501,0)),""))</f>
        <v>SERVIÇOS GERAIS</v>
      </c>
      <c r="E600" s="194" t="str">
        <f t="array" ref="E600">IF(B600="","",IFERROR(INDEX('FUNCIONÁRIOS'!$E$4:$E$501,MATCH(B600,'FUNCIONÁRIOS'!$C$4:$C$501,0)),""))</f>
        <v>NÃO</v>
      </c>
      <c r="F600" s="138">
        <v>46168.0</v>
      </c>
      <c r="G600" s="195" t="str">
        <f t="shared" si="41"/>
        <v>✅ 10:15</v>
      </c>
      <c r="H600" s="196" t="s">
        <v>1832</v>
      </c>
      <c r="I600" s="197" t="str">
        <f t="shared" si="39"/>
        <v>→ Selecione a linha e use o menu ⏱️ Ponto</v>
      </c>
      <c r="J600" s="180"/>
      <c r="K600" s="179"/>
      <c r="L600" s="119" t="str">
        <f t="shared" si="40"/>
        <v>🟢 No Evento</v>
      </c>
    </row>
    <row r="601" ht="15.75" customHeight="1">
      <c r="A601" s="13"/>
      <c r="B601" s="198" t="s">
        <v>432</v>
      </c>
      <c r="C601" s="199" t="str">
        <f t="array" ref="C601">IF(B601="","",IFERROR(INDEX('FUNCIONÁRIOS'!$B$4:$B$501,MATCH(B601,'FUNCIONÁRIOS'!$C$4:$C$501,0)),""))</f>
        <v>SHOWNEWS</v>
      </c>
      <c r="D601" s="199" t="str">
        <f t="array" ref="D601">IF(B601="","",IFERROR(INDEX('FUNCIONÁRIOS'!$D$4:$D$501,MATCH(B601,'FUNCIONÁRIOS'!$C$4:$C$501,0)),""))</f>
        <v>Montador</v>
      </c>
      <c r="E601" s="199" t="str">
        <f t="array" ref="E601">IF(B601="","",IFERROR(INDEX('FUNCIONÁRIOS'!$E$4:$E$501,MATCH(B601,'FUNCIONÁRIOS'!$C$4:$C$501,0)),""))</f>
        <v>NÃO</v>
      </c>
      <c r="F601" s="138">
        <v>46168.0</v>
      </c>
      <c r="G601" s="195" t="str">
        <f t="shared" si="41"/>
        <v>✅ 10:16</v>
      </c>
      <c r="H601" s="200" t="s">
        <v>1833</v>
      </c>
      <c r="I601" s="197" t="str">
        <f t="shared" si="39"/>
        <v>→ Selecione a linha e use o menu ⏱️ Ponto</v>
      </c>
      <c r="J601" s="181"/>
      <c r="K601" s="182"/>
      <c r="L601" s="122" t="str">
        <f t="shared" si="40"/>
        <v>🟢 No Evento</v>
      </c>
    </row>
    <row r="602" ht="15.75" customHeight="1">
      <c r="A602" s="13"/>
      <c r="B602" s="193" t="s">
        <v>440</v>
      </c>
      <c r="C602" s="194" t="str">
        <f t="array" ref="C602">IF(B602="","",IFERROR(INDEX('FUNCIONÁRIOS'!$B$4:$B$501,MATCH(B602,'FUNCIONÁRIOS'!$C$4:$C$501,0)),""))</f>
        <v>SHOWNEWS</v>
      </c>
      <c r="D602" s="194" t="str">
        <f t="array" ref="D602">IF(B602="","",IFERROR(INDEX('FUNCIONÁRIOS'!$D$4:$D$501,MATCH(B602,'FUNCIONÁRIOS'!$C$4:$C$501,0)),""))</f>
        <v>Montador</v>
      </c>
      <c r="E602" s="194" t="str">
        <f t="array" ref="E602">IF(B602="","",IFERROR(INDEX('FUNCIONÁRIOS'!$E$4:$E$501,MATCH(B602,'FUNCIONÁRIOS'!$C$4:$C$501,0)),""))</f>
        <v>NÃO</v>
      </c>
      <c r="F602" s="138">
        <v>46168.0</v>
      </c>
      <c r="G602" s="195" t="str">
        <f t="shared" si="41"/>
        <v>✅ 10:17</v>
      </c>
      <c r="H602" s="196" t="s">
        <v>1834</v>
      </c>
      <c r="I602" s="197" t="str">
        <f t="shared" si="39"/>
        <v>→ Selecione a linha e use o menu ⏱️ Ponto</v>
      </c>
      <c r="J602" s="180"/>
      <c r="K602" s="179"/>
      <c r="L602" s="119" t="str">
        <f t="shared" si="40"/>
        <v>🟢 No Evento</v>
      </c>
    </row>
    <row r="603" ht="15.75" customHeight="1">
      <c r="A603" s="13"/>
      <c r="B603" s="198" t="s">
        <v>753</v>
      </c>
      <c r="C603" s="199" t="str">
        <f t="array" ref="C603">IF(B603="","",IFERROR(INDEX('FUNCIONÁRIOS'!$B$4:$B$501,MATCH(B603,'FUNCIONÁRIOS'!$C$4:$C$501,0)),""))</f>
        <v>LATINO </v>
      </c>
      <c r="D603" s="199" t="str">
        <f t="array" ref="D603">IF(B603="","",IFERROR(INDEX('FUNCIONÁRIOS'!$D$4:$D$501,MATCH(B603,'FUNCIONÁRIOS'!$C$4:$C$501,0)),""))</f>
        <v>ADMINSTRATIVO </v>
      </c>
      <c r="E603" s="199" t="str">
        <f t="array" ref="E603">IF(B603="","",IFERROR(INDEX('FUNCIONÁRIOS'!$E$4:$E$501,MATCH(B603,'FUNCIONÁRIOS'!$C$4:$C$501,0)),""))</f>
        <v>NÃO</v>
      </c>
      <c r="F603" s="138">
        <v>46168.0</v>
      </c>
      <c r="G603" s="195" t="str">
        <f t="shared" si="41"/>
        <v>✅ 10:19</v>
      </c>
      <c r="H603" s="200" t="s">
        <v>1707</v>
      </c>
      <c r="I603" s="197" t="str">
        <f t="shared" si="39"/>
        <v>✅ 17:14</v>
      </c>
      <c r="J603" s="174" t="s">
        <v>1835</v>
      </c>
      <c r="K603" s="175">
        <v>0.2881944444444444</v>
      </c>
      <c r="L603" s="119" t="str">
        <f t="shared" si="40"/>
        <v>✅ Finalizado</v>
      </c>
    </row>
    <row r="604" ht="15.75" customHeight="1">
      <c r="A604" s="13"/>
      <c r="B604" s="193" t="s">
        <v>755</v>
      </c>
      <c r="C604" s="194" t="str">
        <f t="array" ref="C604">IF(B604="","",IFERROR(INDEX('FUNCIONÁRIOS'!$B$4:$B$501,MATCH(B604,'FUNCIONÁRIOS'!$C$4:$C$501,0)),""))</f>
        <v>FLASH MED</v>
      </c>
      <c r="D604" s="194" t="str">
        <f t="array" ref="D604">IF(B604="","",IFERROR(INDEX('FUNCIONÁRIOS'!$D$4:$D$501,MATCH(B604,'FUNCIONÁRIOS'!$C$4:$C$501,0)),""))</f>
        <v>ENFERMEIRA </v>
      </c>
      <c r="E604" s="194" t="str">
        <f t="array" ref="E604">IF(B604="","",IFERROR(INDEX('FUNCIONÁRIOS'!$E$4:$E$501,MATCH(B604,'FUNCIONÁRIOS'!$C$4:$C$501,0)),""))</f>
        <v>NÃO</v>
      </c>
      <c r="F604" s="138">
        <v>46168.0</v>
      </c>
      <c r="G604" s="195" t="str">
        <f t="shared" si="41"/>
        <v>✅ 10:21</v>
      </c>
      <c r="H604" s="196" t="s">
        <v>1836</v>
      </c>
      <c r="I604" s="197" t="str">
        <f t="shared" si="39"/>
        <v>→ Selecione a linha e use o menu ⏱️ Ponto</v>
      </c>
      <c r="J604" s="181"/>
      <c r="K604" s="182"/>
      <c r="L604" s="122" t="str">
        <f t="shared" si="40"/>
        <v>🟢 No Evento</v>
      </c>
    </row>
    <row r="605" ht="15.75" customHeight="1">
      <c r="A605" s="13"/>
      <c r="B605" s="198" t="s">
        <v>203</v>
      </c>
      <c r="C605" s="199" t="str">
        <f t="array" ref="C605">IF(B605="","",IFERROR(INDEX('FUNCIONÁRIOS'!$B$4:$B$501,MATCH(B605,'FUNCIONÁRIOS'!$C$4:$C$501,0)),""))</f>
        <v>FLASH MED</v>
      </c>
      <c r="D605" s="199" t="str">
        <f t="array" ref="D605">IF(B605="","",IFERROR(INDEX('FUNCIONÁRIOS'!$D$4:$D$501,MATCH(B605,'FUNCIONÁRIOS'!$C$4:$C$501,0)),""))</f>
        <v>SOCORRISTA </v>
      </c>
      <c r="E605" s="199" t="str">
        <f t="array" ref="E605">IF(B605="","",IFERROR(INDEX('FUNCIONÁRIOS'!$E$4:$E$501,MATCH(B605,'FUNCIONÁRIOS'!$C$4:$C$501,0)),""))</f>
        <v>NÃO</v>
      </c>
      <c r="F605" s="138">
        <v>46168.0</v>
      </c>
      <c r="G605" s="195" t="str">
        <f t="shared" si="41"/>
        <v>✅ 10:21</v>
      </c>
      <c r="H605" s="200" t="s">
        <v>1836</v>
      </c>
      <c r="I605" s="197" t="str">
        <f t="shared" si="39"/>
        <v>→ Selecione a linha e use o menu ⏱️ Ponto</v>
      </c>
      <c r="J605" s="180"/>
      <c r="K605" s="179"/>
      <c r="L605" s="119" t="str">
        <f t="shared" si="40"/>
        <v>🟢 No Evento</v>
      </c>
    </row>
    <row r="606" ht="15.75" customHeight="1">
      <c r="A606" s="13"/>
      <c r="B606" s="193" t="s">
        <v>528</v>
      </c>
      <c r="C606" s="194" t="str">
        <f t="array" ref="C606">IF(B606="","",IFERROR(INDEX('FUNCIONÁRIOS'!$B$4:$B$501,MATCH(B606,'FUNCIONÁRIOS'!$C$4:$C$501,0)),""))</f>
        <v>SHOWNEWS</v>
      </c>
      <c r="D606" s="194" t="str">
        <f t="array" ref="D606">IF(B606="","",IFERROR(INDEX('FUNCIONÁRIOS'!$D$4:$D$501,MATCH(B606,'FUNCIONÁRIOS'!$C$4:$C$501,0)),""))</f>
        <v>Montador</v>
      </c>
      <c r="E606" s="194" t="str">
        <f t="array" ref="E606">IF(B606="","",IFERROR(INDEX('FUNCIONÁRIOS'!$E$4:$E$501,MATCH(B606,'FUNCIONÁRIOS'!$C$4:$C$501,0)),""))</f>
        <v>NÃO</v>
      </c>
      <c r="F606" s="138">
        <v>46168.0</v>
      </c>
      <c r="G606" s="195" t="str">
        <f t="shared" si="41"/>
        <v>✅ 10:23</v>
      </c>
      <c r="H606" s="196" t="s">
        <v>1710</v>
      </c>
      <c r="I606" s="197" t="str">
        <f t="shared" si="39"/>
        <v>→ Selecione a linha e use o menu ⏱️ Ponto</v>
      </c>
      <c r="J606" s="181"/>
      <c r="K606" s="182"/>
      <c r="L606" s="122" t="str">
        <f t="shared" si="40"/>
        <v>🟢 No Evento</v>
      </c>
    </row>
    <row r="607" ht="15.75" customHeight="1">
      <c r="A607" s="13"/>
      <c r="B607" s="198" t="s">
        <v>757</v>
      </c>
      <c r="C607" s="199" t="str">
        <f t="array" ref="C607">IF(B607="","",IFERROR(INDEX('FUNCIONÁRIOS'!$B$4:$B$501,MATCH(B607,'FUNCIONÁRIOS'!$C$4:$C$501,0)),""))</f>
        <v>YES </v>
      </c>
      <c r="D607" s="199" t="str">
        <f t="array" ref="D607">IF(B607="","",IFERROR(INDEX('FUNCIONÁRIOS'!$D$4:$D$501,MATCH(B607,'FUNCIONÁRIOS'!$C$4:$C$501,0)),""))</f>
        <v/>
      </c>
      <c r="E607" s="199" t="str">
        <f t="array" ref="E607">IF(B607="","",IFERROR(INDEX('FUNCIONÁRIOS'!$E$4:$E$501,MATCH(B607,'FUNCIONÁRIOS'!$C$4:$C$501,0)),""))</f>
        <v>NÃO</v>
      </c>
      <c r="F607" s="138">
        <v>46168.0</v>
      </c>
      <c r="G607" s="195" t="str">
        <f t="shared" si="41"/>
        <v>✅ 10:28</v>
      </c>
      <c r="H607" s="200" t="s">
        <v>1837</v>
      </c>
      <c r="I607" s="197" t="str">
        <f t="shared" si="39"/>
        <v>→ Selecione a linha e use o menu ⏱️ Ponto</v>
      </c>
      <c r="J607" s="180"/>
      <c r="K607" s="179"/>
      <c r="L607" s="119" t="str">
        <f t="shared" si="40"/>
        <v>🟢 No Evento</v>
      </c>
    </row>
    <row r="608" ht="15.75" customHeight="1">
      <c r="A608" s="13"/>
      <c r="B608" s="193" t="s">
        <v>758</v>
      </c>
      <c r="C608" s="194" t="str">
        <f t="array" ref="C608">IF(B608="","",IFERROR(INDEX('FUNCIONÁRIOS'!$B$4:$B$501,MATCH(B608,'FUNCIONÁRIOS'!$C$4:$C$501,0)),""))</f>
        <v>LATINO </v>
      </c>
      <c r="D608" s="194" t="str">
        <f t="array" ref="D608">IF(B608="","",IFERROR(INDEX('FUNCIONÁRIOS'!$D$4:$D$501,MATCH(B608,'FUNCIONÁRIOS'!$C$4:$C$501,0)),""))</f>
        <v>CARREGADOR </v>
      </c>
      <c r="E608" s="194" t="str">
        <f t="array" ref="E608">IF(B608="","",IFERROR(INDEX('FUNCIONÁRIOS'!$E$4:$E$501,MATCH(B608,'FUNCIONÁRIOS'!$C$4:$C$501,0)),""))</f>
        <v>NÃO</v>
      </c>
      <c r="F608" s="138">
        <v>46168.0</v>
      </c>
      <c r="G608" s="195" t="str">
        <f t="shared" si="41"/>
        <v>✅ 10:45</v>
      </c>
      <c r="H608" s="196" t="s">
        <v>1838</v>
      </c>
      <c r="I608" s="197" t="str">
        <f t="shared" si="39"/>
        <v>✅ 19:44</v>
      </c>
      <c r="J608" s="176" t="s">
        <v>1839</v>
      </c>
      <c r="K608" s="177">
        <v>0.3743055555555555</v>
      </c>
      <c r="L608" s="122" t="str">
        <f t="shared" si="40"/>
        <v>✅ Finalizado</v>
      </c>
    </row>
    <row r="609" ht="15.75" customHeight="1">
      <c r="A609" s="13"/>
      <c r="B609" s="198" t="s">
        <v>759</v>
      </c>
      <c r="C609" s="199" t="str">
        <f t="array" ref="C609">IF(B609="","",IFERROR(INDEX('FUNCIONÁRIOS'!$B$4:$B$501,MATCH(B609,'FUNCIONÁRIOS'!$C$4:$C$501,0)),""))</f>
        <v>LATINO </v>
      </c>
      <c r="D609" s="199" t="str">
        <f t="array" ref="D609">IF(B609="","",IFERROR(INDEX('FUNCIONÁRIOS'!$D$4:$D$501,MATCH(B609,'FUNCIONÁRIOS'!$C$4:$C$501,0)),""))</f>
        <v>CARREGADOR </v>
      </c>
      <c r="E609" s="199" t="str">
        <f t="array" ref="E609">IF(B609="","",IFERROR(INDEX('FUNCIONÁRIOS'!$E$4:$E$501,MATCH(B609,'FUNCIONÁRIOS'!$C$4:$C$501,0)),""))</f>
        <v>NÃO</v>
      </c>
      <c r="F609" s="138">
        <v>46168.0</v>
      </c>
      <c r="G609" s="195" t="str">
        <f t="shared" si="41"/>
        <v>✅ 10:46</v>
      </c>
      <c r="H609" s="200" t="s">
        <v>1840</v>
      </c>
      <c r="I609" s="197" t="str">
        <f t="shared" si="39"/>
        <v>✅ 19:43</v>
      </c>
      <c r="J609" s="174" t="s">
        <v>1841</v>
      </c>
      <c r="K609" s="175">
        <v>0.3729166666666666</v>
      </c>
      <c r="L609" s="119" t="str">
        <f t="shared" si="40"/>
        <v>✅ Finalizado</v>
      </c>
    </row>
    <row r="610" ht="15.75" customHeight="1">
      <c r="A610" s="13"/>
      <c r="B610" s="193" t="s">
        <v>760</v>
      </c>
      <c r="C610" s="194" t="str">
        <f t="array" ref="C610">IF(B610="","",IFERROR(INDEX('FUNCIONÁRIOS'!$B$4:$B$501,MATCH(B610,'FUNCIONÁRIOS'!$C$4:$C$501,0)),""))</f>
        <v>GOYA</v>
      </c>
      <c r="D610" s="194" t="str">
        <f t="array" ref="D610">IF(B610="","",IFERROR(INDEX('FUNCIONÁRIOS'!$D$4:$D$501,MATCH(B610,'FUNCIONÁRIOS'!$C$4:$C$501,0)),""))</f>
        <v>MOTORISTA </v>
      </c>
      <c r="E610" s="194" t="str">
        <f t="array" ref="E610">IF(B610="","",IFERROR(INDEX('FUNCIONÁRIOS'!$E$4:$E$501,MATCH(B610,'FUNCIONÁRIOS'!$C$4:$C$501,0)),""))</f>
        <v>NÃO</v>
      </c>
      <c r="F610" s="138">
        <v>46168.0</v>
      </c>
      <c r="G610" s="195" t="str">
        <f t="shared" si="41"/>
        <v>✅ 10:51</v>
      </c>
      <c r="H610" s="196" t="s">
        <v>1842</v>
      </c>
      <c r="I610" s="197" t="str">
        <f t="shared" si="39"/>
        <v>→ Selecione a linha e use o menu ⏱️ Ponto</v>
      </c>
      <c r="J610" s="181"/>
      <c r="K610" s="182"/>
      <c r="L610" s="122" t="str">
        <f t="shared" si="40"/>
        <v>🟢 No Evento</v>
      </c>
    </row>
    <row r="611" ht="15.75" customHeight="1">
      <c r="A611" s="13"/>
      <c r="B611" s="198" t="s">
        <v>761</v>
      </c>
      <c r="C611" s="199" t="str">
        <f t="array" ref="C611">IF(B611="","",IFERROR(INDEX('FUNCIONÁRIOS'!$B$4:$B$501,MATCH(B611,'FUNCIONÁRIOS'!$C$4:$C$501,0)),""))</f>
        <v>GOYA</v>
      </c>
      <c r="D611" s="199" t="str">
        <f t="array" ref="D611">IF(B611="","",IFERROR(INDEX('FUNCIONÁRIOS'!$D$4:$D$501,MATCH(B611,'FUNCIONÁRIOS'!$C$4:$C$501,0)),""))</f>
        <v>MOTORISTA </v>
      </c>
      <c r="E611" s="199" t="str">
        <f t="array" ref="E611">IF(B611="","",IFERROR(INDEX('FUNCIONÁRIOS'!$E$4:$E$501,MATCH(B611,'FUNCIONÁRIOS'!$C$4:$C$501,0)),""))</f>
        <v>NÃO</v>
      </c>
      <c r="F611" s="138">
        <v>46168.0</v>
      </c>
      <c r="G611" s="195" t="str">
        <f t="shared" si="41"/>
        <v>✅ 10:51</v>
      </c>
      <c r="H611" s="200" t="s">
        <v>1842</v>
      </c>
      <c r="I611" s="197" t="str">
        <f t="shared" si="39"/>
        <v>→ Selecione a linha e use o menu ⏱️ Ponto</v>
      </c>
      <c r="J611" s="180"/>
      <c r="K611" s="179"/>
      <c r="L611" s="119" t="str">
        <f t="shared" si="40"/>
        <v>🟢 No Evento</v>
      </c>
    </row>
    <row r="612" ht="15.75" customHeight="1">
      <c r="A612" s="13"/>
      <c r="B612" s="193" t="s">
        <v>762</v>
      </c>
      <c r="C612" s="194" t="str">
        <f t="array" ref="C612">IF(B612="","",IFERROR(INDEX('FUNCIONÁRIOS'!$B$4:$B$501,MATCH(B612,'FUNCIONÁRIOS'!$C$4:$C$501,0)),""))</f>
        <v>DORORÔ</v>
      </c>
      <c r="D612" s="194" t="str">
        <f t="array" ref="D612">IF(B612="","",IFERROR(INDEX('FUNCIONÁRIOS'!$D$4:$D$501,MATCH(B612,'FUNCIONÁRIOS'!$C$4:$C$501,0)),""))</f>
        <v>DIRETOR </v>
      </c>
      <c r="E612" s="194" t="str">
        <f t="array" ref="E612">IF(B612="","",IFERROR(INDEX('FUNCIONÁRIOS'!$E$4:$E$501,MATCH(B612,'FUNCIONÁRIOS'!$C$4:$C$501,0)),""))</f>
        <v>NÃO</v>
      </c>
      <c r="F612" s="138">
        <v>46168.0</v>
      </c>
      <c r="G612" s="195" t="str">
        <f t="shared" si="41"/>
        <v>✅ 11:04</v>
      </c>
      <c r="H612" s="196" t="s">
        <v>1843</v>
      </c>
      <c r="I612" s="197" t="str">
        <f t="shared" si="39"/>
        <v>→ Selecione a linha e use o menu ⏱️ Ponto</v>
      </c>
      <c r="J612" s="181"/>
      <c r="K612" s="182"/>
      <c r="L612" s="122" t="str">
        <f t="shared" si="40"/>
        <v>🟢 No Evento</v>
      </c>
    </row>
    <row r="613" ht="15.75" customHeight="1">
      <c r="A613" s="13"/>
      <c r="B613" s="198" t="s">
        <v>290</v>
      </c>
      <c r="C613" s="199" t="str">
        <f t="array" ref="C613">IF(B613="","",IFERROR(INDEX('FUNCIONÁRIOS'!$B$4:$B$501,MATCH(B613,'FUNCIONÁRIOS'!$C$4:$C$501,0)),""))</f>
        <v>GYNLIGHT</v>
      </c>
      <c r="D613" s="199" t="str">
        <f t="array" ref="D613">IF(B613="","",IFERROR(INDEX('FUNCIONÁRIOS'!$D$4:$D$501,MATCH(B613,'FUNCIONÁRIOS'!$C$4:$C$501,0)),""))</f>
        <v>Auxiliar Técnico em Iluminação</v>
      </c>
      <c r="E613" s="199" t="str">
        <f t="array" ref="E613">IF(B613="","",IFERROR(INDEX('FUNCIONÁRIOS'!$E$4:$E$501,MATCH(B613,'FUNCIONÁRIOS'!$C$4:$C$501,0)),""))</f>
        <v>NÃO</v>
      </c>
      <c r="F613" s="138">
        <v>46168.0</v>
      </c>
      <c r="G613" s="195" t="str">
        <f t="shared" si="41"/>
        <v>✅ 11:12</v>
      </c>
      <c r="H613" s="200" t="s">
        <v>1844</v>
      </c>
      <c r="I613" s="197" t="str">
        <f t="shared" si="39"/>
        <v>→ Selecione a linha e use o menu ⏱️ Ponto</v>
      </c>
      <c r="J613" s="180"/>
      <c r="K613" s="179"/>
      <c r="L613" s="119" t="str">
        <f t="shared" si="40"/>
        <v>🟢 No Evento</v>
      </c>
    </row>
    <row r="614" ht="15.75" customHeight="1">
      <c r="A614" s="13"/>
      <c r="B614" s="193" t="s">
        <v>278</v>
      </c>
      <c r="C614" s="194" t="str">
        <f t="array" ref="C614">IF(B614="","",IFERROR(INDEX('FUNCIONÁRIOS'!$B$4:$B$501,MATCH(B614,'FUNCIONÁRIOS'!$C$4:$C$501,0)),""))</f>
        <v>GYNLIGHT</v>
      </c>
      <c r="D614" s="194" t="str">
        <f t="array" ref="D614">IF(B614="","",IFERROR(INDEX('FUNCIONÁRIOS'!$D$4:$D$501,MATCH(B614,'FUNCIONÁRIOS'!$C$4:$C$501,0)),""))</f>
        <v>Auxiliar Técnico em Iluminação</v>
      </c>
      <c r="E614" s="194" t="str">
        <f t="array" ref="E614">IF(B614="","",IFERROR(INDEX('FUNCIONÁRIOS'!$E$4:$E$501,MATCH(B614,'FUNCIONÁRIOS'!$C$4:$C$501,0)),""))</f>
        <v>NÃO</v>
      </c>
      <c r="F614" s="138">
        <v>46168.0</v>
      </c>
      <c r="G614" s="195" t="str">
        <f t="shared" si="41"/>
        <v>✅ 11:12</v>
      </c>
      <c r="H614" s="196" t="s">
        <v>1844</v>
      </c>
      <c r="I614" s="197" t="str">
        <f t="shared" si="39"/>
        <v>→ Selecione a linha e use o menu ⏱️ Ponto</v>
      </c>
      <c r="J614" s="181"/>
      <c r="K614" s="182"/>
      <c r="L614" s="122" t="str">
        <f t="shared" si="40"/>
        <v>🟢 No Evento</v>
      </c>
    </row>
    <row r="615" ht="15.75" customHeight="1">
      <c r="A615" s="13"/>
      <c r="B615" s="198" t="s">
        <v>150</v>
      </c>
      <c r="C615" s="199" t="str">
        <f t="array" ref="C615">IF(B615="","",IFERROR(INDEX('FUNCIONÁRIOS'!$B$4:$B$501,MATCH(B615,'FUNCIONÁRIOS'!$C$4:$C$501,0)),""))</f>
        <v>NLEDS LOCAÇÃO - PAINEIS DE LED </v>
      </c>
      <c r="D615" s="199" t="str">
        <f t="array" ref="D615">IF(B615="","",IFERROR(INDEX('FUNCIONÁRIOS'!$D$4:$D$501,MATCH(B615,'FUNCIONÁRIOS'!$C$4:$C$501,0)),""))</f>
        <v>AUXILIAR DE MONTAGEM DE PAINÉIS DE LED</v>
      </c>
      <c r="E615" s="199" t="str">
        <f t="array" ref="E615">IF(B615="","",IFERROR(INDEX('FUNCIONÁRIOS'!$E$4:$E$501,MATCH(B615,'FUNCIONÁRIOS'!$C$4:$C$501,0)),""))</f>
        <v>NÃO</v>
      </c>
      <c r="F615" s="138">
        <v>46168.0</v>
      </c>
      <c r="G615" s="195" t="str">
        <f t="shared" si="41"/>
        <v>✅ 11:32</v>
      </c>
      <c r="H615" s="200" t="s">
        <v>1730</v>
      </c>
      <c r="I615" s="197" t="str">
        <f t="shared" si="39"/>
        <v>→ Selecione a linha e use o menu ⏱️ Ponto</v>
      </c>
      <c r="J615" s="180"/>
      <c r="K615" s="179"/>
      <c r="L615" s="119" t="str">
        <f t="shared" si="40"/>
        <v>🟢 No Evento</v>
      </c>
    </row>
    <row r="616" ht="15.75" customHeight="1">
      <c r="A616" s="13"/>
      <c r="B616" s="193" t="s">
        <v>169</v>
      </c>
      <c r="C616" s="194" t="str">
        <f t="array" ref="C616">IF(B616="","",IFERROR(INDEX('FUNCIONÁRIOS'!$B$4:$B$501,MATCH(B616,'FUNCIONÁRIOS'!$C$4:$C$501,0)),""))</f>
        <v>NLEDS LOCAÇÃO - PAINEIS DE LED </v>
      </c>
      <c r="D616" s="194" t="str">
        <f t="array" ref="D616">IF(B616="","",IFERROR(INDEX('FUNCIONÁRIOS'!$D$4:$D$501,MATCH(B616,'FUNCIONÁRIOS'!$C$4:$C$501,0)),""))</f>
        <v>MOTORISTA</v>
      </c>
      <c r="E616" s="194" t="str">
        <f t="array" ref="E616">IF(B616="","",IFERROR(INDEX('FUNCIONÁRIOS'!$E$4:$E$501,MATCH(B616,'FUNCIONÁRIOS'!$C$4:$C$501,0)),""))</f>
        <v>NÃO</v>
      </c>
      <c r="F616" s="138">
        <v>46168.0</v>
      </c>
      <c r="G616" s="195" t="str">
        <f t="shared" si="41"/>
        <v>✅ 11:33</v>
      </c>
      <c r="H616" s="196" t="s">
        <v>1717</v>
      </c>
      <c r="I616" s="197" t="str">
        <f t="shared" si="39"/>
        <v>→ Selecione a linha e use o menu ⏱️ Ponto</v>
      </c>
      <c r="J616" s="181"/>
      <c r="K616" s="182"/>
      <c r="L616" s="122" t="str">
        <f t="shared" si="40"/>
        <v>🟢 No Evento</v>
      </c>
    </row>
    <row r="617" ht="15.75" customHeight="1">
      <c r="A617" s="13"/>
      <c r="B617" s="198" t="s">
        <v>159</v>
      </c>
      <c r="C617" s="199" t="str">
        <f t="array" ref="C617">IF(B617="","",IFERROR(INDEX('FUNCIONÁRIOS'!$B$4:$B$501,MATCH(B617,'FUNCIONÁRIOS'!$C$4:$C$501,0)),""))</f>
        <v>NLEDS LOCAÇÃO - PAINEIS DE LED </v>
      </c>
      <c r="D617" s="199" t="str">
        <f t="array" ref="D617">IF(B617="","",IFERROR(INDEX('FUNCIONÁRIOS'!$D$4:$D$501,MATCH(B617,'FUNCIONÁRIOS'!$C$4:$C$501,0)),""))</f>
        <v>AUXILIAR DE MONTAGEM DE PAINÉIS DE LED</v>
      </c>
      <c r="E617" s="199" t="str">
        <f t="array" ref="E617">IF(B617="","",IFERROR(INDEX('FUNCIONÁRIOS'!$E$4:$E$501,MATCH(B617,'FUNCIONÁRIOS'!$C$4:$C$501,0)),""))</f>
        <v>NÃO</v>
      </c>
      <c r="F617" s="138">
        <v>46168.0</v>
      </c>
      <c r="G617" s="195" t="str">
        <f t="shared" si="41"/>
        <v>✅ 11:33</v>
      </c>
      <c r="H617" s="200" t="s">
        <v>1717</v>
      </c>
      <c r="I617" s="197" t="str">
        <f t="shared" si="39"/>
        <v>→ Selecione a linha e use o menu ⏱️ Ponto</v>
      </c>
      <c r="J617" s="180"/>
      <c r="K617" s="179"/>
      <c r="L617" s="119" t="str">
        <f t="shared" si="40"/>
        <v>🟢 No Evento</v>
      </c>
    </row>
    <row r="618" ht="15.75" customHeight="1">
      <c r="A618" s="13"/>
      <c r="B618" s="193" t="s">
        <v>96</v>
      </c>
      <c r="C618" s="194" t="str">
        <f t="array" ref="C618">IF(B618="","",IFERROR(INDEX('FUNCIONÁRIOS'!$B$4:$B$501,MATCH(B618,'FUNCIONÁRIOS'!$C$4:$C$501,0)),""))</f>
        <v>PONCIANO SOLUÇÕES </v>
      </c>
      <c r="D618" s="194" t="str">
        <f t="array" ref="D618">IF(B618="","",IFERROR(INDEX('FUNCIONÁRIOS'!$D$4:$D$501,MATCH(B618,'FUNCIONÁRIOS'!$C$4:$C$501,0)),""))</f>
        <v>CREDENCIAMENTO</v>
      </c>
      <c r="E618" s="194" t="str">
        <f t="array" ref="E618">IF(B618="","",IFERROR(INDEX('FUNCIONÁRIOS'!$E$4:$E$501,MATCH(B618,'FUNCIONÁRIOS'!$C$4:$C$501,0)),""))</f>
        <v>NÃO</v>
      </c>
      <c r="F618" s="138">
        <v>46168.0</v>
      </c>
      <c r="G618" s="195" t="str">
        <f t="shared" si="41"/>
        <v>✅ 08:00</v>
      </c>
      <c r="H618" s="196" t="s">
        <v>1587</v>
      </c>
      <c r="I618" s="197" t="str">
        <f t="shared" si="39"/>
        <v>✅ 19:00</v>
      </c>
      <c r="J618" s="183">
        <v>0.7916666666666666</v>
      </c>
      <c r="K618" s="182"/>
      <c r="L618" s="122" t="str">
        <f t="shared" si="40"/>
        <v>✅ Finalizado</v>
      </c>
    </row>
    <row r="619" ht="15.75" customHeight="1">
      <c r="A619" s="13"/>
      <c r="B619" s="198" t="s">
        <v>448</v>
      </c>
      <c r="C619" s="199" t="str">
        <f t="array" ref="C619">IF(B619="","",IFERROR(INDEX('FUNCIONÁRIOS'!$B$4:$B$501,MATCH(B619,'FUNCIONÁRIOS'!$C$4:$C$501,0)),""))</f>
        <v>DB ESTRUTURA</v>
      </c>
      <c r="D619" s="199" t="str">
        <f t="array" ref="D619">IF(B619="","",IFERROR(INDEX('FUNCIONÁRIOS'!$D$4:$D$501,MATCH(B619,'FUNCIONÁRIOS'!$C$4:$C$501,0)),""))</f>
        <v>Montador</v>
      </c>
      <c r="E619" s="199" t="str">
        <f t="array" ref="E619">IF(B619="","",IFERROR(INDEX('FUNCIONÁRIOS'!$E$4:$E$501,MATCH(B619,'FUNCIONÁRIOS'!$C$4:$C$501,0)),""))</f>
        <v>NÃO</v>
      </c>
      <c r="F619" s="138">
        <v>46168.0</v>
      </c>
      <c r="G619" s="195" t="str">
        <f t="shared" si="41"/>
        <v>✅ 11:41</v>
      </c>
      <c r="H619" s="200" t="s">
        <v>1734</v>
      </c>
      <c r="I619" s="197" t="str">
        <f t="shared" si="39"/>
        <v>→ Selecione a linha e use o menu ⏱️ Ponto</v>
      </c>
      <c r="J619" s="180"/>
      <c r="K619" s="179"/>
      <c r="L619" s="119" t="str">
        <f t="shared" si="40"/>
        <v>🟢 No Evento</v>
      </c>
    </row>
    <row r="620" ht="15.75" customHeight="1">
      <c r="A620" s="13"/>
      <c r="B620" s="193" t="s">
        <v>442</v>
      </c>
      <c r="C620" s="194" t="str">
        <f t="array" ref="C620">IF(B620="","",IFERROR(INDEX('FUNCIONÁRIOS'!$B$4:$B$501,MATCH(B620,'FUNCIONÁRIOS'!$C$4:$C$501,0)),""))</f>
        <v>SHOWNEWS</v>
      </c>
      <c r="D620" s="194" t="str">
        <f t="array" ref="D620">IF(B620="","",IFERROR(INDEX('FUNCIONÁRIOS'!$D$4:$D$501,MATCH(B620,'FUNCIONÁRIOS'!$C$4:$C$501,0)),""))</f>
        <v>Montador</v>
      </c>
      <c r="E620" s="194" t="str">
        <f t="array" ref="E620">IF(B620="","",IFERROR(INDEX('FUNCIONÁRIOS'!$E$4:$E$501,MATCH(B620,'FUNCIONÁRIOS'!$C$4:$C$501,0)),""))</f>
        <v>NÃO</v>
      </c>
      <c r="F620" s="138">
        <v>46168.0</v>
      </c>
      <c r="G620" s="195" t="str">
        <f t="shared" si="41"/>
        <v>✅ 11:47</v>
      </c>
      <c r="H620" s="196" t="s">
        <v>1735</v>
      </c>
      <c r="I620" s="197" t="str">
        <f t="shared" si="39"/>
        <v>✅ 13:48</v>
      </c>
      <c r="J620" s="176" t="s">
        <v>1771</v>
      </c>
      <c r="K620" s="177">
        <v>0.08402777777777776</v>
      </c>
      <c r="L620" s="122" t="str">
        <f t="shared" si="40"/>
        <v>✅ Finalizado</v>
      </c>
    </row>
    <row r="621" ht="15.75" customHeight="1">
      <c r="A621" s="13"/>
      <c r="B621" s="198" t="s">
        <v>493</v>
      </c>
      <c r="C621" s="199" t="str">
        <f t="array" ref="C621">IF(B621="","",IFERROR(INDEX('FUNCIONÁRIOS'!$B$4:$B$501,MATCH(B621,'FUNCIONÁRIOS'!$C$4:$C$501,0)),""))</f>
        <v>EL SHADDAI</v>
      </c>
      <c r="D621" s="199" t="str">
        <f t="array" ref="D621">IF(B621="","",IFERROR(INDEX('FUNCIONÁRIOS'!$D$4:$D$501,MATCH(B621,'FUNCIONÁRIOS'!$C$4:$C$501,0)),""))</f>
        <v>Montador</v>
      </c>
      <c r="E621" s="199" t="str">
        <f t="array" ref="E621">IF(B621="","",IFERROR(INDEX('FUNCIONÁRIOS'!$E$4:$E$501,MATCH(B621,'FUNCIONÁRIOS'!$C$4:$C$501,0)),""))</f>
        <v>NÃO</v>
      </c>
      <c r="F621" s="138">
        <v>46168.0</v>
      </c>
      <c r="G621" s="195" t="str">
        <f t="shared" si="41"/>
        <v>✅ 12:00</v>
      </c>
      <c r="H621" s="200" t="s">
        <v>1845</v>
      </c>
      <c r="I621" s="197" t="str">
        <f t="shared" si="39"/>
        <v>→ Selecione a linha e use o menu ⏱️ Ponto</v>
      </c>
      <c r="J621" s="180"/>
      <c r="K621" s="179"/>
      <c r="L621" s="119" t="str">
        <f t="shared" si="40"/>
        <v>🟢 No Evento</v>
      </c>
    </row>
    <row r="622" ht="15.75" customHeight="1">
      <c r="A622" s="13"/>
      <c r="B622" s="193" t="s">
        <v>763</v>
      </c>
      <c r="C622" s="194" t="str">
        <f t="array" ref="C622">IF(B622="","",IFERROR(INDEX('FUNCIONÁRIOS'!$B$4:$B$501,MATCH(B622,'FUNCIONÁRIOS'!$C$4:$C$501,0)),""))</f>
        <v>EL SHADDAI</v>
      </c>
      <c r="D622" s="194" t="str">
        <f t="array" ref="D622">IF(B622="","",IFERROR(INDEX('FUNCIONÁRIOS'!$D$4:$D$501,MATCH(B622,'FUNCIONÁRIOS'!$C$4:$C$501,0)),""))</f>
        <v>MONTADOR </v>
      </c>
      <c r="E622" s="194" t="str">
        <f t="array" ref="E622">IF(B622="","",IFERROR(INDEX('FUNCIONÁRIOS'!$E$4:$E$501,MATCH(B622,'FUNCIONÁRIOS'!$C$4:$C$501,0)),""))</f>
        <v>NÃO</v>
      </c>
      <c r="F622" s="138">
        <v>46168.0</v>
      </c>
      <c r="G622" s="195" t="str">
        <f t="shared" si="41"/>
        <v>✅ 12:02</v>
      </c>
      <c r="H622" s="196" t="s">
        <v>1846</v>
      </c>
      <c r="I622" s="197" t="str">
        <f t="shared" si="39"/>
        <v>→ Selecione a linha e use o menu ⏱️ Ponto</v>
      </c>
      <c r="J622" s="181"/>
      <c r="K622" s="182"/>
      <c r="L622" s="122" t="str">
        <f t="shared" si="40"/>
        <v>🟢 No Evento</v>
      </c>
    </row>
    <row r="623" ht="15.75" customHeight="1">
      <c r="A623" s="13"/>
      <c r="B623" s="198" t="s">
        <v>495</v>
      </c>
      <c r="C623" s="199" t="str">
        <f t="array" ref="C623">IF(B623="","",IFERROR(INDEX('FUNCIONÁRIOS'!$B$4:$B$501,MATCH(B623,'FUNCIONÁRIOS'!$C$4:$C$501,0)),""))</f>
        <v>EL SHADDAI</v>
      </c>
      <c r="D623" s="199" t="str">
        <f t="array" ref="D623">IF(B623="","",IFERROR(INDEX('FUNCIONÁRIOS'!$D$4:$D$501,MATCH(B623,'FUNCIONÁRIOS'!$C$4:$C$501,0)),""))</f>
        <v>montador</v>
      </c>
      <c r="E623" s="199" t="str">
        <f t="array" ref="E623">IF(B623="","",IFERROR(INDEX('FUNCIONÁRIOS'!$E$4:$E$501,MATCH(B623,'FUNCIONÁRIOS'!$C$4:$C$501,0)),""))</f>
        <v>NÃO</v>
      </c>
      <c r="F623" s="138">
        <v>46168.0</v>
      </c>
      <c r="G623" s="195" t="str">
        <f t="shared" si="41"/>
        <v>✅ 12:02</v>
      </c>
      <c r="H623" s="200" t="s">
        <v>1846</v>
      </c>
      <c r="I623" s="197" t="str">
        <f t="shared" si="39"/>
        <v>→ Selecione a linha e use o menu ⏱️ Ponto</v>
      </c>
      <c r="J623" s="180"/>
      <c r="K623" s="179"/>
      <c r="L623" s="119" t="str">
        <f t="shared" si="40"/>
        <v>🟢 No Evento</v>
      </c>
    </row>
    <row r="624" ht="15.75" customHeight="1">
      <c r="A624" s="13"/>
      <c r="B624" s="193" t="s">
        <v>764</v>
      </c>
      <c r="C624" s="194" t="str">
        <f t="array" ref="C624">IF(B624="","",IFERROR(INDEX('FUNCIONÁRIOS'!$B$4:$B$501,MATCH(B624,'FUNCIONÁRIOS'!$C$4:$C$501,0)),""))</f>
        <v>FABINHO EVENTOS </v>
      </c>
      <c r="D624" s="194" t="str">
        <f t="array" ref="D624">IF(B624="","",IFERROR(INDEX('FUNCIONÁRIOS'!$D$4:$D$501,MATCH(B624,'FUNCIONÁRIOS'!$C$4:$C$501,0)),""))</f>
        <v>PROPIETÁRIA </v>
      </c>
      <c r="E624" s="194" t="str">
        <f t="array" ref="E624">IF(B624="","",IFERROR(INDEX('FUNCIONÁRIOS'!$E$4:$E$501,MATCH(B624,'FUNCIONÁRIOS'!$C$4:$C$501,0)),""))</f>
        <v>NÃO</v>
      </c>
      <c r="F624" s="138">
        <v>46168.0</v>
      </c>
      <c r="G624" s="195" t="str">
        <f t="shared" si="41"/>
        <v>✅ 12:11</v>
      </c>
      <c r="H624" s="196" t="s">
        <v>1847</v>
      </c>
      <c r="I624" s="197" t="str">
        <f t="shared" si="39"/>
        <v>→ Selecione a linha e use o menu ⏱️ Ponto</v>
      </c>
      <c r="J624" s="180"/>
      <c r="K624" s="179"/>
      <c r="L624" s="119" t="str">
        <f t="shared" si="40"/>
        <v>🟢 No Evento</v>
      </c>
    </row>
    <row r="625" ht="15.75" customHeight="1">
      <c r="A625" s="13"/>
      <c r="B625" s="198" t="s">
        <v>766</v>
      </c>
      <c r="C625" s="203" t="s">
        <v>29</v>
      </c>
      <c r="D625" s="199" t="str">
        <f t="array" ref="D625">IF(B625="","",IFERROR(INDEX('FUNCIONÁRIOS'!$D$4:$D$501,MATCH(B625,'FUNCIONÁRIOS'!$C$4:$C$501,0)),""))</f>
        <v>MONTADOR </v>
      </c>
      <c r="E625" s="199" t="str">
        <f t="array" ref="E625">IF(B625="","",IFERROR(INDEX('FUNCIONÁRIOS'!$E$4:$E$501,MATCH(B625,'FUNCIONÁRIOS'!$C$4:$C$501,0)),""))</f>
        <v>NÃO</v>
      </c>
      <c r="F625" s="138">
        <v>46168.0</v>
      </c>
      <c r="G625" s="195" t="str">
        <f t="shared" si="41"/>
        <v>✅ 12:12</v>
      </c>
      <c r="H625" s="200" t="s">
        <v>1848</v>
      </c>
      <c r="I625" s="197" t="str">
        <f t="shared" si="39"/>
        <v>→ Selecione a linha e use o menu ⏱️ Ponto</v>
      </c>
      <c r="J625" s="181"/>
      <c r="K625" s="182"/>
      <c r="L625" s="122" t="str">
        <f t="shared" si="40"/>
        <v>🟢 No Evento</v>
      </c>
    </row>
    <row r="626" ht="15.75" customHeight="1">
      <c r="A626" s="13"/>
      <c r="B626" s="193" t="s">
        <v>767</v>
      </c>
      <c r="C626" s="194" t="str">
        <f t="array" ref="C626">IF(B626="","",IFERROR(INDEX('FUNCIONÁRIOS'!$B$4:$B$501,MATCH(B626,'FUNCIONÁRIOS'!$C$4:$C$501,0)),""))</f>
        <v>FABINHO EVENTOS </v>
      </c>
      <c r="D626" s="194" t="str">
        <f t="array" ref="D626">IF(B626="","",IFERROR(INDEX('FUNCIONÁRIOS'!$D$4:$D$501,MATCH(B626,'FUNCIONÁRIOS'!$C$4:$C$501,0)),""))</f>
        <v>MONTADOR </v>
      </c>
      <c r="E626" s="194" t="str">
        <f t="array" ref="E626">IF(B626="","",IFERROR(INDEX('FUNCIONÁRIOS'!$E$4:$E$501,MATCH(B626,'FUNCIONÁRIOS'!$C$4:$C$501,0)),""))</f>
        <v>NÃO</v>
      </c>
      <c r="F626" s="138">
        <v>46168.0</v>
      </c>
      <c r="G626" s="195" t="str">
        <f t="shared" si="41"/>
        <v>✅ 12:13</v>
      </c>
      <c r="H626" s="196" t="s">
        <v>1849</v>
      </c>
      <c r="I626" s="197" t="str">
        <f t="shared" si="39"/>
        <v>→ Selecione a linha e use o menu ⏱️ Ponto</v>
      </c>
      <c r="J626" s="180"/>
      <c r="K626" s="179"/>
      <c r="L626" s="119" t="str">
        <f t="shared" si="40"/>
        <v>🟢 No Evento</v>
      </c>
    </row>
    <row r="627" ht="15.75" customHeight="1">
      <c r="A627" s="13"/>
      <c r="B627" s="198" t="s">
        <v>768</v>
      </c>
      <c r="C627" s="199" t="str">
        <f t="array" ref="C627">IF(B627="","",IFERROR(INDEX('FUNCIONÁRIOS'!$B$4:$B$501,MATCH(B627,'FUNCIONÁRIOS'!$C$4:$C$501,0)),""))</f>
        <v>FABINHO EVENTOS </v>
      </c>
      <c r="D627" s="199" t="str">
        <f t="array" ref="D627">IF(B627="","",IFERROR(INDEX('FUNCIONÁRIOS'!$D$4:$D$501,MATCH(B627,'FUNCIONÁRIOS'!$C$4:$C$501,0)),""))</f>
        <v>COORDENADORA</v>
      </c>
      <c r="E627" s="199" t="str">
        <f t="array" ref="E627">IF(B627="","",IFERROR(INDEX('FUNCIONÁRIOS'!$E$4:$E$501,MATCH(B627,'FUNCIONÁRIOS'!$C$4:$C$501,0)),""))</f>
        <v>NÃO</v>
      </c>
      <c r="F627" s="138">
        <v>46168.0</v>
      </c>
      <c r="G627" s="195" t="str">
        <f t="shared" si="41"/>
        <v>✅ 12:15</v>
      </c>
      <c r="H627" s="200" t="s">
        <v>1850</v>
      </c>
      <c r="I627" s="197" t="str">
        <f t="shared" si="39"/>
        <v>→ Selecione a linha e use o menu ⏱️ Ponto</v>
      </c>
      <c r="J627" s="181"/>
      <c r="K627" s="182"/>
      <c r="L627" s="122" t="str">
        <f t="shared" si="40"/>
        <v>🟢 No Evento</v>
      </c>
    </row>
    <row r="628" ht="15.75" customHeight="1">
      <c r="A628" s="13"/>
      <c r="B628" s="193" t="s">
        <v>770</v>
      </c>
      <c r="C628" s="194" t="str">
        <f t="array" ref="C628">IF(B628="","",IFERROR(INDEX('FUNCIONÁRIOS'!$B$4:$B$501,MATCH(B628,'FUNCIONÁRIOS'!$C$4:$C$501,0)),""))</f>
        <v>FABINHO EVENTOS </v>
      </c>
      <c r="D628" s="194" t="str">
        <f t="array" ref="D628">IF(B628="","",IFERROR(INDEX('FUNCIONÁRIOS'!$D$4:$D$501,MATCH(B628,'FUNCIONÁRIOS'!$C$4:$C$501,0)),""))</f>
        <v>MONTAGEM </v>
      </c>
      <c r="E628" s="194" t="str">
        <f t="array" ref="E628">IF(B628="","",IFERROR(INDEX('FUNCIONÁRIOS'!$E$4:$E$501,MATCH(B628,'FUNCIONÁRIOS'!$C$4:$C$501,0)),""))</f>
        <v>NÃO</v>
      </c>
      <c r="F628" s="138">
        <v>46168.0</v>
      </c>
      <c r="G628" s="195" t="str">
        <f t="shared" si="41"/>
        <v>✅ 12:15</v>
      </c>
      <c r="H628" s="196" t="s">
        <v>1850</v>
      </c>
      <c r="I628" s="197" t="str">
        <f t="shared" si="39"/>
        <v>→ Selecione a linha e use o menu ⏱️ Ponto</v>
      </c>
      <c r="J628" s="180"/>
      <c r="K628" s="179"/>
      <c r="L628" s="119" t="str">
        <f t="shared" si="40"/>
        <v>🟢 No Evento</v>
      </c>
    </row>
    <row r="629" ht="15.75" customHeight="1">
      <c r="A629" s="13"/>
      <c r="B629" s="198" t="s">
        <v>772</v>
      </c>
      <c r="C629" s="199" t="str">
        <f t="array" ref="C629">IF(B629="","",IFERROR(INDEX('FUNCIONÁRIOS'!$B$4:$B$501,MATCH(B629,'FUNCIONÁRIOS'!$C$4:$C$501,0)),""))</f>
        <v>MIX GERADORES</v>
      </c>
      <c r="D629" s="199" t="str">
        <f t="array" ref="D629">IF(B629="","",IFERROR(INDEX('FUNCIONÁRIOS'!$D$4:$D$501,MATCH(B629,'FUNCIONÁRIOS'!$C$4:$C$501,0)),""))</f>
        <v>MOTORISTA </v>
      </c>
      <c r="E629" s="199" t="str">
        <f t="array" ref="E629">IF(B629="","",IFERROR(INDEX('FUNCIONÁRIOS'!$E$4:$E$501,MATCH(B629,'FUNCIONÁRIOS'!$C$4:$C$501,0)),""))</f>
        <v>NÃO</v>
      </c>
      <c r="F629" s="138">
        <v>46168.0</v>
      </c>
      <c r="G629" s="195" t="str">
        <f t="shared" si="41"/>
        <v>✅ 12:26</v>
      </c>
      <c r="H629" s="200" t="s">
        <v>1851</v>
      </c>
      <c r="I629" s="197" t="str">
        <f t="shared" si="39"/>
        <v>→ Selecione a linha e use o menu ⏱️ Ponto</v>
      </c>
      <c r="J629" s="181"/>
      <c r="K629" s="182"/>
      <c r="L629" s="122" t="str">
        <f t="shared" si="40"/>
        <v>🟢 No Evento</v>
      </c>
    </row>
    <row r="630" ht="15.75" customHeight="1">
      <c r="A630" s="13"/>
      <c r="B630" s="193" t="s">
        <v>774</v>
      </c>
      <c r="C630" s="194" t="str">
        <f t="array" ref="C630">IF(B630="","",IFERROR(INDEX('FUNCIONÁRIOS'!$B$4:$B$501,MATCH(B630,'FUNCIONÁRIOS'!$C$4:$C$501,0)),""))</f>
        <v>GO TO </v>
      </c>
      <c r="D630" s="194" t="str">
        <f t="array" ref="D630">IF(B630="","",IFERROR(INDEX('FUNCIONÁRIOS'!$D$4:$D$501,MATCH(B630,'FUNCIONÁRIOS'!$C$4:$C$501,0)),""))</f>
        <v>MONTADOR </v>
      </c>
      <c r="E630" s="194" t="str">
        <f t="array" ref="E630">IF(B630="","",IFERROR(INDEX('FUNCIONÁRIOS'!$E$4:$E$501,MATCH(B630,'FUNCIONÁRIOS'!$C$4:$C$501,0)),""))</f>
        <v>NÃO</v>
      </c>
      <c r="F630" s="138">
        <v>46168.0</v>
      </c>
      <c r="G630" s="195" t="str">
        <f t="shared" si="41"/>
        <v>✅ 12:39</v>
      </c>
      <c r="H630" s="196" t="s">
        <v>1852</v>
      </c>
      <c r="I630" s="197" t="str">
        <f t="shared" si="39"/>
        <v>→ Selecione a linha e use o menu ⏱️ Ponto</v>
      </c>
      <c r="J630" s="180"/>
      <c r="K630" s="179"/>
      <c r="L630" s="119" t="str">
        <f t="shared" si="40"/>
        <v>🟢 No Evento</v>
      </c>
    </row>
    <row r="631" ht="15.75" customHeight="1">
      <c r="A631" s="13"/>
      <c r="B631" s="198" t="s">
        <v>773</v>
      </c>
      <c r="C631" s="199" t="str">
        <f t="array" ref="C631">IF(B631="","",IFERROR(INDEX('FUNCIONÁRIOS'!$B$4:$B$501,MATCH(B631,'FUNCIONÁRIOS'!$C$4:$C$501,0)),""))</f>
        <v>GO TO </v>
      </c>
      <c r="D631" s="199" t="str">
        <f t="array" ref="D631">IF(B631="","",IFERROR(INDEX('FUNCIONÁRIOS'!$D$4:$D$501,MATCH(B631,'FUNCIONÁRIOS'!$C$4:$C$501,0)),""))</f>
        <v>MONTADOR </v>
      </c>
      <c r="E631" s="199" t="str">
        <f t="array" ref="E631">IF(B631="","",IFERROR(INDEX('FUNCIONÁRIOS'!$E$4:$E$501,MATCH(B631,'FUNCIONÁRIOS'!$C$4:$C$501,0)),""))</f>
        <v>NÃO</v>
      </c>
      <c r="F631" s="138">
        <v>46168.0</v>
      </c>
      <c r="G631" s="195" t="str">
        <f t="shared" si="41"/>
        <v>✅ 12:39</v>
      </c>
      <c r="H631" s="200" t="s">
        <v>1852</v>
      </c>
      <c r="I631" s="197" t="str">
        <f t="shared" si="39"/>
        <v>→ Selecione a linha e use o menu ⏱️ Ponto</v>
      </c>
      <c r="J631" s="181"/>
      <c r="K631" s="182"/>
      <c r="L631" s="122" t="str">
        <f t="shared" si="40"/>
        <v>🟢 No Evento</v>
      </c>
    </row>
    <row r="632" ht="15.75" customHeight="1">
      <c r="A632" s="13"/>
      <c r="B632" s="193" t="s">
        <v>775</v>
      </c>
      <c r="C632" s="194" t="str">
        <f t="array" ref="C632">IF(B632="","",IFERROR(INDEX('FUNCIONÁRIOS'!$B$4:$B$501,MATCH(B632,'FUNCIONÁRIOS'!$C$4:$C$501,0)),""))</f>
        <v>PRIVILEGE EVENTOS </v>
      </c>
      <c r="D632" s="194" t="str">
        <f t="array" ref="D632">IF(B632="","",IFERROR(INDEX('FUNCIONÁRIOS'!$D$4:$D$501,MATCH(B632,'FUNCIONÁRIOS'!$C$4:$C$501,0)),""))</f>
        <v>COORDENADOR</v>
      </c>
      <c r="E632" s="194" t="str">
        <f t="array" ref="E632">IF(B632="","",IFERROR(INDEX('FUNCIONÁRIOS'!$E$4:$E$501,MATCH(B632,'FUNCIONÁRIOS'!$C$4:$C$501,0)),""))</f>
        <v>NÃO</v>
      </c>
      <c r="F632" s="138">
        <v>46168.0</v>
      </c>
      <c r="G632" s="195" t="str">
        <f t="shared" si="41"/>
        <v>✅ 12:40</v>
      </c>
      <c r="H632" s="196" t="s">
        <v>1853</v>
      </c>
      <c r="I632" s="197" t="str">
        <f t="shared" si="39"/>
        <v>→ Selecione a linha e use o menu ⏱️ Ponto</v>
      </c>
      <c r="J632" s="180"/>
      <c r="K632" s="179"/>
      <c r="L632" s="119" t="str">
        <f t="shared" si="40"/>
        <v>🟢 No Evento</v>
      </c>
    </row>
    <row r="633" ht="15.75" customHeight="1">
      <c r="A633" s="13"/>
      <c r="B633" s="198" t="s">
        <v>777</v>
      </c>
      <c r="C633" s="199" t="str">
        <f t="array" ref="C633">IF(B633="","",IFERROR(INDEX('FUNCIONÁRIOS'!$B$4:$B$501,MATCH(B633,'FUNCIONÁRIOS'!$C$4:$C$501,0)),""))</f>
        <v>PRIVILEGE EVENTOS </v>
      </c>
      <c r="D633" s="199" t="str">
        <f t="array" ref="D633">IF(B633="","",IFERROR(INDEX('FUNCIONÁRIOS'!$D$4:$D$501,MATCH(B633,'FUNCIONÁRIOS'!$C$4:$C$501,0)),""))</f>
        <v>MONTADOR </v>
      </c>
      <c r="E633" s="199" t="str">
        <f t="array" ref="E633">IF(B633="","",IFERROR(INDEX('FUNCIONÁRIOS'!$E$4:$E$501,MATCH(B633,'FUNCIONÁRIOS'!$C$4:$C$501,0)),""))</f>
        <v>NÃO</v>
      </c>
      <c r="F633" s="138">
        <v>46168.0</v>
      </c>
      <c r="G633" s="195" t="str">
        <f t="shared" si="41"/>
        <v>✅ 12:40</v>
      </c>
      <c r="H633" s="200" t="s">
        <v>1853</v>
      </c>
      <c r="I633" s="197" t="str">
        <f t="shared" si="39"/>
        <v>→ Selecione a linha e use o menu ⏱️ Ponto</v>
      </c>
      <c r="J633" s="181"/>
      <c r="K633" s="182"/>
      <c r="L633" s="122" t="str">
        <f t="shared" si="40"/>
        <v>🟢 No Evento</v>
      </c>
    </row>
    <row r="634" ht="15.75" customHeight="1">
      <c r="A634" s="13"/>
      <c r="B634" s="204" t="s">
        <v>779</v>
      </c>
      <c r="C634" s="194" t="str">
        <f t="array" ref="C634">IF(B634="","",IFERROR(INDEX('FUNCIONÁRIOS'!$B$4:$B$501,MATCH(B634,'FUNCIONÁRIOS'!$C$4:$C$501,0)),""))</f>
        <v>PRIVILEGE EVENTOS </v>
      </c>
      <c r="D634" s="194" t="str">
        <f t="array" ref="D634">IF(B634="","",IFERROR(INDEX('FUNCIONÁRIOS'!$D$4:$D$501,MATCH(B634,'FUNCIONÁRIOS'!$C$4:$C$501,0)),""))</f>
        <v>MONTADOR </v>
      </c>
      <c r="E634" s="194" t="str">
        <f t="array" ref="E634">IF(B634="","",IFERROR(INDEX('FUNCIONÁRIOS'!$E$4:$E$501,MATCH(B634,'FUNCIONÁRIOS'!$C$4:$C$501,0)),""))</f>
        <v>NÃO</v>
      </c>
      <c r="F634" s="138">
        <v>46168.0</v>
      </c>
      <c r="G634" s="195" t="str">
        <f t="shared" si="41"/>
        <v>✅ 12:42</v>
      </c>
      <c r="H634" s="196" t="s">
        <v>1854</v>
      </c>
      <c r="I634" s="197" t="str">
        <f t="shared" si="39"/>
        <v>→ Selecione a linha e use o menu ⏱️ Ponto</v>
      </c>
      <c r="J634" s="180"/>
      <c r="K634" s="179"/>
      <c r="L634" s="119" t="str">
        <f t="shared" si="40"/>
        <v>🟢 No Evento</v>
      </c>
    </row>
    <row r="635" ht="15.75" customHeight="1">
      <c r="A635" s="13"/>
      <c r="B635" s="205" t="s">
        <v>780</v>
      </c>
      <c r="C635" s="206" t="str">
        <f t="array" ref="C635">IF(B635="","",IFERROR(INDEX('FUNCIONÁRIOS'!$B$4:$B$501,MATCH(B635,'FUNCIONÁRIOS'!$C$4:$C$501,0)),""))</f>
        <v>MIX GERADORES</v>
      </c>
      <c r="D635" s="199" t="str">
        <f t="array" ref="D635">IF(B635="","",IFERROR(INDEX('FUNCIONÁRIOS'!$D$4:$D$501,MATCH(B635,'FUNCIONÁRIOS'!$C$4:$C$501,0)),""))</f>
        <v>TECNICO</v>
      </c>
      <c r="E635" s="199" t="str">
        <f t="array" ref="E635">IF(B635="","",IFERROR(INDEX('FUNCIONÁRIOS'!$E$4:$E$501,MATCH(B635,'FUNCIONÁRIOS'!$C$4:$C$501,0)),""))</f>
        <v>NÃO</v>
      </c>
      <c r="F635" s="138">
        <v>46168.0</v>
      </c>
      <c r="G635" s="195" t="str">
        <f t="shared" si="41"/>
        <v>✅ 13:19</v>
      </c>
      <c r="H635" s="200" t="s">
        <v>1855</v>
      </c>
      <c r="I635" s="197" t="str">
        <f t="shared" si="39"/>
        <v>→ Selecione a linha e use o menu ⏱️ Ponto</v>
      </c>
      <c r="J635" s="181"/>
      <c r="K635" s="182"/>
      <c r="L635" s="122" t="str">
        <f t="shared" si="40"/>
        <v>🟢 No Evento</v>
      </c>
    </row>
    <row r="636" ht="15.75" customHeight="1">
      <c r="A636" s="13"/>
      <c r="B636" s="205" t="s">
        <v>781</v>
      </c>
      <c r="C636" s="206" t="str">
        <f t="array" ref="C636">IF(B636="","",IFERROR(INDEX('FUNCIONÁRIOS'!$B$4:$B$501,MATCH(B636,'FUNCIONÁRIOS'!$C$4:$C$501,0)),""))</f>
        <v>MIX GERADORES</v>
      </c>
      <c r="D636" s="199" t="str">
        <f t="array" ref="D636">IF(B636="","",IFERROR(INDEX('FUNCIONÁRIOS'!$D$4:$D$501,MATCH(B636,'FUNCIONÁRIOS'!$C$4:$C$501,0)),""))</f>
        <v>OPERADOR DE GERADOR </v>
      </c>
      <c r="E636" s="199" t="str">
        <f t="array" ref="E636">IF(B636="","",IFERROR(INDEX('FUNCIONÁRIOS'!$E$4:$E$501,MATCH(B636,'FUNCIONÁRIOS'!$C$4:$C$501,0)),""))</f>
        <v>NÃO</v>
      </c>
      <c r="F636" s="138">
        <v>46168.0</v>
      </c>
      <c r="G636" s="195" t="str">
        <f t="shared" si="41"/>
        <v>✅ 13:19</v>
      </c>
      <c r="H636" s="200" t="s">
        <v>1855</v>
      </c>
      <c r="I636" s="197" t="str">
        <f t="shared" si="39"/>
        <v>→ Selecione a linha e use o menu ⏱️ Ponto</v>
      </c>
      <c r="J636" s="180"/>
      <c r="K636" s="179"/>
      <c r="L636" s="119" t="str">
        <f t="shared" si="40"/>
        <v>🟢 No Evento</v>
      </c>
    </row>
    <row r="637" ht="15.75" customHeight="1">
      <c r="A637" s="13"/>
      <c r="B637" s="205" t="s">
        <v>783</v>
      </c>
      <c r="C637" s="206" t="str">
        <f t="array" ref="C637">IF(B637="","",IFERROR(INDEX('FUNCIONÁRIOS'!$B$4:$B$501,MATCH(B637,'FUNCIONÁRIOS'!$C$4:$C$501,0)),""))</f>
        <v>MIX GERADORES</v>
      </c>
      <c r="D637" s="199" t="str">
        <f t="array" ref="D637">IF(B637="","",IFERROR(INDEX('FUNCIONÁRIOS'!$D$4:$D$501,MATCH(B637,'FUNCIONÁRIOS'!$C$4:$C$501,0)),""))</f>
        <v>OPERADOR DE GERADOR </v>
      </c>
      <c r="E637" s="199" t="str">
        <f t="array" ref="E637">IF(B637="","",IFERROR(INDEX('FUNCIONÁRIOS'!$E$4:$E$501,MATCH(B637,'FUNCIONÁRIOS'!$C$4:$C$501,0)),""))</f>
        <v>NÃO</v>
      </c>
      <c r="F637" s="138">
        <v>46168.0</v>
      </c>
      <c r="G637" s="195" t="str">
        <f t="shared" si="41"/>
        <v>✅ 13:19</v>
      </c>
      <c r="H637" s="200" t="s">
        <v>1855</v>
      </c>
      <c r="I637" s="197" t="str">
        <f t="shared" si="39"/>
        <v>→ Selecione a linha e use o menu ⏱️ Ponto</v>
      </c>
      <c r="J637" s="181"/>
      <c r="K637" s="182"/>
      <c r="L637" s="122" t="str">
        <f t="shared" si="40"/>
        <v>🟢 No Evento</v>
      </c>
    </row>
    <row r="638" ht="15.75" customHeight="1">
      <c r="A638" s="13"/>
      <c r="B638" s="207" t="s">
        <v>240</v>
      </c>
      <c r="C638" s="199" t="str">
        <f t="array" ref="C638">IF(B638="","",IFERROR(INDEX('FUNCIONÁRIOS'!$B$4:$B$501,MATCH(B638,'FUNCIONÁRIOS'!$C$4:$C$501,0)),""))</f>
        <v>REISFORT</v>
      </c>
      <c r="D638" s="199" t="str">
        <f t="array" ref="D638">IF(B638="","",IFERROR(INDEX('FUNCIONÁRIOS'!$D$4:$D$501,MATCH(B638,'FUNCIONÁRIOS'!$C$4:$C$501,0)),""))</f>
        <v>MONTADOR </v>
      </c>
      <c r="E638" s="199" t="str">
        <f t="array" ref="E638">IF(B638="","",IFERROR(INDEX('FUNCIONÁRIOS'!$E$4:$E$501,MATCH(B638,'FUNCIONÁRIOS'!$C$4:$C$501,0)),""))</f>
        <v>NÃO</v>
      </c>
      <c r="F638" s="138">
        <v>46168.0</v>
      </c>
      <c r="G638" s="195" t="str">
        <f t="shared" si="41"/>
        <v>✅ 13:21</v>
      </c>
      <c r="H638" s="200" t="s">
        <v>1856</v>
      </c>
      <c r="I638" s="197" t="str">
        <f t="shared" si="39"/>
        <v>→ Selecione a linha e use o menu ⏱️ Ponto</v>
      </c>
      <c r="J638" s="180"/>
      <c r="K638" s="179"/>
      <c r="L638" s="119" t="str">
        <f t="shared" si="40"/>
        <v>🟢 No Evento</v>
      </c>
    </row>
    <row r="639" ht="15.75" customHeight="1">
      <c r="A639" s="13"/>
      <c r="B639" s="198" t="s">
        <v>243</v>
      </c>
      <c r="C639" s="199" t="str">
        <f t="array" ref="C639">IF(B639="","",IFERROR(INDEX('FUNCIONÁRIOS'!$B$4:$B$501,MATCH(B639,'FUNCIONÁRIOS'!$C$4:$C$501,0)),""))</f>
        <v>REISFORT</v>
      </c>
      <c r="D639" s="199" t="str">
        <f t="array" ref="D639">IF(B639="","",IFERROR(INDEX('FUNCIONÁRIOS'!$D$4:$D$501,MATCH(B639,'FUNCIONÁRIOS'!$C$4:$C$501,0)),""))</f>
        <v>MONTADOR </v>
      </c>
      <c r="E639" s="199" t="str">
        <f t="array" ref="E639">IF(B639="","",IFERROR(INDEX('FUNCIONÁRIOS'!$E$4:$E$501,MATCH(B639,'FUNCIONÁRIOS'!$C$4:$C$501,0)),""))</f>
        <v>NÃO</v>
      </c>
      <c r="F639" s="138">
        <v>46168.0</v>
      </c>
      <c r="G639" s="195" t="str">
        <f t="shared" si="41"/>
        <v>✅ 13:21</v>
      </c>
      <c r="H639" s="200" t="s">
        <v>1856</v>
      </c>
      <c r="I639" s="197" t="str">
        <f t="shared" si="39"/>
        <v>→ Selecione a linha e use o menu ⏱️ Ponto</v>
      </c>
      <c r="J639" s="181"/>
      <c r="K639" s="182"/>
      <c r="L639" s="122" t="str">
        <f t="shared" si="40"/>
        <v>🟢 No Evento</v>
      </c>
    </row>
    <row r="640" ht="15.75" customHeight="1">
      <c r="A640" s="13"/>
      <c r="B640" s="198" t="s">
        <v>249</v>
      </c>
      <c r="C640" s="199" t="str">
        <f t="array" ref="C640">IF(B640="","",IFERROR(INDEX('FUNCIONÁRIOS'!$B$4:$B$501,MATCH(B640,'FUNCIONÁRIOS'!$C$4:$C$501,0)),""))</f>
        <v>REISFORT</v>
      </c>
      <c r="D640" s="199" t="str">
        <f t="array" ref="D640">IF(B640="","",IFERROR(INDEX('FUNCIONÁRIOS'!$D$4:$D$501,MATCH(B640,'FUNCIONÁRIOS'!$C$4:$C$501,0)),""))</f>
        <v>MOTORISTA </v>
      </c>
      <c r="E640" s="199" t="str">
        <f t="array" ref="E640">IF(B640="","",IFERROR(INDEX('FUNCIONÁRIOS'!$E$4:$E$501,MATCH(B640,'FUNCIONÁRIOS'!$C$4:$C$501,0)),""))</f>
        <v>NÃO</v>
      </c>
      <c r="F640" s="138">
        <v>46168.0</v>
      </c>
      <c r="G640" s="195" t="str">
        <f t="shared" si="41"/>
        <v>✅ 13:22</v>
      </c>
      <c r="H640" s="200" t="s">
        <v>1857</v>
      </c>
      <c r="I640" s="197" t="str">
        <f t="shared" si="39"/>
        <v>→ Selecione a linha e use o menu ⏱️ Ponto</v>
      </c>
      <c r="J640" s="180"/>
      <c r="K640" s="179"/>
      <c r="L640" s="119" t="str">
        <f t="shared" si="40"/>
        <v>🟢 No Evento</v>
      </c>
    </row>
    <row r="641" ht="15.75" customHeight="1">
      <c r="A641" s="13"/>
      <c r="B641" s="198" t="s">
        <v>651</v>
      </c>
      <c r="C641" s="199" t="str">
        <f t="array" ref="C641">IF(B641="","",IFERROR(INDEX('FUNCIONÁRIOS'!$B$4:$B$501,MATCH(B641,'FUNCIONÁRIOS'!$C$4:$C$501,0)),""))</f>
        <v>STUDIO K MULTI EVENTOS LTDA </v>
      </c>
      <c r="D641" s="199" t="str">
        <f t="array" ref="D641">IF(B641="","",IFERROR(INDEX('FUNCIONÁRIOS'!$D$4:$D$501,MATCH(B641,'FUNCIONÁRIOS'!$C$4:$C$501,0)),""))</f>
        <v>FRETE</v>
      </c>
      <c r="E641" s="199" t="str">
        <f t="array" ref="E641">IF(B641="","",IFERROR(INDEX('FUNCIONÁRIOS'!$E$4:$E$501,MATCH(B641,'FUNCIONÁRIOS'!$C$4:$C$501,0)),""))</f>
        <v>NÃO</v>
      </c>
      <c r="F641" s="138">
        <v>46168.0</v>
      </c>
      <c r="G641" s="195" t="str">
        <f t="shared" si="41"/>
        <v>✅ 13:32</v>
      </c>
      <c r="H641" s="200" t="s">
        <v>1858</v>
      </c>
      <c r="I641" s="197" t="str">
        <f t="shared" si="39"/>
        <v>→ Selecione a linha e use o menu ⏱️ Ponto</v>
      </c>
      <c r="J641" s="181"/>
      <c r="K641" s="182"/>
      <c r="L641" s="122" t="str">
        <f t="shared" si="40"/>
        <v>🟢 No Evento</v>
      </c>
    </row>
    <row r="642" ht="15.75" customHeight="1">
      <c r="A642" s="13"/>
      <c r="B642" s="198" t="s">
        <v>234</v>
      </c>
      <c r="C642" s="199" t="str">
        <f t="array" ref="C642">IF(B642="","",IFERROR(INDEX('FUNCIONÁRIOS'!$B$4:$B$501,MATCH(B642,'FUNCIONÁRIOS'!$C$4:$C$501,0)),""))</f>
        <v>EL SHADDAI</v>
      </c>
      <c r="D642" s="199" t="str">
        <f t="array" ref="D642">IF(B642="","",IFERROR(INDEX('FUNCIONÁRIOS'!$D$4:$D$501,MATCH(B642,'FUNCIONÁRIOS'!$C$4:$C$501,0)),""))</f>
        <v>ENGENHARIA DE PRODUÇÃO </v>
      </c>
      <c r="E642" s="199" t="str">
        <f t="array" ref="E642">IF(B642="","",IFERROR(INDEX('FUNCIONÁRIOS'!$E$4:$E$501,MATCH(B642,'FUNCIONÁRIOS'!$C$4:$C$501,0)),""))</f>
        <v>NÃO</v>
      </c>
      <c r="F642" s="138">
        <v>46168.0</v>
      </c>
      <c r="G642" s="195" t="str">
        <f t="shared" si="41"/>
        <v>✅ 13:32</v>
      </c>
      <c r="H642" s="200" t="s">
        <v>1858</v>
      </c>
      <c r="I642" s="197" t="str">
        <f t="shared" si="39"/>
        <v>✅ 17:40</v>
      </c>
      <c r="J642" s="174" t="s">
        <v>1795</v>
      </c>
      <c r="K642" s="175">
        <v>0.17222222222222228</v>
      </c>
      <c r="L642" s="119" t="str">
        <f t="shared" si="40"/>
        <v>✅ Finalizado</v>
      </c>
    </row>
    <row r="643" ht="15.75" customHeight="1">
      <c r="A643" s="13"/>
      <c r="B643" s="198" t="s">
        <v>784</v>
      </c>
      <c r="C643" s="199" t="str">
        <f t="array" ref="C643">IF(B643="","",IFERROR(INDEX('FUNCIONÁRIOS'!$B$4:$B$501,MATCH(B643,'FUNCIONÁRIOS'!$C$4:$C$501,0)),""))</f>
        <v>STUDIO K MULTI EVENTOS LTDA </v>
      </c>
      <c r="D643" s="199" t="str">
        <f t="array" ref="D643">IF(B643="","",IFERROR(INDEX('FUNCIONÁRIOS'!$D$4:$D$501,MATCH(B643,'FUNCIONÁRIOS'!$C$4:$C$501,0)),""))</f>
        <v>DIRETOR </v>
      </c>
      <c r="E643" s="199" t="str">
        <f t="array" ref="E643">IF(B643="","",IFERROR(INDEX('FUNCIONÁRIOS'!$E$4:$E$501,MATCH(B643,'FUNCIONÁRIOS'!$C$4:$C$501,0)),""))</f>
        <v>NÃO</v>
      </c>
      <c r="F643" s="138">
        <v>46168.0</v>
      </c>
      <c r="G643" s="195" t="str">
        <f t="shared" si="41"/>
        <v>✅ 13:46</v>
      </c>
      <c r="H643" s="200" t="s">
        <v>1859</v>
      </c>
      <c r="I643" s="197" t="str">
        <f t="shared" si="39"/>
        <v>→ Selecione a linha e use o menu ⏱️ Ponto</v>
      </c>
      <c r="J643" s="180"/>
      <c r="K643" s="179"/>
      <c r="L643" s="119" t="str">
        <f t="shared" si="40"/>
        <v>🟢 No Evento</v>
      </c>
    </row>
    <row r="644" ht="15.75" customHeight="1">
      <c r="A644" s="13"/>
      <c r="B644" s="198" t="s">
        <v>785</v>
      </c>
      <c r="C644" s="199" t="str">
        <f t="array" ref="C644">IF(B644="","",IFERROR(INDEX('FUNCIONÁRIOS'!$B$4:$B$501,MATCH(B644,'FUNCIONÁRIOS'!$C$4:$C$501,0)),""))</f>
        <v>PRIVILEGE EVENTOS </v>
      </c>
      <c r="D644" s="199" t="str">
        <f t="array" ref="D644">IF(B644="","",IFERROR(INDEX('FUNCIONÁRIOS'!$D$4:$D$501,MATCH(B644,'FUNCIONÁRIOS'!$C$4:$C$501,0)),""))</f>
        <v>MONTADOR </v>
      </c>
      <c r="E644" s="199" t="str">
        <f t="array" ref="E644">IF(B644="","",IFERROR(INDEX('FUNCIONÁRIOS'!$E$4:$E$501,MATCH(B644,'FUNCIONÁRIOS'!$C$4:$C$501,0)),""))</f>
        <v>NÃO</v>
      </c>
      <c r="F644" s="138">
        <v>46168.0</v>
      </c>
      <c r="G644" s="195" t="str">
        <f t="shared" si="41"/>
        <v>✅ 13:47</v>
      </c>
      <c r="H644" s="200" t="s">
        <v>1640</v>
      </c>
      <c r="I644" s="197" t="str">
        <f t="shared" si="39"/>
        <v>→ Selecione a linha e use o menu ⏱️ Ponto</v>
      </c>
      <c r="J644" s="181"/>
      <c r="K644" s="182"/>
      <c r="L644" s="122" t="str">
        <f t="shared" si="40"/>
        <v>🟢 No Evento</v>
      </c>
    </row>
    <row r="645" ht="15.75" customHeight="1">
      <c r="A645" s="13"/>
      <c r="B645" s="198" t="s">
        <v>786</v>
      </c>
      <c r="C645" s="199" t="str">
        <f t="array" ref="C645">IF(B645="","",IFERROR(INDEX('FUNCIONÁRIOS'!$B$4:$B$501,MATCH(B645,'FUNCIONÁRIOS'!$C$4:$C$501,0)),""))</f>
        <v>PRIVILEGE EVENTOS </v>
      </c>
      <c r="D645" s="199" t="str">
        <f t="array" ref="D645">IF(B645="","",IFERROR(INDEX('FUNCIONÁRIOS'!$D$4:$D$501,MATCH(B645,'FUNCIONÁRIOS'!$C$4:$C$501,0)),""))</f>
        <v>MONTADOR </v>
      </c>
      <c r="E645" s="199" t="str">
        <f t="array" ref="E645">IF(B645="","",IFERROR(INDEX('FUNCIONÁRIOS'!$E$4:$E$501,MATCH(B645,'FUNCIONÁRIOS'!$C$4:$C$501,0)),""))</f>
        <v>NÃO</v>
      </c>
      <c r="F645" s="138">
        <v>46168.0</v>
      </c>
      <c r="G645" s="195" t="str">
        <f t="shared" si="41"/>
        <v>✅ 13:50</v>
      </c>
      <c r="H645" s="200" t="s">
        <v>1701</v>
      </c>
      <c r="I645" s="197" t="str">
        <f t="shared" si="39"/>
        <v>→ Selecione a linha e use o menu ⏱️ Ponto</v>
      </c>
      <c r="J645" s="180"/>
      <c r="K645" s="179"/>
      <c r="L645" s="119" t="str">
        <f t="shared" si="40"/>
        <v>🟢 No Evento</v>
      </c>
    </row>
    <row r="646" ht="15.75" customHeight="1">
      <c r="A646" s="13"/>
      <c r="B646" s="198" t="s">
        <v>425</v>
      </c>
      <c r="C646" s="199" t="str">
        <f t="array" ref="C646">IF(B646="","",IFERROR(INDEX('FUNCIONÁRIOS'!$B$4:$B$501,MATCH(B646,'FUNCIONÁRIOS'!$C$4:$C$501,0)),""))</f>
        <v>GO TO </v>
      </c>
      <c r="D646" s="199" t="str">
        <f t="array" ref="D646">IF(B646="","",IFERROR(INDEX('FUNCIONÁRIOS'!$D$4:$D$501,MATCH(B646,'FUNCIONÁRIOS'!$C$4:$C$501,0)),""))</f>
        <v>Montagem</v>
      </c>
      <c r="E646" s="199" t="str">
        <f t="array" ref="E646">IF(B646="","",IFERROR(INDEX('FUNCIONÁRIOS'!$E$4:$E$501,MATCH(B646,'FUNCIONÁRIOS'!$C$4:$C$501,0)),""))</f>
        <v>SIM</v>
      </c>
      <c r="F646" s="138">
        <v>46168.0</v>
      </c>
      <c r="G646" s="195" t="str">
        <f t="shared" si="41"/>
        <v>✅ 13:56</v>
      </c>
      <c r="H646" s="200" t="s">
        <v>1860</v>
      </c>
      <c r="I646" s="197" t="str">
        <f t="shared" si="39"/>
        <v>→ Selecione a linha e use o menu ⏱️ Ponto</v>
      </c>
      <c r="J646" s="181"/>
      <c r="K646" s="182"/>
      <c r="L646" s="122" t="str">
        <f t="shared" si="40"/>
        <v>🟢 No Evento</v>
      </c>
    </row>
    <row r="647" ht="15.75" customHeight="1">
      <c r="A647" s="13"/>
      <c r="B647" s="198" t="s">
        <v>251</v>
      </c>
      <c r="C647" s="199" t="str">
        <f t="array" ref="C647">IF(B647="","",IFERROR(INDEX('FUNCIONÁRIOS'!$B$4:$B$501,MATCH(B647,'FUNCIONÁRIOS'!$C$4:$C$501,0)),""))</f>
        <v>GO TO </v>
      </c>
      <c r="D647" s="199" t="str">
        <f t="array" ref="D647">IF(B647="","",IFERROR(INDEX('FUNCIONÁRIOS'!$D$4:$D$501,MATCH(B647,'FUNCIONÁRIOS'!$C$4:$C$501,0)),""))</f>
        <v>CENOTECNICO </v>
      </c>
      <c r="E647" s="199" t="str">
        <f t="array" ref="E647">IF(B647="","",IFERROR(INDEX('FUNCIONÁRIOS'!$E$4:$E$501,MATCH(B647,'FUNCIONÁRIOS'!$C$4:$C$501,0)),""))</f>
        <v>NÃO</v>
      </c>
      <c r="F647" s="138">
        <v>46168.0</v>
      </c>
      <c r="G647" s="195" t="str">
        <f t="shared" si="41"/>
        <v>✅ 14:12</v>
      </c>
      <c r="H647" s="200" t="s">
        <v>1861</v>
      </c>
      <c r="I647" s="197" t="str">
        <f t="shared" si="39"/>
        <v>→ Selecione a linha e use o menu ⏱️ Ponto</v>
      </c>
      <c r="J647" s="181"/>
      <c r="K647" s="182"/>
      <c r="L647" s="122" t="str">
        <f t="shared" si="40"/>
        <v>🟢 No Evento</v>
      </c>
    </row>
    <row r="648" ht="15.75" customHeight="1">
      <c r="A648" s="13"/>
      <c r="B648" s="198" t="s">
        <v>787</v>
      </c>
      <c r="C648" s="199" t="str">
        <f t="array" ref="C648">IF(B648="","",IFERROR(INDEX('FUNCIONÁRIOS'!$B$4:$B$501,MATCH(B648,'FUNCIONÁRIOS'!$C$4:$C$501,0)),""))</f>
        <v>ASSOCIAÇÃO ASSUNÇÃO </v>
      </c>
      <c r="D648" s="199" t="str">
        <f t="array" ref="D648">IF(B648="","",IFERROR(INDEX('FUNCIONÁRIOS'!$D$4:$D$501,MATCH(B648,'FUNCIONÁRIOS'!$C$4:$C$501,0)),""))</f>
        <v>VOLUNTARIA </v>
      </c>
      <c r="E648" s="199" t="str">
        <f t="array" ref="E648">IF(B648="","",IFERROR(INDEX('FUNCIONÁRIOS'!$E$4:$E$501,MATCH(B648,'FUNCIONÁRIOS'!$C$4:$C$501,0)),""))</f>
        <v>NÃO</v>
      </c>
      <c r="F648" s="138">
        <v>46168.0</v>
      </c>
      <c r="G648" s="195" t="str">
        <f t="shared" si="41"/>
        <v>✅ 14:21</v>
      </c>
      <c r="H648" s="200" t="s">
        <v>1862</v>
      </c>
      <c r="I648" s="197" t="str">
        <f t="shared" si="39"/>
        <v>→ Selecione a linha e use o menu ⏱️ Ponto</v>
      </c>
      <c r="J648" s="180"/>
      <c r="K648" s="179"/>
      <c r="L648" s="119" t="str">
        <f t="shared" si="40"/>
        <v>🟢 No Evento</v>
      </c>
    </row>
    <row r="649" ht="15.75" customHeight="1">
      <c r="A649" s="13"/>
      <c r="B649" s="198" t="s">
        <v>244</v>
      </c>
      <c r="C649" s="199" t="str">
        <f t="array" ref="C649">IF(B649="","",IFERROR(INDEX('FUNCIONÁRIOS'!$B$4:$B$501,MATCH(B649,'FUNCIONÁRIOS'!$C$4:$C$501,0)),""))</f>
        <v>REISFORT</v>
      </c>
      <c r="D649" s="199" t="str">
        <f t="array" ref="D649">IF(B649="","",IFERROR(INDEX('FUNCIONÁRIOS'!$D$4:$D$501,MATCH(B649,'FUNCIONÁRIOS'!$C$4:$C$501,0)),""))</f>
        <v>MONTADOR </v>
      </c>
      <c r="E649" s="199" t="str">
        <f t="array" ref="E649">IF(B649="","",IFERROR(INDEX('FUNCIONÁRIOS'!$E$4:$E$501,MATCH(B649,'FUNCIONÁRIOS'!$C$4:$C$501,0)),""))</f>
        <v>NÃO</v>
      </c>
      <c r="F649" s="138">
        <v>46168.0</v>
      </c>
      <c r="G649" s="195" t="str">
        <f t="shared" si="41"/>
        <v>✅ 14;47</v>
      </c>
      <c r="H649" s="200" t="s">
        <v>1863</v>
      </c>
      <c r="I649" s="197" t="str">
        <f t="shared" si="39"/>
        <v>→ Selecione a linha e use o menu ⏱️ Ponto</v>
      </c>
      <c r="J649" s="208"/>
      <c r="K649" s="209"/>
      <c r="L649" s="210" t="str">
        <f t="shared" si="40"/>
        <v>🟢 No Evento</v>
      </c>
    </row>
    <row r="650" ht="15.75" customHeight="1">
      <c r="A650" s="13"/>
      <c r="B650" s="198" t="s">
        <v>790</v>
      </c>
      <c r="C650" s="199" t="str">
        <f t="array" ref="C650">IF(B650="","",IFERROR(INDEX('FUNCIONÁRIOS'!$B$4:$B$501,MATCH(B650,'FUNCIONÁRIOS'!$C$4:$C$501,0)),""))</f>
        <v>REISFORT</v>
      </c>
      <c r="D650" s="199" t="str">
        <f t="array" ref="D650">IF(B650="","",IFERROR(INDEX('FUNCIONÁRIOS'!$D$4:$D$501,MATCH(B650,'FUNCIONÁRIOS'!$C$4:$C$501,0)),""))</f>
        <v>MONTADOR </v>
      </c>
      <c r="E650" s="199" t="str">
        <f t="array" ref="E650">IF(B650="","",IFERROR(INDEX('FUNCIONÁRIOS'!$E$4:$E$501,MATCH(B650,'FUNCIONÁRIOS'!$C$4:$C$501,0)),""))</f>
        <v>NÃO</v>
      </c>
      <c r="F650" s="138">
        <v>46168.0</v>
      </c>
      <c r="G650" s="195" t="str">
        <f t="shared" si="41"/>
        <v>✅ 14;47</v>
      </c>
      <c r="H650" s="200" t="s">
        <v>1863</v>
      </c>
      <c r="I650" s="197" t="str">
        <f t="shared" si="39"/>
        <v>→ Selecione a linha e use o menu ⏱️ Ponto</v>
      </c>
      <c r="J650" s="211"/>
      <c r="K650" s="212"/>
      <c r="L650" s="210" t="str">
        <f t="shared" si="40"/>
        <v>🟢 No Evento</v>
      </c>
    </row>
    <row r="651" ht="15.75" customHeight="1">
      <c r="A651" s="13"/>
      <c r="B651" s="198" t="s">
        <v>804</v>
      </c>
      <c r="C651" s="199" t="str">
        <f t="array" ref="C651">IF(B651="","",IFERROR(INDEX('FUNCIONÁRIOS'!$B$4:$B$501,MATCH(B651,'FUNCIONÁRIOS'!$C$4:$C$501,0)),""))</f>
        <v>VOLUNTÁRIO</v>
      </c>
      <c r="D651" s="199" t="str">
        <f t="array" ref="D651">IF(B651="","",IFERROR(INDEX('FUNCIONÁRIOS'!$D$4:$D$501,MATCH(B651,'FUNCIONÁRIOS'!$C$4:$C$501,0)),""))</f>
        <v>Videomaker</v>
      </c>
      <c r="E651" s="199" t="str">
        <f t="array" ref="E651">IF(B651="","",IFERROR(INDEX('FUNCIONÁRIOS'!$E$4:$E$501,MATCH(B651,'FUNCIONÁRIOS'!$C$4:$C$501,0)),""))</f>
        <v>NÃO</v>
      </c>
      <c r="F651" s="138">
        <v>46168.0</v>
      </c>
      <c r="G651" s="195" t="str">
        <f t="shared" si="41"/>
        <v>✅ 15;02</v>
      </c>
      <c r="H651" s="200" t="s">
        <v>1864</v>
      </c>
      <c r="I651" s="197" t="str">
        <f t="shared" si="39"/>
        <v>→ Selecione a linha e use o menu ⏱️ Ponto</v>
      </c>
      <c r="J651" s="181"/>
      <c r="K651" s="182"/>
      <c r="L651" s="122" t="str">
        <f t="shared" si="40"/>
        <v>🟢 No Evento</v>
      </c>
    </row>
    <row r="652" ht="15.75" customHeight="1">
      <c r="A652" s="13"/>
      <c r="B652" s="198" t="s">
        <v>796</v>
      </c>
      <c r="C652" s="199" t="str">
        <f t="array" ref="C652">IF(B652="","",IFERROR(INDEX('FUNCIONÁRIOS'!$B$4:$B$501,MATCH(B652,'FUNCIONÁRIOS'!$C$4:$C$501,0)),""))</f>
        <v>VOLUNTÁRIO</v>
      </c>
      <c r="D652" s="199" t="str">
        <f t="array" ref="D652">IF(B652="","",IFERROR(INDEX('FUNCIONÁRIOS'!$D$4:$D$501,MATCH(B652,'FUNCIONÁRIOS'!$C$4:$C$501,0)),""))</f>
        <v>Social Media </v>
      </c>
      <c r="E652" s="199" t="str">
        <f t="array" ref="E652">IF(B652="","",IFERROR(INDEX('FUNCIONÁRIOS'!$E$4:$E$501,MATCH(B652,'FUNCIONÁRIOS'!$C$4:$C$501,0)),""))</f>
        <v>NÃO</v>
      </c>
      <c r="F652" s="138">
        <v>46168.0</v>
      </c>
      <c r="G652" s="195" t="str">
        <f t="shared" si="41"/>
        <v>✅ 15;04</v>
      </c>
      <c r="H652" s="200" t="s">
        <v>1865</v>
      </c>
      <c r="I652" s="197" t="str">
        <f t="shared" si="39"/>
        <v>→ Selecione a linha e use o menu ⏱️ Ponto</v>
      </c>
      <c r="J652" s="180"/>
      <c r="K652" s="179"/>
      <c r="L652" s="119" t="str">
        <f t="shared" si="40"/>
        <v>🟢 No Evento</v>
      </c>
    </row>
    <row r="653" ht="15.75" customHeight="1">
      <c r="A653" s="13"/>
      <c r="B653" s="171" t="s">
        <v>844</v>
      </c>
      <c r="C653" s="199" t="str">
        <f t="array" ref="C653">IF(B653="","",IFERROR(INDEX('FUNCIONÁRIOS'!$B$4:$B$501,MATCH(B653,'FUNCIONÁRIOS'!$C$4:$C$501,0)),""))</f>
        <v>MIX GERADORES</v>
      </c>
      <c r="D653" s="199" t="str">
        <f t="array" ref="D653">IF(B653="","",IFERROR(INDEX('FUNCIONÁRIOS'!$D$4:$D$501,MATCH(B653,'FUNCIONÁRIOS'!$C$4:$C$501,0)),""))</f>
        <v>PROPRIETÁRIO </v>
      </c>
      <c r="E653" s="199" t="str">
        <f t="array" ref="E653">IF(B653="","",IFERROR(INDEX('FUNCIONÁRIOS'!$E$4:$E$501,MATCH(B653,'FUNCIONÁRIOS'!$C$4:$C$501,0)),""))</f>
        <v>NÃO</v>
      </c>
      <c r="F653" s="138">
        <v>46168.0</v>
      </c>
      <c r="G653" s="115" t="str">
        <f t="shared" si="41"/>
        <v>✅ 17:12</v>
      </c>
      <c r="H653" s="176" t="s">
        <v>1866</v>
      </c>
      <c r="I653" s="117" t="str">
        <f t="shared" si="39"/>
        <v>→ Selecione a linha e use o menu ⏱️ Ponto</v>
      </c>
      <c r="J653" s="176"/>
      <c r="K653" s="213"/>
      <c r="L653" s="122" t="str">
        <f>IF(AND(H651&lt;&gt;"",J651=""),"🟢 No Evento",IF(AND(H651&lt;&gt;"",J651&lt;&gt;""),"✅ Finalizado",IF(B651&lt;&gt;"","⏳ Não entrou","")))</f>
        <v>🟢 No Evento</v>
      </c>
    </row>
    <row r="654" ht="15.75" customHeight="1">
      <c r="A654" s="13"/>
      <c r="B654" s="173" t="s">
        <v>238</v>
      </c>
      <c r="C654" s="199" t="str">
        <f t="array" ref="C654">IF(B654="","",IFERROR(INDEX('FUNCIONÁRIOS'!$B$4:$B$501,MATCH(B654,'FUNCIONÁRIOS'!$C$4:$C$501,0)),""))</f>
        <v>EL SHADDAI</v>
      </c>
      <c r="D654" s="199" t="str">
        <f t="array" ref="D654">IF(B654="","",IFERROR(INDEX('FUNCIONÁRIOS'!$D$4:$D$501,MATCH(B654,'FUNCIONÁRIOS'!$C$4:$C$501,0)),""))</f>
        <v>PROPRIETÁRIO </v>
      </c>
      <c r="E654" s="199" t="str">
        <f t="array" ref="E654">IF(B654="","",IFERROR(INDEX('FUNCIONÁRIOS'!$E$4:$E$501,MATCH(B654,'FUNCIONÁRIOS'!$C$4:$C$501,0)),""))</f>
        <v>NÃO</v>
      </c>
      <c r="F654" s="138">
        <v>46168.0</v>
      </c>
      <c r="G654" s="214" t="str">
        <f t="shared" si="41"/>
        <v>✅ 16:46</v>
      </c>
      <c r="H654" s="174" t="s">
        <v>1867</v>
      </c>
      <c r="I654" s="117" t="str">
        <f t="shared" si="39"/>
        <v>→ Selecione a linha e use o menu ⏱️ Ponto</v>
      </c>
      <c r="J654" s="174"/>
      <c r="K654" s="215"/>
      <c r="L654" s="119" t="str">
        <f t="shared" ref="L654:L672" si="42">IF(AND(H654&lt;&gt;"",J654=""),"🟢 No Evento",IF(AND(H654&lt;&gt;"",J654&lt;&gt;""),"✅ Finalizado",IF(B654&lt;&gt;"","⏳ Não entrou","")))</f>
        <v>🟢 No Evento</v>
      </c>
    </row>
    <row r="655" ht="15.75" customHeight="1">
      <c r="A655" s="13"/>
      <c r="B655" s="171" t="s">
        <v>893</v>
      </c>
      <c r="C655" s="199" t="str">
        <f t="array" ref="C655">IF(B655="","",IFERROR(INDEX('FUNCIONÁRIOS'!$B$4:$B$501,MATCH(B655,'FUNCIONÁRIOS'!$C$4:$C$501,0)),""))</f>
        <v>PUBLIC ADDRESS</v>
      </c>
      <c r="D655" s="199" t="str">
        <f t="array" ref="D655">IF(B655="","",IFERROR(INDEX('FUNCIONÁRIOS'!$D$4:$D$501,MATCH(B655,'FUNCIONÁRIOS'!$C$4:$C$501,0)),""))</f>
        <v>PRODUTOR </v>
      </c>
      <c r="E655" s="199" t="str">
        <f t="array" ref="E655">IF(B655="","",IFERROR(INDEX('FUNCIONÁRIOS'!$E$4:$E$501,MATCH(B655,'FUNCIONÁRIOS'!$C$4:$C$501,0)),""))</f>
        <v/>
      </c>
      <c r="F655" s="138">
        <v>46168.0</v>
      </c>
      <c r="G655" s="115" t="str">
        <f t="shared" si="41"/>
        <v>✅ 17:52</v>
      </c>
      <c r="H655" s="176" t="s">
        <v>1868</v>
      </c>
      <c r="I655" s="117" t="str">
        <f t="shared" si="39"/>
        <v>→ Selecione a linha e use o menu ⏱️ Ponto</v>
      </c>
      <c r="J655" s="176"/>
      <c r="K655" s="213"/>
      <c r="L655" s="122" t="str">
        <f t="shared" si="42"/>
        <v>🟢 No Evento</v>
      </c>
    </row>
    <row r="656" ht="15.75" customHeight="1">
      <c r="A656" s="13"/>
      <c r="B656" s="173" t="s">
        <v>894</v>
      </c>
      <c r="C656" s="199" t="str">
        <f t="array" ref="C656">IF(B656="","",IFERROR(INDEX('FUNCIONÁRIOS'!$B$4:$B$501,MATCH(B656,'FUNCIONÁRIOS'!$C$4:$C$501,0)),""))</f>
        <v>PUBLIC ADDRESS</v>
      </c>
      <c r="D656" s="199" t="str">
        <f t="array" ref="D656">IF(B656="","",IFERROR(INDEX('FUNCIONÁRIOS'!$D$4:$D$501,MATCH(B656,'FUNCIONÁRIOS'!$C$4:$C$501,0)),""))</f>
        <v>PRODUTOR </v>
      </c>
      <c r="E656" s="199" t="str">
        <f t="array" ref="E656">IF(B656="","",IFERROR(INDEX('FUNCIONÁRIOS'!$E$4:$E$501,MATCH(B656,'FUNCIONÁRIOS'!$C$4:$C$501,0)),""))</f>
        <v/>
      </c>
      <c r="F656" s="138">
        <v>46168.0</v>
      </c>
      <c r="G656" s="115" t="str">
        <f t="shared" si="41"/>
        <v>✅ 17:53</v>
      </c>
      <c r="H656" s="174" t="s">
        <v>1869</v>
      </c>
      <c r="I656" s="117" t="str">
        <f t="shared" si="39"/>
        <v>→ Selecione a linha e use o menu ⏱️ Ponto</v>
      </c>
      <c r="J656" s="174"/>
      <c r="K656" s="215"/>
      <c r="L656" s="119" t="str">
        <f t="shared" si="42"/>
        <v>🟢 No Evento</v>
      </c>
    </row>
    <row r="657" ht="15.75" customHeight="1">
      <c r="A657" s="13"/>
      <c r="B657" s="171" t="s">
        <v>707</v>
      </c>
      <c r="C657" s="199" t="str">
        <f t="array" ref="C657">IF(B657="","",IFERROR(INDEX('FUNCIONÁRIOS'!$B$4:$B$501,MATCH(B657,'FUNCIONÁRIOS'!$C$4:$C$501,0)),""))</f>
        <v>SHOWNEWS</v>
      </c>
      <c r="D657" s="199" t="str">
        <f t="array" ref="D657">IF(B657="","",IFERROR(INDEX('FUNCIONÁRIOS'!$D$4:$D$501,MATCH(B657,'FUNCIONÁRIOS'!$C$4:$C$501,0)),""))</f>
        <v>LIMPEZA </v>
      </c>
      <c r="E657" s="199" t="str">
        <f t="array" ref="E657">IF(B657="","",IFERROR(INDEX('FUNCIONÁRIOS'!$E$4:$E$501,MATCH(B657,'FUNCIONÁRIOS'!$C$4:$C$501,0)),""))</f>
        <v>NÃO</v>
      </c>
      <c r="F657" s="138">
        <v>46168.0</v>
      </c>
      <c r="G657" s="115" t="str">
        <f t="shared" si="41"/>
        <v>✅ 07:57</v>
      </c>
      <c r="H657" s="176" t="s">
        <v>1870</v>
      </c>
      <c r="I657" s="117" t="str">
        <f t="shared" si="39"/>
        <v>✅ 16:32</v>
      </c>
      <c r="J657" s="176" t="s">
        <v>1871</v>
      </c>
      <c r="K657" s="177">
        <v>0.3576388888888889</v>
      </c>
      <c r="L657" s="122" t="str">
        <f t="shared" si="42"/>
        <v>✅ Finalizado</v>
      </c>
    </row>
    <row r="658" ht="15.75" customHeight="1">
      <c r="A658" s="13"/>
      <c r="B658" s="173" t="s">
        <v>143</v>
      </c>
      <c r="C658" s="199" t="str">
        <f t="array" ref="C658">IF(B658="","",IFERROR(INDEX('FUNCIONÁRIOS'!$B$4:$B$501,MATCH(B658,'FUNCIONÁRIOS'!$C$4:$C$501,0)),""))</f>
        <v/>
      </c>
      <c r="D658" s="199" t="str">
        <f t="array" ref="D658">IF(B658="","",IFERROR(INDEX('FUNCIONÁRIOS'!$D$4:$D$501,MATCH(B658,'FUNCIONÁRIOS'!$C$4:$C$501,0)),""))</f>
        <v>OPERADOR DE EMPILHADEIRA </v>
      </c>
      <c r="E658" s="199" t="str">
        <f t="array" ref="E658">IF(B658="","",IFERROR(INDEX('FUNCIONÁRIOS'!$E$4:$E$501,MATCH(B658,'FUNCIONÁRIOS'!$C$4:$C$501,0)),""))</f>
        <v>NÃO</v>
      </c>
      <c r="F658" s="138">
        <v>46168.0</v>
      </c>
      <c r="G658" s="115" t="str">
        <f t="shared" si="41"/>
        <v>✅ 07:58</v>
      </c>
      <c r="H658" s="174" t="s">
        <v>1872</v>
      </c>
      <c r="I658" s="117" t="str">
        <f t="shared" si="39"/>
        <v>→ Selecione a linha e use o menu ⏱️ Ponto</v>
      </c>
      <c r="J658" s="174"/>
      <c r="K658" s="215"/>
      <c r="L658" s="119" t="str">
        <f t="shared" si="42"/>
        <v>🟢 No Evento</v>
      </c>
    </row>
    <row r="659" ht="15.75" customHeight="1">
      <c r="A659" s="13"/>
      <c r="B659" s="171" t="s">
        <v>140</v>
      </c>
      <c r="C659" s="199" t="str">
        <f t="array" ref="C659">IF(B659="","",IFERROR(INDEX('FUNCIONÁRIOS'!$B$4:$B$501,MATCH(B659,'FUNCIONÁRIOS'!$C$4:$C$501,0)),""))</f>
        <v>BIGODE </v>
      </c>
      <c r="D659" s="199" t="str">
        <f t="array" ref="D659">IF(B659="","",IFERROR(INDEX('FUNCIONÁRIOS'!$D$4:$D$501,MATCH(B659,'FUNCIONÁRIOS'!$C$4:$C$501,0)),""))</f>
        <v>CONTROLE DE ACESSO</v>
      </c>
      <c r="E659" s="199" t="str">
        <f t="array" ref="E659">IF(B659="","",IFERROR(INDEX('FUNCIONÁRIOS'!$E$4:$E$501,MATCH(B659,'FUNCIONÁRIOS'!$C$4:$C$501,0)),""))</f>
        <v>NÃO</v>
      </c>
      <c r="F659" s="138">
        <v>46168.0</v>
      </c>
      <c r="G659" s="115" t="str">
        <f t="shared" si="41"/>
        <v>✅ 07:58</v>
      </c>
      <c r="H659" s="176" t="s">
        <v>1872</v>
      </c>
      <c r="I659" s="117" t="str">
        <f t="shared" si="39"/>
        <v>→ Selecione a linha e use o menu ⏱️ Ponto</v>
      </c>
      <c r="J659" s="176"/>
      <c r="K659" s="213"/>
      <c r="L659" s="122" t="str">
        <f t="shared" si="42"/>
        <v>🟢 No Evento</v>
      </c>
    </row>
    <row r="660" ht="15.75" customHeight="1">
      <c r="A660" s="13"/>
      <c r="B660" s="173" t="s">
        <v>142</v>
      </c>
      <c r="C660" s="199" t="str">
        <f t="array" ref="C660">IF(B660="","",IFERROR(INDEX('FUNCIONÁRIOS'!$B$4:$B$501,MATCH(B660,'FUNCIONÁRIOS'!$C$4:$C$501,0)),""))</f>
        <v>BIGODE </v>
      </c>
      <c r="D660" s="199" t="str">
        <f t="array" ref="D660">IF(B660="","",IFERROR(INDEX('FUNCIONÁRIOS'!$D$4:$D$501,MATCH(B660,'FUNCIONÁRIOS'!$C$4:$C$501,0)),""))</f>
        <v>CONTROLE DE ACESSO</v>
      </c>
      <c r="E660" s="199" t="str">
        <f t="array" ref="E660">IF(B660="","",IFERROR(INDEX('FUNCIONÁRIOS'!$E$4:$E$501,MATCH(B660,'FUNCIONÁRIOS'!$C$4:$C$501,0)),""))</f>
        <v>NÃO</v>
      </c>
      <c r="F660" s="138">
        <v>46168.0</v>
      </c>
      <c r="G660" s="115" t="str">
        <f t="shared" si="41"/>
        <v>✅ 07:58</v>
      </c>
      <c r="H660" s="174" t="s">
        <v>1872</v>
      </c>
      <c r="I660" s="117" t="str">
        <f t="shared" si="39"/>
        <v>→ Selecione a linha e use o menu ⏱️ Ponto</v>
      </c>
      <c r="J660" s="174"/>
      <c r="K660" s="215"/>
      <c r="L660" s="119" t="str">
        <f t="shared" si="42"/>
        <v>🟢 No Evento</v>
      </c>
    </row>
    <row r="661" ht="15.75" customHeight="1">
      <c r="A661" s="13"/>
      <c r="B661" s="171" t="s">
        <v>253</v>
      </c>
      <c r="C661" s="199" t="str">
        <f t="array" ref="C661">IF(B661="","",IFERROR(INDEX('FUNCIONÁRIOS'!$B$4:$B$501,MATCH(B661,'FUNCIONÁRIOS'!$C$4:$C$501,0)),""))</f>
        <v>BIGODE </v>
      </c>
      <c r="D661" s="199" t="str">
        <f t="array" ref="D661">IF(B661="","",IFERROR(INDEX('FUNCIONÁRIOS'!$D$4:$D$501,MATCH(B661,'FUNCIONÁRIOS'!$C$4:$C$501,0)),""))</f>
        <v>CONTROLE DE ACESSO</v>
      </c>
      <c r="E661" s="199" t="str">
        <f t="array" ref="E661">IF(B661="","",IFERROR(INDEX('FUNCIONÁRIOS'!$E$4:$E$501,MATCH(B661,'FUNCIONÁRIOS'!$C$4:$C$501,0)),""))</f>
        <v>NÃO</v>
      </c>
      <c r="F661" s="138">
        <v>46168.0</v>
      </c>
      <c r="G661" s="115" t="str">
        <f t="shared" si="41"/>
        <v>✅ 07:59</v>
      </c>
      <c r="H661" s="176" t="s">
        <v>1873</v>
      </c>
      <c r="I661" s="117" t="str">
        <f t="shared" si="39"/>
        <v>→ Selecione a linha e use o menu ⏱️ Ponto</v>
      </c>
      <c r="J661" s="176"/>
      <c r="K661" s="213"/>
      <c r="L661" s="122" t="str">
        <f t="shared" si="42"/>
        <v>🟢 No Evento</v>
      </c>
    </row>
    <row r="662" ht="15.75" customHeight="1">
      <c r="A662" s="13"/>
      <c r="B662" s="173" t="s">
        <v>96</v>
      </c>
      <c r="C662" s="199" t="str">
        <f t="array" ref="C662">IF(B662="","",IFERROR(INDEX('FUNCIONÁRIOS'!$B$4:$B$501,MATCH(B662,'FUNCIONÁRIOS'!$C$4:$C$501,0)),""))</f>
        <v>PONCIANO SOLUÇÕES </v>
      </c>
      <c r="D662" s="199" t="str">
        <f t="array" ref="D662">IF(B662="","",IFERROR(INDEX('FUNCIONÁRIOS'!$D$4:$D$501,MATCH(B662,'FUNCIONÁRIOS'!$C$4:$C$501,0)),""))</f>
        <v>CREDENCIAMENTO</v>
      </c>
      <c r="E662" s="199" t="str">
        <f t="array" ref="E662">IF(B662="","",IFERROR(INDEX('FUNCIONÁRIOS'!$E$4:$E$501,MATCH(B662,'FUNCIONÁRIOS'!$C$4:$C$501,0)),""))</f>
        <v>NÃO</v>
      </c>
      <c r="F662" s="138">
        <v>46168.0</v>
      </c>
      <c r="G662" s="115" t="str">
        <f t="shared" si="41"/>
        <v>✅ 08:05</v>
      </c>
      <c r="H662" s="174" t="s">
        <v>1874</v>
      </c>
      <c r="I662" s="117" t="str">
        <f t="shared" si="39"/>
        <v>→ Selecione a linha e use o menu ⏱️ Ponto</v>
      </c>
      <c r="J662" s="174"/>
      <c r="K662" s="215"/>
      <c r="L662" s="119" t="str">
        <f t="shared" si="42"/>
        <v>🟢 No Evento</v>
      </c>
    </row>
    <row r="663" ht="15.75" customHeight="1">
      <c r="A663" s="13"/>
      <c r="B663" s="171" t="s">
        <v>895</v>
      </c>
      <c r="C663" s="199" t="str">
        <f t="array" ref="C663">IF(B663="","",IFERROR(INDEX('FUNCIONÁRIOS'!$B$4:$B$501,MATCH(B663,'FUNCIONÁRIOS'!$C$4:$C$501,0)),""))</f>
        <v/>
      </c>
      <c r="D663" s="199" t="str">
        <f t="array" ref="D663">IF(B663="","",IFERROR(INDEX('FUNCIONÁRIOS'!$D$4:$D$501,MATCH(B663,'FUNCIONÁRIOS'!$C$4:$C$501,0)),""))</f>
        <v>montador </v>
      </c>
      <c r="E663" s="199" t="str">
        <f t="array" ref="E663">IF(B663="","",IFERROR(INDEX('FUNCIONÁRIOS'!$E$4:$E$501,MATCH(B663,'FUNCIONÁRIOS'!$C$4:$C$501,0)),""))</f>
        <v/>
      </c>
      <c r="F663" s="138">
        <v>46168.0</v>
      </c>
      <c r="G663" s="115" t="str">
        <f t="shared" si="41"/>
        <v>✅ 08:05</v>
      </c>
      <c r="H663" s="176" t="s">
        <v>1874</v>
      </c>
      <c r="I663" s="117" t="str">
        <f t="shared" si="39"/>
        <v>→ Selecione a linha e use o menu ⏱️ Ponto</v>
      </c>
      <c r="J663" s="176"/>
      <c r="K663" s="213"/>
      <c r="L663" s="122" t="str">
        <f t="shared" si="42"/>
        <v>🟢 No Evento</v>
      </c>
    </row>
    <row r="664" ht="15.75" customHeight="1">
      <c r="A664" s="13"/>
      <c r="B664" s="173" t="s">
        <v>845</v>
      </c>
      <c r="C664" s="199" t="str">
        <f t="array" ref="C664">IF(B664="","",IFERROR(INDEX('FUNCIONÁRIOS'!$B$4:$B$501,MATCH(B664,'FUNCIONÁRIOS'!$C$4:$C$501,0)),""))</f>
        <v/>
      </c>
      <c r="D664" s="199" t="str">
        <f t="array" ref="D664">IF(B664="","",IFERROR(INDEX('FUNCIONÁRIOS'!$D$4:$D$501,MATCH(B664,'FUNCIONÁRIOS'!$C$4:$C$501,0)),""))</f>
        <v/>
      </c>
      <c r="E664" s="199" t="str">
        <f t="array" ref="E664">IF(B664="","",IFERROR(INDEX('FUNCIONÁRIOS'!$E$4:$E$501,MATCH(B664,'FUNCIONÁRIOS'!$C$4:$C$501,0)),""))</f>
        <v>NÃO</v>
      </c>
      <c r="F664" s="138">
        <v>46168.0</v>
      </c>
      <c r="G664" s="115" t="str">
        <f t="shared" si="41"/>
        <v>✅ 08:05</v>
      </c>
      <c r="H664" s="174" t="s">
        <v>1874</v>
      </c>
      <c r="I664" s="117" t="str">
        <f t="shared" si="39"/>
        <v>→ Selecione a linha e use o menu ⏱️ Ponto</v>
      </c>
      <c r="J664" s="174"/>
      <c r="K664" s="215"/>
      <c r="L664" s="119" t="str">
        <f t="shared" si="42"/>
        <v>🟢 No Evento</v>
      </c>
    </row>
    <row r="665" ht="15.75" customHeight="1">
      <c r="A665" s="13"/>
      <c r="B665" s="171" t="s">
        <v>336</v>
      </c>
      <c r="C665" s="199" t="str">
        <f t="array" ref="C665">IF(B665="","",IFERROR(INDEX('FUNCIONÁRIOS'!$B$4:$B$501,MATCH(B665,'FUNCIONÁRIOS'!$C$4:$C$501,0)),""))</f>
        <v>GO TO </v>
      </c>
      <c r="D665" s="199" t="str">
        <f t="array" ref="D665">IF(B665="","",IFERROR(INDEX('FUNCIONÁRIOS'!$D$4:$D$501,MATCH(B665,'FUNCIONÁRIOS'!$C$4:$C$501,0)),""))</f>
        <v>MONTADOR</v>
      </c>
      <c r="E665" s="199" t="str">
        <f t="array" ref="E665">IF(B665="","",IFERROR(INDEX('FUNCIONÁRIOS'!$E$4:$E$501,MATCH(B665,'FUNCIONÁRIOS'!$C$4:$C$501,0)),""))</f>
        <v>NÃO</v>
      </c>
      <c r="F665" s="138">
        <v>46168.0</v>
      </c>
      <c r="G665" s="115" t="str">
        <f t="shared" si="41"/>
        <v>✅ 08:05</v>
      </c>
      <c r="H665" s="176" t="s">
        <v>1874</v>
      </c>
      <c r="I665" s="117" t="str">
        <f t="shared" si="39"/>
        <v>→ Selecione a linha e use o menu ⏱️ Ponto</v>
      </c>
      <c r="J665" s="176"/>
      <c r="K665" s="213"/>
      <c r="L665" s="122" t="str">
        <f t="shared" si="42"/>
        <v>🟢 No Evento</v>
      </c>
    </row>
    <row r="666" ht="15.75" customHeight="1">
      <c r="A666" s="13"/>
      <c r="B666" s="173" t="s">
        <v>352</v>
      </c>
      <c r="C666" s="199" t="str">
        <f t="array" ref="C666">IF(B666="","",IFERROR(INDEX('FUNCIONÁRIOS'!$B$4:$B$501,MATCH(B666,'FUNCIONÁRIOS'!$C$4:$C$501,0)),""))</f>
        <v>GO TO </v>
      </c>
      <c r="D666" s="199" t="str">
        <f t="array" ref="D666">IF(B666="","",IFERROR(INDEX('FUNCIONÁRIOS'!$D$4:$D$501,MATCH(B666,'FUNCIONÁRIOS'!$C$4:$C$501,0)),""))</f>
        <v>MONTADOR</v>
      </c>
      <c r="E666" s="199" t="str">
        <f t="array" ref="E666">IF(B666="","",IFERROR(INDEX('FUNCIONÁRIOS'!$E$4:$E$501,MATCH(B666,'FUNCIONÁRIOS'!$C$4:$C$501,0)),""))</f>
        <v>NÃO</v>
      </c>
      <c r="F666" s="138">
        <v>46168.0</v>
      </c>
      <c r="G666" s="115" t="str">
        <f t="shared" si="41"/>
        <v>✅ 08:06</v>
      </c>
      <c r="H666" s="174" t="s">
        <v>1622</v>
      </c>
      <c r="I666" s="117" t="str">
        <f t="shared" si="39"/>
        <v>→ Selecione a linha e use o menu ⏱️ Ponto</v>
      </c>
      <c r="J666" s="174"/>
      <c r="K666" s="215"/>
      <c r="L666" s="119" t="str">
        <f t="shared" si="42"/>
        <v>🟢 No Evento</v>
      </c>
    </row>
    <row r="667" ht="15.75" customHeight="1">
      <c r="A667" s="13"/>
      <c r="B667" s="171" t="s">
        <v>896</v>
      </c>
      <c r="C667" s="199" t="str">
        <f t="array" ref="C667">IF(B667="","",IFERROR(INDEX('FUNCIONÁRIOS'!$B$4:$B$501,MATCH(B667,'FUNCIONÁRIOS'!$C$4:$C$501,0)),""))</f>
        <v>siate </v>
      </c>
      <c r="D667" s="199" t="str">
        <f t="array" ref="D667">IF(B667="","",IFERROR(INDEX('FUNCIONÁRIOS'!$D$4:$D$501,MATCH(B667,'FUNCIONÁRIOS'!$C$4:$C$501,0)),""))</f>
        <v>CARREGADOR </v>
      </c>
      <c r="E667" s="199" t="str">
        <f t="array" ref="E667">IF(B667="","",IFERROR(INDEX('FUNCIONÁRIOS'!$E$4:$E$501,MATCH(B667,'FUNCIONÁRIOS'!$C$4:$C$501,0)),""))</f>
        <v/>
      </c>
      <c r="F667" s="138">
        <v>46168.0</v>
      </c>
      <c r="G667" s="115" t="str">
        <f t="shared" si="41"/>
        <v>✅ 08:07</v>
      </c>
      <c r="H667" s="176" t="s">
        <v>1623</v>
      </c>
      <c r="I667" s="117" t="str">
        <f t="shared" si="39"/>
        <v>✅ 18:13</v>
      </c>
      <c r="J667" s="176" t="s">
        <v>1875</v>
      </c>
      <c r="K667" s="177">
        <v>0.4208333333333333</v>
      </c>
      <c r="L667" s="122" t="str">
        <f t="shared" si="42"/>
        <v>✅ Finalizado</v>
      </c>
    </row>
    <row r="668" ht="15.75" customHeight="1">
      <c r="A668" s="13"/>
      <c r="B668" s="173" t="s">
        <v>203</v>
      </c>
      <c r="C668" s="199" t="str">
        <f t="array" ref="C668">IF(B668="","",IFERROR(INDEX('FUNCIONÁRIOS'!$B$4:$B$501,MATCH(B668,'FUNCIONÁRIOS'!$C$4:$C$501,0)),""))</f>
        <v>FLASH MED</v>
      </c>
      <c r="D668" s="199" t="str">
        <f t="array" ref="D668">IF(B668="","",IFERROR(INDEX('FUNCIONÁRIOS'!$D$4:$D$501,MATCH(B668,'FUNCIONÁRIOS'!$C$4:$C$501,0)),""))</f>
        <v>SOCORRISTA </v>
      </c>
      <c r="E668" s="199" t="str">
        <f t="array" ref="E668">IF(B668="","",IFERROR(INDEX('FUNCIONÁRIOS'!$E$4:$E$501,MATCH(B668,'FUNCIONÁRIOS'!$C$4:$C$501,0)),""))</f>
        <v>NÃO</v>
      </c>
      <c r="F668" s="138">
        <v>46168.0</v>
      </c>
      <c r="G668" s="115" t="str">
        <f t="shared" si="41"/>
        <v>✅ 08:07</v>
      </c>
      <c r="H668" s="174" t="s">
        <v>1623</v>
      </c>
      <c r="I668" s="117" t="str">
        <f t="shared" si="39"/>
        <v>→ Selecione a linha e use o menu ⏱️ Ponto</v>
      </c>
      <c r="J668" s="174"/>
      <c r="K668" s="215"/>
      <c r="L668" s="119" t="str">
        <f t="shared" si="42"/>
        <v>🟢 No Evento</v>
      </c>
    </row>
    <row r="669" ht="15.75" customHeight="1">
      <c r="A669" s="13"/>
      <c r="B669" s="171" t="s">
        <v>266</v>
      </c>
      <c r="C669" s="199" t="str">
        <f t="array" ref="C669">IF(B669="","",IFERROR(INDEX('FUNCIONÁRIOS'!$B$4:$B$501,MATCH(B669,'FUNCIONÁRIOS'!$C$4:$C$501,0)),""))</f>
        <v>GYNLIGHT</v>
      </c>
      <c r="D669" s="199" t="str">
        <f t="array" ref="D669">IF(B669="","",IFERROR(INDEX('FUNCIONÁRIOS'!$D$4:$D$501,MATCH(B669,'FUNCIONÁRIOS'!$C$4:$C$501,0)),""))</f>
        <v>Auxiliar Técnico em Iluminação</v>
      </c>
      <c r="E669" s="199" t="str">
        <f t="array" ref="E669">IF(B669="","",IFERROR(INDEX('FUNCIONÁRIOS'!$E$4:$E$501,MATCH(B669,'FUNCIONÁRIOS'!$C$4:$C$501,0)),""))</f>
        <v>NÃO</v>
      </c>
      <c r="F669" s="138">
        <v>46168.0</v>
      </c>
      <c r="G669" s="115" t="str">
        <f t="shared" si="41"/>
        <v>✅ 08:08</v>
      </c>
      <c r="H669" s="176" t="s">
        <v>1624</v>
      </c>
      <c r="I669" s="117" t="str">
        <f t="shared" si="39"/>
        <v>→ Selecione a linha e use o menu ⏱️ Ponto</v>
      </c>
      <c r="J669" s="183"/>
      <c r="K669" s="182"/>
      <c r="L669" s="122" t="str">
        <f t="shared" si="42"/>
        <v>🟢 No Evento</v>
      </c>
    </row>
    <row r="670" ht="15.75" customHeight="1">
      <c r="A670" s="13"/>
      <c r="B670" s="173" t="s">
        <v>340</v>
      </c>
      <c r="C670" s="199" t="str">
        <f t="array" ref="C670">IF(B670="","",IFERROR(INDEX('FUNCIONÁRIOS'!$B$4:$B$501,MATCH(B670,'FUNCIONÁRIOS'!$C$4:$C$501,0)),""))</f>
        <v>GO TO </v>
      </c>
      <c r="D670" s="199" t="str">
        <f t="array" ref="D670">IF(B670="","",IFERROR(INDEX('FUNCIONÁRIOS'!$D$4:$D$501,MATCH(B670,'FUNCIONÁRIOS'!$C$4:$C$501,0)),""))</f>
        <v>MONTADOR</v>
      </c>
      <c r="E670" s="199" t="str">
        <f t="array" ref="E670">IF(B670="","",IFERROR(INDEX('FUNCIONÁRIOS'!$E$4:$E$501,MATCH(B670,'FUNCIONÁRIOS'!$C$4:$C$501,0)),""))</f>
        <v>NÃO</v>
      </c>
      <c r="F670" s="138">
        <v>46168.0</v>
      </c>
      <c r="G670" s="115" t="str">
        <f t="shared" si="41"/>
        <v>✅ 08:08</v>
      </c>
      <c r="H670" s="174" t="s">
        <v>1624</v>
      </c>
      <c r="I670" s="117" t="str">
        <f t="shared" si="39"/>
        <v>→ Selecione a linha e use o menu ⏱️ Ponto</v>
      </c>
      <c r="J670" s="178"/>
      <c r="K670" s="179"/>
      <c r="L670" s="119" t="str">
        <f t="shared" si="42"/>
        <v>🟢 No Evento</v>
      </c>
    </row>
    <row r="671" ht="15.75" customHeight="1">
      <c r="A671" s="13"/>
      <c r="B671" s="171" t="s">
        <v>897</v>
      </c>
      <c r="C671" s="199" t="str">
        <f t="array" ref="C671">IF(B671="","",IFERROR(INDEX('FUNCIONÁRIOS'!$B$4:$B$501,MATCH(B671,'FUNCIONÁRIOS'!$C$4:$C$501,0)),""))</f>
        <v>FLASH MED</v>
      </c>
      <c r="D671" s="199" t="str">
        <f t="array" ref="D671">IF(B671="","",IFERROR(INDEX('FUNCIONÁRIOS'!$D$4:$D$501,MATCH(B671,'FUNCIONÁRIOS'!$C$4:$C$501,0)),""))</f>
        <v>ENFEMEIRA </v>
      </c>
      <c r="E671" s="199" t="str">
        <f t="array" ref="E671">IF(B671="","",IFERROR(INDEX('FUNCIONÁRIOS'!$E$4:$E$501,MATCH(B671,'FUNCIONÁRIOS'!$C$4:$C$501,0)),""))</f>
        <v/>
      </c>
      <c r="F671" s="138">
        <v>46168.0</v>
      </c>
      <c r="G671" s="115" t="str">
        <f t="shared" si="41"/>
        <v>✅ 08:09</v>
      </c>
      <c r="H671" s="176" t="s">
        <v>1625</v>
      </c>
      <c r="I671" s="117" t="str">
        <f t="shared" si="39"/>
        <v>→ Selecione a linha e use o menu ⏱️ Ponto</v>
      </c>
      <c r="J671" s="183"/>
      <c r="K671" s="182"/>
      <c r="L671" s="119" t="str">
        <f t="shared" si="42"/>
        <v>🟢 No Evento</v>
      </c>
    </row>
    <row r="672" ht="15.75" customHeight="1">
      <c r="A672" s="13"/>
      <c r="B672" s="173" t="s">
        <v>348</v>
      </c>
      <c r="C672" s="199" t="str">
        <f t="array" ref="C672">IF(B672="","",IFERROR(INDEX('FUNCIONÁRIOS'!$B$4:$B$501,MATCH(B672,'FUNCIONÁRIOS'!$C$4:$C$501,0)),""))</f>
        <v>GO TO </v>
      </c>
      <c r="D672" s="199" t="str">
        <f t="array" ref="D672">IF(B672="","",IFERROR(INDEX('FUNCIONÁRIOS'!$D$4:$D$501,MATCH(B672,'FUNCIONÁRIOS'!$C$4:$C$501,0)),""))</f>
        <v>MONTADOR</v>
      </c>
      <c r="E672" s="199" t="str">
        <f t="array" ref="E672">IF(B672="","",IFERROR(INDEX('FUNCIONÁRIOS'!$E$4:$E$501,MATCH(B672,'FUNCIONÁRIOS'!$C$4:$C$501,0)),""))</f>
        <v>NÃO</v>
      </c>
      <c r="F672" s="138">
        <v>46168.0</v>
      </c>
      <c r="G672" s="115" t="str">
        <f t="shared" si="41"/>
        <v>✅ 08:10</v>
      </c>
      <c r="H672" s="174" t="s">
        <v>1626</v>
      </c>
      <c r="I672" s="117" t="str">
        <f t="shared" si="39"/>
        <v>→ Selecione a linha e use o menu ⏱️ Ponto</v>
      </c>
      <c r="J672" s="178"/>
      <c r="K672" s="179"/>
      <c r="L672" s="122" t="str">
        <f t="shared" si="42"/>
        <v>🟢 No Evento</v>
      </c>
    </row>
    <row r="673" ht="15.75" customHeight="1">
      <c r="A673" s="216"/>
      <c r="B673" s="157"/>
      <c r="C673" s="217" t="str">
        <f t="array" ref="C673">IF(B673="","",IFERROR(INDEX('FUNCIONÁRIOS'!$B$4:$B$501,MATCH(B673,'FUNCIONÁRIOS'!$C$4:$C$501,0)),""))</f>
        <v/>
      </c>
      <c r="D673" s="217" t="str">
        <f t="array" ref="D673">IF(B673="","",IFERROR(INDEX('FUNCIONÁRIOS'!$D$4:$D$501,MATCH(B673,'FUNCIONÁRIOS'!$C$4:$C$501,0)),""))</f>
        <v/>
      </c>
      <c r="E673" s="217" t="str">
        <f t="array" ref="E673">IF(B673="","",IFERROR(INDEX('FUNCIONÁRIOS'!$E$4:$E$501,MATCH(B673,'FUNCIONÁRIOS'!$C$4:$C$501,0)),""))</f>
        <v/>
      </c>
      <c r="F673" s="160"/>
      <c r="G673" s="161"/>
      <c r="H673" s="218"/>
      <c r="I673" s="163"/>
      <c r="J673" s="219"/>
      <c r="K673" s="220"/>
      <c r="L673" s="165"/>
    </row>
    <row r="674" ht="15.75" customHeight="1">
      <c r="A674" s="13"/>
      <c r="B674" s="173" t="s">
        <v>846</v>
      </c>
      <c r="C674" s="199" t="str">
        <f t="array" ref="C674">IF(B674="","",IFERROR(INDEX('FUNCIONÁRIOS'!$B$4:$B$501,MATCH(B674,'FUNCIONÁRIOS'!$C$4:$C$501,0)),""))</f>
        <v/>
      </c>
      <c r="D674" s="199" t="str">
        <f t="array" ref="D674">IF(B674="","",IFERROR(INDEX('FUNCIONÁRIOS'!$D$4:$D$501,MATCH(B674,'FUNCIONÁRIOS'!$C$4:$C$501,0)),""))</f>
        <v/>
      </c>
      <c r="E674" s="199" t="str">
        <f t="array" ref="E674">IF(B674="","",IFERROR(INDEX('FUNCIONÁRIOS'!$E$4:$E$501,MATCH(B674,'FUNCIONÁRIOS'!$C$4:$C$501,0)),""))</f>
        <v>NÃO</v>
      </c>
      <c r="F674" s="138">
        <v>46169.0</v>
      </c>
      <c r="G674" s="115" t="str">
        <f t="shared" ref="G674:G855" si="43">IF(H674&lt;&gt;"","✅ "&amp;TEXT(H674,"HH:MM"),"→ Selecione a linha e use o menu ⏱️ Ponto")</f>
        <v>✅ 08:10</v>
      </c>
      <c r="H674" s="174" t="s">
        <v>1626</v>
      </c>
      <c r="I674" s="117" t="str">
        <f t="shared" ref="I674:I871" si="44">IF(J674&lt;&gt;"","✅ "&amp;TEXT(J674,"HH:MM"),"→ Selecione a linha e use o menu ⏱️ Ponto")</f>
        <v>→ Selecione a linha e use o menu ⏱️ Ponto</v>
      </c>
      <c r="J674" s="180"/>
      <c r="K674" s="179"/>
      <c r="L674" s="119" t="str">
        <f t="shared" ref="L674:L871" si="45">IF(AND(H674&lt;&gt;"",J674=""),"🟢 No Evento",IF(AND(H674&lt;&gt;"",J674&lt;&gt;""),"✅ Finalizado",IF(B674&lt;&gt;"","⏳ Não entrou","")))</f>
        <v>🟢 No Evento</v>
      </c>
    </row>
    <row r="675" ht="15.75" customHeight="1">
      <c r="A675" s="13"/>
      <c r="B675" s="173" t="s">
        <v>847</v>
      </c>
      <c r="C675" s="199" t="str">
        <f t="array" ref="C675">IF(B675="","",IFERROR(INDEX('FUNCIONÁRIOS'!$B$4:$B$501,MATCH(B675,'FUNCIONÁRIOS'!$C$4:$C$501,0)),""))</f>
        <v/>
      </c>
      <c r="D675" s="199" t="str">
        <f t="array" ref="D675">IF(B675="","",IFERROR(INDEX('FUNCIONÁRIOS'!$D$4:$D$501,MATCH(B675,'FUNCIONÁRIOS'!$C$4:$C$501,0)),""))</f>
        <v/>
      </c>
      <c r="E675" s="199" t="str">
        <f t="array" ref="E675">IF(B675="","",IFERROR(INDEX('FUNCIONÁRIOS'!$E$4:$E$501,MATCH(B675,'FUNCIONÁRIOS'!$C$4:$C$501,0)),""))</f>
        <v>NÃO</v>
      </c>
      <c r="F675" s="138">
        <v>46169.0</v>
      </c>
      <c r="G675" s="115" t="str">
        <f t="shared" si="43"/>
        <v>✅ 08:11</v>
      </c>
      <c r="H675" s="174" t="s">
        <v>1627</v>
      </c>
      <c r="I675" s="117" t="str">
        <f t="shared" si="44"/>
        <v>→ Selecione a linha e use o menu ⏱️ Ponto</v>
      </c>
      <c r="J675" s="181"/>
      <c r="K675" s="182"/>
      <c r="L675" s="122" t="str">
        <f t="shared" si="45"/>
        <v>🟢 No Evento</v>
      </c>
    </row>
    <row r="676" ht="15.75" customHeight="1">
      <c r="A676" s="13"/>
      <c r="B676" s="173" t="s">
        <v>548</v>
      </c>
      <c r="C676" s="199" t="str">
        <f t="array" ref="C676">IF(B676="","",IFERROR(INDEX('FUNCIONÁRIOS'!$B$4:$B$501,MATCH(B676,'FUNCIONÁRIOS'!$C$4:$C$501,0)),""))</f>
        <v>GO TO </v>
      </c>
      <c r="D676" s="199" t="str">
        <f t="array" ref="D676">IF(B676="","",IFERROR(INDEX('FUNCIONÁRIOS'!$D$4:$D$501,MATCH(B676,'FUNCIONÁRIOS'!$C$4:$C$501,0)),""))</f>
        <v>CENOGRAFIA </v>
      </c>
      <c r="E676" s="199" t="str">
        <f t="array" ref="E676">IF(B676="","",IFERROR(INDEX('FUNCIONÁRIOS'!$E$4:$E$501,MATCH(B676,'FUNCIONÁRIOS'!$C$4:$C$501,0)),""))</f>
        <v>NÃO</v>
      </c>
      <c r="F676" s="138">
        <v>46169.0</v>
      </c>
      <c r="G676" s="115" t="str">
        <f t="shared" si="43"/>
        <v>✅ 08:11</v>
      </c>
      <c r="H676" s="174" t="s">
        <v>1627</v>
      </c>
      <c r="I676" s="117" t="str">
        <f t="shared" si="44"/>
        <v>✅ 22:51</v>
      </c>
      <c r="J676" s="178">
        <v>0.9520833333333333</v>
      </c>
      <c r="K676" s="179"/>
      <c r="L676" s="122" t="str">
        <f t="shared" si="45"/>
        <v>✅ Finalizado</v>
      </c>
    </row>
    <row r="677" ht="15.75" customHeight="1">
      <c r="A677" s="13"/>
      <c r="B677" s="173" t="s">
        <v>436</v>
      </c>
      <c r="C677" s="199" t="str">
        <f t="array" ref="C677">IF(B677="","",IFERROR(INDEX('FUNCIONÁRIOS'!$B$4:$B$501,MATCH(B677,'FUNCIONÁRIOS'!$C$4:$C$501,0)),""))</f>
        <v>SHOWNEWS</v>
      </c>
      <c r="D677" s="199" t="str">
        <f t="array" ref="D677">IF(B677="","",IFERROR(INDEX('FUNCIONÁRIOS'!$D$4:$D$501,MATCH(B677,'FUNCIONÁRIOS'!$C$4:$C$501,0)),""))</f>
        <v>Montador</v>
      </c>
      <c r="E677" s="199" t="str">
        <f t="array" ref="E677">IF(B677="","",IFERROR(INDEX('FUNCIONÁRIOS'!$E$4:$E$501,MATCH(B677,'FUNCIONÁRIOS'!$C$4:$C$501,0)),""))</f>
        <v>NÃO</v>
      </c>
      <c r="F677" s="138">
        <v>46169.0</v>
      </c>
      <c r="G677" s="115" t="str">
        <f t="shared" si="43"/>
        <v>✅ 08:11</v>
      </c>
      <c r="H677" s="174" t="s">
        <v>1627</v>
      </c>
      <c r="I677" s="117" t="str">
        <f t="shared" si="44"/>
        <v>→ Selecione a linha e use o menu ⏱️ Ponto</v>
      </c>
      <c r="J677" s="181"/>
      <c r="K677" s="182"/>
      <c r="L677" s="122" t="str">
        <f t="shared" si="45"/>
        <v>🟢 No Evento</v>
      </c>
    </row>
    <row r="678" ht="15.75" customHeight="1">
      <c r="A678" s="13"/>
      <c r="B678" s="173" t="s">
        <v>232</v>
      </c>
      <c r="C678" s="199" t="str">
        <f t="array" ref="C678">IF(B678="","",IFERROR(INDEX('FUNCIONÁRIOS'!$B$4:$B$501,MATCH(B678,'FUNCIONÁRIOS'!$C$4:$C$501,0)),""))</f>
        <v>UP MUSIC </v>
      </c>
      <c r="D678" s="199" t="str">
        <f t="array" ref="D678">IF(B678="","",IFERROR(INDEX('FUNCIONÁRIOS'!$D$4:$D$501,MATCH(B678,'FUNCIONÁRIOS'!$C$4:$C$501,0)),""))</f>
        <v>PRODUTOR GERAL </v>
      </c>
      <c r="E678" s="199" t="str">
        <f t="array" ref="E678">IF(B678="","",IFERROR(INDEX('FUNCIONÁRIOS'!$E$4:$E$501,MATCH(B678,'FUNCIONÁRIOS'!$C$4:$C$501,0)),""))</f>
        <v>SIM</v>
      </c>
      <c r="F678" s="138">
        <v>46169.0</v>
      </c>
      <c r="G678" s="115" t="str">
        <f t="shared" si="43"/>
        <v>✅ 08:12</v>
      </c>
      <c r="H678" s="174" t="s">
        <v>1629</v>
      </c>
      <c r="I678" s="117" t="str">
        <f t="shared" si="44"/>
        <v>✅ 21;40</v>
      </c>
      <c r="J678" s="184" t="s">
        <v>1876</v>
      </c>
      <c r="K678" s="179"/>
      <c r="L678" s="119" t="str">
        <f t="shared" si="45"/>
        <v>✅ Finalizado</v>
      </c>
    </row>
    <row r="679" ht="15.75" customHeight="1">
      <c r="A679" s="13"/>
      <c r="B679" s="173" t="s">
        <v>350</v>
      </c>
      <c r="C679" s="199" t="str">
        <f t="array" ref="C679">IF(B679="","",IFERROR(INDEX('FUNCIONÁRIOS'!$B$4:$B$501,MATCH(B679,'FUNCIONÁRIOS'!$C$4:$C$501,0)),""))</f>
        <v>GO TO </v>
      </c>
      <c r="D679" s="199" t="str">
        <f t="array" ref="D679">IF(B679="","",IFERROR(INDEX('FUNCIONÁRIOS'!$D$4:$D$501,MATCH(B679,'FUNCIONÁRIOS'!$C$4:$C$501,0)),""))</f>
        <v>MONTADOR</v>
      </c>
      <c r="E679" s="199" t="str">
        <f t="array" ref="E679">IF(B679="","",IFERROR(INDEX('FUNCIONÁRIOS'!$E$4:$E$501,MATCH(B679,'FUNCIONÁRIOS'!$C$4:$C$501,0)),""))</f>
        <v>NÃO</v>
      </c>
      <c r="F679" s="138">
        <v>46169.0</v>
      </c>
      <c r="G679" s="115" t="str">
        <f t="shared" si="43"/>
        <v>✅ 08:12</v>
      </c>
      <c r="H679" s="174" t="s">
        <v>1629</v>
      </c>
      <c r="I679" s="117" t="str">
        <f t="shared" si="44"/>
        <v>✅ 22:56</v>
      </c>
      <c r="J679" s="183">
        <v>0.9555555555555556</v>
      </c>
      <c r="K679" s="182"/>
      <c r="L679" s="122" t="str">
        <f t="shared" si="45"/>
        <v>✅ Finalizado</v>
      </c>
    </row>
    <row r="680" ht="15.75" customHeight="1">
      <c r="A680" s="13"/>
      <c r="B680" s="173" t="s">
        <v>338</v>
      </c>
      <c r="C680" s="199" t="str">
        <f t="array" ref="C680">IF(B680="","",IFERROR(INDEX('FUNCIONÁRIOS'!$B$4:$B$501,MATCH(B680,'FUNCIONÁRIOS'!$C$4:$C$501,0)),""))</f>
        <v>GO TO </v>
      </c>
      <c r="D680" s="199" t="str">
        <f t="array" ref="D680">IF(B680="","",IFERROR(INDEX('FUNCIONÁRIOS'!$D$4:$D$501,MATCH(B680,'FUNCIONÁRIOS'!$C$4:$C$501,0)),""))</f>
        <v>MONTADOR</v>
      </c>
      <c r="E680" s="199" t="str">
        <f t="array" ref="E680">IF(B680="","",IFERROR(INDEX('FUNCIONÁRIOS'!$E$4:$E$501,MATCH(B680,'FUNCIONÁRIOS'!$C$4:$C$501,0)),""))</f>
        <v>NÃO</v>
      </c>
      <c r="F680" s="138">
        <v>46169.0</v>
      </c>
      <c r="G680" s="115" t="str">
        <f t="shared" si="43"/>
        <v>✅ 08:13</v>
      </c>
      <c r="H680" s="174" t="s">
        <v>1630</v>
      </c>
      <c r="I680" s="117" t="str">
        <f t="shared" si="44"/>
        <v>→ Selecione a linha e use o menu ⏱️ Ponto</v>
      </c>
      <c r="J680" s="180"/>
      <c r="K680" s="179"/>
      <c r="L680" s="119" t="str">
        <f t="shared" si="45"/>
        <v>🟢 No Evento</v>
      </c>
    </row>
    <row r="681" ht="15.75" customHeight="1">
      <c r="A681" s="13"/>
      <c r="B681" s="173" t="s">
        <v>899</v>
      </c>
      <c r="C681" s="199" t="str">
        <f t="array" ref="C681">IF(B681="","",IFERROR(INDEX('FUNCIONÁRIOS'!$B$4:$B$501,MATCH(B681,'FUNCIONÁRIOS'!$C$4:$C$501,0)),""))</f>
        <v>GYN EVENTS</v>
      </c>
      <c r="D681" s="199" t="str">
        <f t="array" ref="D681">IF(B681="","",IFERROR(INDEX('FUNCIONÁRIOS'!$D$4:$D$501,MATCH(B681,'FUNCIONÁRIOS'!$C$4:$C$501,0)),""))</f>
        <v>CARREGADOR </v>
      </c>
      <c r="E681" s="199" t="str">
        <f t="array" ref="E681">IF(B681="","",IFERROR(INDEX('FUNCIONÁRIOS'!$E$4:$E$501,MATCH(B681,'FUNCIONÁRIOS'!$C$4:$C$501,0)),""))</f>
        <v/>
      </c>
      <c r="F681" s="138">
        <v>46169.0</v>
      </c>
      <c r="G681" s="115" t="str">
        <f t="shared" si="43"/>
        <v>✅ 08:14</v>
      </c>
      <c r="H681" s="174" t="s">
        <v>1631</v>
      </c>
      <c r="I681" s="117" t="str">
        <f t="shared" si="44"/>
        <v>✅ 22:25</v>
      </c>
      <c r="J681" s="178">
        <v>0.9340277777777778</v>
      </c>
      <c r="K681" s="179"/>
      <c r="L681" s="119" t="str">
        <f t="shared" si="45"/>
        <v>✅ Finalizado</v>
      </c>
    </row>
    <row r="682" ht="15.75" customHeight="1">
      <c r="A682" s="13"/>
      <c r="B682" s="173" t="s">
        <v>696</v>
      </c>
      <c r="C682" s="199" t="str">
        <f t="array" ref="C682">IF(B682="","",IFERROR(INDEX('FUNCIONÁRIOS'!$B$4:$B$501,MATCH(B682,'FUNCIONÁRIOS'!$C$4:$C$501,0)),""))</f>
        <v/>
      </c>
      <c r="D682" s="199" t="str">
        <f t="array" ref="D682">IF(B682="","",IFERROR(INDEX('FUNCIONÁRIOS'!$D$4:$D$501,MATCH(B682,'FUNCIONÁRIOS'!$C$4:$C$501,0)),""))</f>
        <v/>
      </c>
      <c r="E682" s="199" t="str">
        <f t="array" ref="E682">IF(B682="","",IFERROR(INDEX('FUNCIONÁRIOS'!$E$4:$E$501,MATCH(B682,'FUNCIONÁRIOS'!$C$4:$C$501,0)),""))</f>
        <v>NÃO</v>
      </c>
      <c r="F682" s="138">
        <v>46169.0</v>
      </c>
      <c r="G682" s="115" t="str">
        <f t="shared" si="43"/>
        <v>✅ 08:15</v>
      </c>
      <c r="H682" s="174" t="s">
        <v>1632</v>
      </c>
      <c r="I682" s="117" t="str">
        <f t="shared" si="44"/>
        <v>→ Selecione a linha e use o menu ⏱️ Ponto</v>
      </c>
      <c r="J682" s="181"/>
      <c r="K682" s="182"/>
      <c r="L682" s="122" t="str">
        <f t="shared" si="45"/>
        <v>🟢 No Evento</v>
      </c>
    </row>
    <row r="683" ht="15.75" customHeight="1">
      <c r="A683" s="13"/>
      <c r="B683" s="173" t="s">
        <v>129</v>
      </c>
      <c r="C683" s="199" t="str">
        <f t="array" ref="C683">IF(B683="","",IFERROR(INDEX('FUNCIONÁRIOS'!$B$4:$B$501,MATCH(B683,'FUNCIONÁRIOS'!$C$4:$C$501,0)),""))</f>
        <v>TJ SERVIÇOS</v>
      </c>
      <c r="D683" s="199" t="str">
        <f t="array" ref="D683">IF(B683="","",IFERROR(INDEX('FUNCIONÁRIOS'!$D$4:$D$501,MATCH(B683,'FUNCIONÁRIOS'!$C$4:$C$501,0)),""))</f>
        <v>BRIGADISTA </v>
      </c>
      <c r="E683" s="199" t="str">
        <f t="array" ref="E683">IF(B683="","",IFERROR(INDEX('FUNCIONÁRIOS'!$E$4:$E$501,MATCH(B683,'FUNCIONÁRIOS'!$C$4:$C$501,0)),""))</f>
        <v>NÃO</v>
      </c>
      <c r="F683" s="138">
        <v>46169.0</v>
      </c>
      <c r="G683" s="115" t="str">
        <f t="shared" si="43"/>
        <v>✅ 08:16</v>
      </c>
      <c r="H683" s="174" t="s">
        <v>1633</v>
      </c>
      <c r="I683" s="117" t="str">
        <f t="shared" si="44"/>
        <v>✅ 23:08</v>
      </c>
      <c r="J683" s="178">
        <v>0.9638888888888889</v>
      </c>
      <c r="K683" s="179"/>
      <c r="L683" s="119" t="str">
        <f t="shared" si="45"/>
        <v>✅ Finalizado</v>
      </c>
    </row>
    <row r="684" ht="15.75" customHeight="1">
      <c r="A684" s="13"/>
      <c r="B684" s="173" t="s">
        <v>176</v>
      </c>
      <c r="C684" s="199" t="str">
        <f t="array" ref="C684">IF(B684="","",IFERROR(INDEX('FUNCIONÁRIOS'!$B$4:$B$501,MATCH(B684,'FUNCIONÁRIOS'!$C$4:$C$501,0)),""))</f>
        <v>TJ SERVIÇOS</v>
      </c>
      <c r="D684" s="199" t="str">
        <f t="array" ref="D684">IF(B684="","",IFERROR(INDEX('FUNCIONÁRIOS'!$D$4:$D$501,MATCH(B684,'FUNCIONÁRIOS'!$C$4:$C$501,0)),""))</f>
        <v>BRIGADISTA</v>
      </c>
      <c r="E684" s="199" t="str">
        <f t="array" ref="E684">IF(B684="","",IFERROR(INDEX('FUNCIONÁRIOS'!$E$4:$E$501,MATCH(B684,'FUNCIONÁRIOS'!$C$4:$C$501,0)),""))</f>
        <v>NÃO</v>
      </c>
      <c r="F684" s="138">
        <v>46169.0</v>
      </c>
      <c r="G684" s="115" t="str">
        <f t="shared" si="43"/>
        <v>✅ 08:16</v>
      </c>
      <c r="H684" s="174" t="s">
        <v>1633</v>
      </c>
      <c r="I684" s="117" t="str">
        <f t="shared" si="44"/>
        <v>✅ 22:04</v>
      </c>
      <c r="J684" s="183">
        <v>0.9194444444444444</v>
      </c>
      <c r="K684" s="182"/>
      <c r="L684" s="122" t="str">
        <f t="shared" si="45"/>
        <v>✅ Finalizado</v>
      </c>
    </row>
    <row r="685" ht="15.75" customHeight="1">
      <c r="A685" s="13"/>
      <c r="B685" s="173" t="s">
        <v>900</v>
      </c>
      <c r="C685" s="199" t="str">
        <f t="array" ref="C685">IF(B685="","",IFERROR(INDEX('FUNCIONÁRIOS'!$B$4:$B$501,MATCH(B685,'FUNCIONÁRIOS'!$C$4:$C$501,0)),""))</f>
        <v>GYN EVENTS</v>
      </c>
      <c r="D685" s="199" t="str">
        <f t="array" ref="D685">IF(B685="","",IFERROR(INDEX('FUNCIONÁRIOS'!$D$4:$D$501,MATCH(B685,'FUNCIONÁRIOS'!$C$4:$C$501,0)),""))</f>
        <v>CARREGADOR </v>
      </c>
      <c r="E685" s="199" t="str">
        <f t="array" ref="E685">IF(B685="","",IFERROR(INDEX('FUNCIONÁRIOS'!$E$4:$E$501,MATCH(B685,'FUNCIONÁRIOS'!$C$4:$C$501,0)),""))</f>
        <v/>
      </c>
      <c r="F685" s="138">
        <v>46169.0</v>
      </c>
      <c r="G685" s="115" t="str">
        <f t="shared" si="43"/>
        <v>✅ 08:18</v>
      </c>
      <c r="H685" s="174" t="s">
        <v>1760</v>
      </c>
      <c r="I685" s="117" t="str">
        <f t="shared" si="44"/>
        <v>✅ 17:57</v>
      </c>
      <c r="J685" s="178">
        <v>0.7479166666666667</v>
      </c>
      <c r="K685" s="179"/>
      <c r="L685" s="119" t="str">
        <f t="shared" si="45"/>
        <v>✅ Finalizado</v>
      </c>
    </row>
    <row r="686" ht="15.75" customHeight="1">
      <c r="A686" s="13"/>
      <c r="B686" s="173" t="s">
        <v>537</v>
      </c>
      <c r="C686" s="199" t="str">
        <f t="array" ref="C686">IF(B686="","",IFERROR(INDEX('FUNCIONÁRIOS'!$B$4:$B$501,MATCH(B686,'FUNCIONÁRIOS'!$C$4:$C$501,0)),""))</f>
        <v>LATINO </v>
      </c>
      <c r="D686" s="199" t="str">
        <f t="array" ref="D686">IF(B686="","",IFERROR(INDEX('FUNCIONÁRIOS'!$D$4:$D$501,MATCH(B686,'FUNCIONÁRIOS'!$C$4:$C$501,0)),""))</f>
        <v>CARREGADOR </v>
      </c>
      <c r="E686" s="199" t="str">
        <f t="array" ref="E686">IF(B686="","",IFERROR(INDEX('FUNCIONÁRIOS'!$E$4:$E$501,MATCH(B686,'FUNCIONÁRIOS'!$C$4:$C$501,0)),""))</f>
        <v>NÃO</v>
      </c>
      <c r="F686" s="138">
        <v>46169.0</v>
      </c>
      <c r="G686" s="115" t="str">
        <f t="shared" si="43"/>
        <v>✅ 08:18</v>
      </c>
      <c r="H686" s="174" t="s">
        <v>1760</v>
      </c>
      <c r="I686" s="117" t="str">
        <f t="shared" si="44"/>
        <v>→ Selecione a linha e use o menu ⏱️ Ponto</v>
      </c>
      <c r="J686" s="181"/>
      <c r="K686" s="182"/>
      <c r="L686" s="122" t="str">
        <f t="shared" si="45"/>
        <v>🟢 No Evento</v>
      </c>
    </row>
    <row r="687" ht="15.75" customHeight="1">
      <c r="A687" s="13"/>
      <c r="B687" s="173" t="s">
        <v>697</v>
      </c>
      <c r="C687" s="199" t="str">
        <f t="array" ref="C687">IF(B687="","",IFERROR(INDEX('FUNCIONÁRIOS'!$B$4:$B$501,MATCH(B687,'FUNCIONÁRIOS'!$C$4:$C$501,0)),""))</f>
        <v/>
      </c>
      <c r="D687" s="199" t="str">
        <f t="array" ref="D687">IF(B687="","",IFERROR(INDEX('FUNCIONÁRIOS'!$D$4:$D$501,MATCH(B687,'FUNCIONÁRIOS'!$C$4:$C$501,0)),""))</f>
        <v/>
      </c>
      <c r="E687" s="199" t="str">
        <f t="array" ref="E687">IF(B687="","",IFERROR(INDEX('FUNCIONÁRIOS'!$E$4:$E$501,MATCH(B687,'FUNCIONÁRIOS'!$C$4:$C$501,0)),""))</f>
        <v>NÃO</v>
      </c>
      <c r="F687" s="138">
        <v>46169.0</v>
      </c>
      <c r="G687" s="115" t="str">
        <f t="shared" si="43"/>
        <v>✅ 08:20</v>
      </c>
      <c r="H687" s="174" t="s">
        <v>1763</v>
      </c>
      <c r="I687" s="117" t="str">
        <f t="shared" si="44"/>
        <v>→ Selecione a linha e use o menu ⏱️ Ponto</v>
      </c>
      <c r="J687" s="180"/>
      <c r="K687" s="179"/>
      <c r="L687" s="119" t="str">
        <f t="shared" si="45"/>
        <v>🟢 No Evento</v>
      </c>
    </row>
    <row r="688" ht="15.75" customHeight="1">
      <c r="A688" s="13"/>
      <c r="B688" s="173" t="s">
        <v>342</v>
      </c>
      <c r="C688" s="199" t="str">
        <f t="array" ref="C688">IF(B688="","",IFERROR(INDEX('FUNCIONÁRIOS'!$B$4:$B$501,MATCH(B688,'FUNCIONÁRIOS'!$C$4:$C$501,0)),""))</f>
        <v>GO TO </v>
      </c>
      <c r="D688" s="199" t="str">
        <f t="array" ref="D688">IF(B688="","",IFERROR(INDEX('FUNCIONÁRIOS'!$D$4:$D$501,MATCH(B688,'FUNCIONÁRIOS'!$C$4:$C$501,0)),""))</f>
        <v>MONTADOR</v>
      </c>
      <c r="E688" s="199" t="str">
        <f t="array" ref="E688">IF(B688="","",IFERROR(INDEX('FUNCIONÁRIOS'!$E$4:$E$501,MATCH(B688,'FUNCIONÁRIOS'!$C$4:$C$501,0)),""))</f>
        <v>NÃO</v>
      </c>
      <c r="F688" s="138">
        <v>46169.0</v>
      </c>
      <c r="G688" s="115" t="str">
        <f t="shared" si="43"/>
        <v>✅ 08:19</v>
      </c>
      <c r="H688" s="174" t="s">
        <v>1761</v>
      </c>
      <c r="I688" s="117" t="str">
        <f t="shared" si="44"/>
        <v>✅ 23:01</v>
      </c>
      <c r="J688" s="183">
        <v>0.9590277777777778</v>
      </c>
      <c r="K688" s="182"/>
      <c r="L688" s="122" t="str">
        <f t="shared" si="45"/>
        <v>✅ Finalizado</v>
      </c>
    </row>
    <row r="689" ht="15.75" customHeight="1">
      <c r="A689" s="13"/>
      <c r="B689" s="173" t="s">
        <v>113</v>
      </c>
      <c r="C689" s="199" t="str">
        <f t="array" ref="C689">IF(B689="","",IFERROR(INDEX('FUNCIONÁRIOS'!$B$4:$B$501,MATCH(B689,'FUNCIONÁRIOS'!$C$4:$C$501,0)),""))</f>
        <v>MONTE EVENTOS </v>
      </c>
      <c r="D689" s="199" t="str">
        <f t="array" ref="D689">IF(B689="","",IFERROR(INDEX('FUNCIONÁRIOS'!$D$4:$D$501,MATCH(B689,'FUNCIONÁRIOS'!$C$4:$C$501,0)),""))</f>
        <v>COORDENADOR/CEO</v>
      </c>
      <c r="E689" s="199" t="str">
        <f t="array" ref="E689">IF(B689="","",IFERROR(INDEX('FUNCIONÁRIOS'!$E$4:$E$501,MATCH(B689,'FUNCIONÁRIOS'!$C$4:$C$501,0)),""))</f>
        <v>SIM</v>
      </c>
      <c r="F689" s="138">
        <v>46169.0</v>
      </c>
      <c r="G689" s="115" t="str">
        <f t="shared" si="43"/>
        <v>✅ 08:19</v>
      </c>
      <c r="H689" s="174" t="s">
        <v>1761</v>
      </c>
      <c r="I689" s="117" t="str">
        <f t="shared" si="44"/>
        <v>→ Selecione a linha e use o menu ⏱️ Ponto</v>
      </c>
      <c r="J689" s="180"/>
      <c r="K689" s="179"/>
      <c r="L689" s="119" t="str">
        <f t="shared" si="45"/>
        <v>🟢 No Evento</v>
      </c>
    </row>
    <row r="690" ht="15.75" customHeight="1">
      <c r="A690" s="13"/>
      <c r="B690" s="173" t="s">
        <v>552</v>
      </c>
      <c r="C690" s="199" t="str">
        <f t="array" ref="C690">IF(B690="","",IFERROR(INDEX('FUNCIONÁRIOS'!$B$4:$B$501,MATCH(B690,'FUNCIONÁRIOS'!$C$4:$C$501,0)),""))</f>
        <v>LATINO </v>
      </c>
      <c r="D690" s="199" t="str">
        <f t="array" ref="D690">IF(B690="","",IFERROR(INDEX('FUNCIONÁRIOS'!$D$4:$D$501,MATCH(B690,'FUNCIONÁRIOS'!$C$4:$C$501,0)),""))</f>
        <v>CARREGADOR </v>
      </c>
      <c r="E690" s="199" t="str">
        <f t="array" ref="E690">IF(B690="","",IFERROR(INDEX('FUNCIONÁRIOS'!$E$4:$E$501,MATCH(B690,'FUNCIONÁRIOS'!$C$4:$C$501,0)),""))</f>
        <v/>
      </c>
      <c r="F690" s="138">
        <v>46169.0</v>
      </c>
      <c r="G690" s="115" t="str">
        <f t="shared" si="43"/>
        <v>✅ 08:20</v>
      </c>
      <c r="H690" s="174" t="s">
        <v>1763</v>
      </c>
      <c r="I690" s="117" t="str">
        <f t="shared" si="44"/>
        <v>✅ 13:35</v>
      </c>
      <c r="J690" s="176" t="s">
        <v>1877</v>
      </c>
      <c r="K690" s="177">
        <v>0.21875</v>
      </c>
      <c r="L690" s="122" t="str">
        <f t="shared" si="45"/>
        <v>✅ Finalizado</v>
      </c>
    </row>
    <row r="691" ht="15.75" customHeight="1">
      <c r="A691" s="13"/>
      <c r="B691" s="173" t="s">
        <v>706</v>
      </c>
      <c r="C691" s="199" t="str">
        <f t="array" ref="C691">IF(B691="","",IFERROR(INDEX('FUNCIONÁRIOS'!$B$4:$B$501,MATCH(B691,'FUNCIONÁRIOS'!$C$4:$C$501,0)),""))</f>
        <v>SHOWNEWS</v>
      </c>
      <c r="D691" s="199" t="str">
        <f t="array" ref="D691">IF(B691="","",IFERROR(INDEX('FUNCIONÁRIOS'!$D$4:$D$501,MATCH(B691,'FUNCIONÁRIOS'!$C$4:$C$501,0)),""))</f>
        <v>LIMPEZA </v>
      </c>
      <c r="E691" s="199" t="str">
        <f t="array" ref="E691">IF(B691="","",IFERROR(INDEX('FUNCIONÁRIOS'!$E$4:$E$501,MATCH(B691,'FUNCIONÁRIOS'!$C$4:$C$501,0)),""))</f>
        <v>NÃO</v>
      </c>
      <c r="F691" s="138">
        <v>46169.0</v>
      </c>
      <c r="G691" s="115" t="str">
        <f t="shared" si="43"/>
        <v>✅ 08:21</v>
      </c>
      <c r="H691" s="174" t="s">
        <v>1765</v>
      </c>
      <c r="I691" s="117" t="str">
        <f t="shared" si="44"/>
        <v>✅ 16:34</v>
      </c>
      <c r="J691" s="174" t="s">
        <v>1878</v>
      </c>
      <c r="K691" s="175">
        <v>0.3423611111111111</v>
      </c>
      <c r="L691" s="119" t="str">
        <f t="shared" si="45"/>
        <v>✅ Finalizado</v>
      </c>
    </row>
    <row r="692" ht="15.75" customHeight="1">
      <c r="A692" s="13"/>
      <c r="B692" s="173" t="s">
        <v>704</v>
      </c>
      <c r="C692" s="199" t="str">
        <f t="array" ref="C692">IF(B692="","",IFERROR(INDEX('FUNCIONÁRIOS'!$B$4:$B$501,MATCH(B692,'FUNCIONÁRIOS'!$C$4:$C$501,0)),""))</f>
        <v>SHOWNEWS</v>
      </c>
      <c r="D692" s="199" t="str">
        <f t="array" ref="D692">IF(B692="","",IFERROR(INDEX('FUNCIONÁRIOS'!$D$4:$D$501,MATCH(B692,'FUNCIONÁRIOS'!$C$4:$C$501,0)),""))</f>
        <v>LIMPEZA </v>
      </c>
      <c r="E692" s="199" t="str">
        <f t="array" ref="E692">IF(B692="","",IFERROR(INDEX('FUNCIONÁRIOS'!$E$4:$E$501,MATCH(B692,'FUNCIONÁRIOS'!$C$4:$C$501,0)),""))</f>
        <v>NÃO</v>
      </c>
      <c r="F692" s="138">
        <v>46169.0</v>
      </c>
      <c r="G692" s="115" t="str">
        <f t="shared" si="43"/>
        <v>✅ 08:21</v>
      </c>
      <c r="H692" s="174" t="s">
        <v>1765</v>
      </c>
      <c r="I692" s="117" t="str">
        <f t="shared" si="44"/>
        <v>✅ 16:33</v>
      </c>
      <c r="J692" s="176" t="s">
        <v>1879</v>
      </c>
      <c r="K692" s="177">
        <v>0.3416666666666667</v>
      </c>
      <c r="L692" s="122" t="str">
        <f t="shared" si="45"/>
        <v>✅ Finalizado</v>
      </c>
    </row>
    <row r="693" ht="15.75" customHeight="1">
      <c r="A693" s="13"/>
      <c r="B693" s="173" t="s">
        <v>901</v>
      </c>
      <c r="C693" s="199" t="str">
        <f t="array" ref="C693">IF(B693="","",IFERROR(INDEX('FUNCIONÁRIOS'!$B$4:$B$501,MATCH(B693,'FUNCIONÁRIOS'!$C$4:$C$501,0)),""))</f>
        <v>SHOWNEWS</v>
      </c>
      <c r="D693" s="199" t="str">
        <f t="array" ref="D693">IF(B693="","",IFERROR(INDEX('FUNCIONÁRIOS'!$D$4:$D$501,MATCH(B693,'FUNCIONÁRIOS'!$C$4:$C$501,0)),""))</f>
        <v>limpeza </v>
      </c>
      <c r="E693" s="199" t="str">
        <f t="array" ref="E693">IF(B693="","",IFERROR(INDEX('FUNCIONÁRIOS'!$E$4:$E$501,MATCH(B693,'FUNCIONÁRIOS'!$C$4:$C$501,0)),""))</f>
        <v/>
      </c>
      <c r="F693" s="138">
        <v>46169.0</v>
      </c>
      <c r="G693" s="115" t="str">
        <f t="shared" si="43"/>
        <v>✅ 08:23</v>
      </c>
      <c r="H693" s="174" t="s">
        <v>1880</v>
      </c>
      <c r="I693" s="117" t="str">
        <f t="shared" si="44"/>
        <v>→ Selecione a linha e use o menu ⏱️ Ponto</v>
      </c>
      <c r="J693" s="174"/>
      <c r="K693" s="175">
        <v>0.34097222222222223</v>
      </c>
      <c r="L693" s="119" t="str">
        <f t="shared" si="45"/>
        <v>🟢 No Evento</v>
      </c>
    </row>
    <row r="694" ht="15.75" customHeight="1">
      <c r="A694" s="13"/>
      <c r="B694" s="173" t="s">
        <v>904</v>
      </c>
      <c r="C694" s="199" t="str">
        <f t="array" ref="C694">IF(B694="","",IFERROR(INDEX('FUNCIONÁRIOS'!$B$4:$B$501,MATCH(B694,'FUNCIONÁRIOS'!$C$4:$C$501,0)),""))</f>
        <v>raçudao </v>
      </c>
      <c r="D694" s="199" t="str">
        <f t="array" ref="D694">IF(B694="","",IFERROR(INDEX('FUNCIONÁRIOS'!$D$4:$D$501,MATCH(B694,'FUNCIONÁRIOS'!$C$4:$C$501,0)),""))</f>
        <v>motorista</v>
      </c>
      <c r="E694" s="199" t="str">
        <f t="array" ref="E694">IF(B694="","",IFERROR(INDEX('FUNCIONÁRIOS'!$E$4:$E$501,MATCH(B694,'FUNCIONÁRIOS'!$C$4:$C$501,0)),""))</f>
        <v/>
      </c>
      <c r="F694" s="138">
        <v>46169.0</v>
      </c>
      <c r="G694" s="115" t="str">
        <f t="shared" si="43"/>
        <v>✅ 08:25</v>
      </c>
      <c r="H694" s="174" t="s">
        <v>1769</v>
      </c>
      <c r="I694" s="117" t="str">
        <f t="shared" si="44"/>
        <v>→ Selecione a linha e use o menu ⏱️ Ponto</v>
      </c>
      <c r="J694" s="176"/>
      <c r="K694" s="213"/>
      <c r="L694" s="122" t="str">
        <f t="shared" si="45"/>
        <v>🟢 No Evento</v>
      </c>
    </row>
    <row r="695" ht="15.75" customHeight="1">
      <c r="A695" s="13"/>
      <c r="B695" s="173" t="s">
        <v>905</v>
      </c>
      <c r="C695" s="199" t="str">
        <f t="array" ref="C695">IF(B695="","",IFERROR(INDEX('FUNCIONÁRIOS'!$B$4:$B$501,MATCH(B695,'FUNCIONÁRIOS'!$C$4:$C$501,0)),""))</f>
        <v>YES </v>
      </c>
      <c r="D695" s="199" t="str">
        <f t="array" ref="D695">IF(B695="","",IFERROR(INDEX('FUNCIONÁRIOS'!$D$4:$D$501,MATCH(B695,'FUNCIONÁRIOS'!$C$4:$C$501,0)),""))</f>
        <v>TEC SEGURANÇA DO TRABALHO </v>
      </c>
      <c r="E695" s="199" t="str">
        <f t="array" ref="E695">IF(B695="","",IFERROR(INDEX('FUNCIONÁRIOS'!$E$4:$E$501,MATCH(B695,'FUNCIONÁRIOS'!$C$4:$C$501,0)),""))</f>
        <v/>
      </c>
      <c r="F695" s="138">
        <v>46169.0</v>
      </c>
      <c r="G695" s="115" t="str">
        <f t="shared" si="43"/>
        <v>✅ 08:25</v>
      </c>
      <c r="H695" s="174" t="s">
        <v>1769</v>
      </c>
      <c r="I695" s="117" t="str">
        <f t="shared" si="44"/>
        <v>→ Selecione a linha e use o menu ⏱️ Ponto</v>
      </c>
      <c r="J695" s="174"/>
      <c r="K695" s="215"/>
      <c r="L695" s="119" t="str">
        <f t="shared" si="45"/>
        <v>🟢 No Evento</v>
      </c>
    </row>
    <row r="696" ht="15.75" customHeight="1">
      <c r="A696" s="13"/>
      <c r="B696" s="173" t="s">
        <v>386</v>
      </c>
      <c r="C696" s="199" t="str">
        <f t="array" ref="C696">IF(B696="","",IFERROR(INDEX('FUNCIONÁRIOS'!$B$4:$B$501,MATCH(B696,'FUNCIONÁRIOS'!$C$4:$C$501,0)),""))</f>
        <v>GO TO </v>
      </c>
      <c r="D696" s="199" t="str">
        <f t="array" ref="D696">IF(B696="","",IFERROR(INDEX('FUNCIONÁRIOS'!$D$4:$D$501,MATCH(B696,'FUNCIONÁRIOS'!$C$4:$C$501,0)),""))</f>
        <v>MONTADOR</v>
      </c>
      <c r="E696" s="199" t="str">
        <f t="array" ref="E696">IF(B696="","",IFERROR(INDEX('FUNCIONÁRIOS'!$E$4:$E$501,MATCH(B696,'FUNCIONÁRIOS'!$C$4:$C$501,0)),""))</f>
        <v>NÃO</v>
      </c>
      <c r="F696" s="138">
        <v>46169.0</v>
      </c>
      <c r="G696" s="115" t="str">
        <f t="shared" si="43"/>
        <v>✅ 08:29</v>
      </c>
      <c r="H696" s="174" t="s">
        <v>1635</v>
      </c>
      <c r="I696" s="117" t="str">
        <f t="shared" si="44"/>
        <v>✅ 22:51</v>
      </c>
      <c r="J696" s="183">
        <v>0.9520833333333333</v>
      </c>
      <c r="K696" s="182"/>
      <c r="L696" s="122" t="str">
        <f t="shared" si="45"/>
        <v>✅ Finalizado</v>
      </c>
    </row>
    <row r="697" ht="15.75" customHeight="1">
      <c r="A697" s="13"/>
      <c r="B697" s="173" t="s">
        <v>392</v>
      </c>
      <c r="C697" s="199" t="str">
        <f t="array" ref="C697">IF(B697="","",IFERROR(INDEX('FUNCIONÁRIOS'!$B$4:$B$501,MATCH(B697,'FUNCIONÁRIOS'!$C$4:$C$501,0)),""))</f>
        <v>GO TO </v>
      </c>
      <c r="D697" s="199" t="str">
        <f t="array" ref="D697">IF(B697="","",IFERROR(INDEX('FUNCIONÁRIOS'!$D$4:$D$501,MATCH(B697,'FUNCIONÁRIOS'!$C$4:$C$501,0)),""))</f>
        <v>MONTADOR</v>
      </c>
      <c r="E697" s="199" t="str">
        <f t="array" ref="E697">IF(B697="","",IFERROR(INDEX('FUNCIONÁRIOS'!$E$4:$E$501,MATCH(B697,'FUNCIONÁRIOS'!$C$4:$C$501,0)),""))</f>
        <v>NÃO</v>
      </c>
      <c r="F697" s="138">
        <v>46169.0</v>
      </c>
      <c r="G697" s="115" t="str">
        <f t="shared" si="43"/>
        <v>✅ 08:29</v>
      </c>
      <c r="H697" s="174" t="s">
        <v>1635</v>
      </c>
      <c r="I697" s="117" t="str">
        <f t="shared" si="44"/>
        <v>→ Selecione a linha e use o menu ⏱️ Ponto</v>
      </c>
      <c r="J697" s="180"/>
      <c r="K697" s="179"/>
      <c r="L697" s="119" t="str">
        <f t="shared" si="45"/>
        <v>🟢 No Evento</v>
      </c>
    </row>
    <row r="698" ht="15.75" customHeight="1">
      <c r="A698" s="13"/>
      <c r="B698" s="173" t="s">
        <v>700</v>
      </c>
      <c r="C698" s="199" t="str">
        <f t="array" ref="C698">IF(B698="","",IFERROR(INDEX('FUNCIONÁRIOS'!$B$4:$B$501,MATCH(B698,'FUNCIONÁRIOS'!$C$4:$C$501,0)),""))</f>
        <v>GO TO </v>
      </c>
      <c r="D698" s="199" t="str">
        <f t="array" ref="D698">IF(B698="","",IFERROR(INDEX('FUNCIONÁRIOS'!$D$4:$D$501,MATCH(B698,'FUNCIONÁRIOS'!$C$4:$C$501,0)),""))</f>
        <v>MONTADOR </v>
      </c>
      <c r="E698" s="199" t="str">
        <f t="array" ref="E698">IF(B698="","",IFERROR(INDEX('FUNCIONÁRIOS'!$E$4:$E$501,MATCH(B698,'FUNCIONÁRIOS'!$C$4:$C$501,0)),""))</f>
        <v>NÃO</v>
      </c>
      <c r="F698" s="138">
        <v>46169.0</v>
      </c>
      <c r="G698" s="115" t="str">
        <f t="shared" si="43"/>
        <v>✅ 08:31</v>
      </c>
      <c r="H698" s="174" t="s">
        <v>1775</v>
      </c>
      <c r="I698" s="117" t="str">
        <f t="shared" si="44"/>
        <v>✅ 22:52</v>
      </c>
      <c r="J698" s="183">
        <v>0.9527777777777777</v>
      </c>
      <c r="K698" s="182"/>
      <c r="L698" s="122" t="str">
        <f t="shared" si="45"/>
        <v>✅ Finalizado</v>
      </c>
    </row>
    <row r="699" ht="15.75" customHeight="1">
      <c r="A699" s="13"/>
      <c r="B699" s="173" t="s">
        <v>542</v>
      </c>
      <c r="C699" s="199" t="str">
        <f t="array" ref="C699">IF(B699="","",IFERROR(INDEX('FUNCIONÁRIOS'!$B$4:$B$501,MATCH(B699,'FUNCIONÁRIOS'!$C$4:$C$501,0)),""))</f>
        <v>GO TO </v>
      </c>
      <c r="D699" s="199" t="str">
        <f t="array" ref="D699">IF(B699="","",IFERROR(INDEX('FUNCIONÁRIOS'!$D$4:$D$501,MATCH(B699,'FUNCIONÁRIOS'!$C$4:$C$501,0)),""))</f>
        <v>CENOGRAFIA</v>
      </c>
      <c r="E699" s="199" t="str">
        <f t="array" ref="E699">IF(B699="","",IFERROR(INDEX('FUNCIONÁRIOS'!$E$4:$E$501,MATCH(B699,'FUNCIONÁRIOS'!$C$4:$C$501,0)),""))</f>
        <v>NÃO</v>
      </c>
      <c r="F699" s="138">
        <v>46169.0</v>
      </c>
      <c r="G699" s="115" t="str">
        <f t="shared" si="43"/>
        <v>✅ 08:31</v>
      </c>
      <c r="H699" s="174" t="s">
        <v>1775</v>
      </c>
      <c r="I699" s="117" t="str">
        <f t="shared" si="44"/>
        <v>→ Selecione a linha e use o menu ⏱️ Ponto</v>
      </c>
      <c r="J699" s="180"/>
      <c r="K699" s="179"/>
      <c r="L699" s="119" t="str">
        <f t="shared" si="45"/>
        <v>🟢 No Evento</v>
      </c>
    </row>
    <row r="700" ht="15.75" customHeight="1">
      <c r="A700" s="13"/>
      <c r="B700" s="173" t="s">
        <v>574</v>
      </c>
      <c r="C700" s="199" t="str">
        <f t="array" ref="C700">IF(B700="","",IFERROR(INDEX('FUNCIONÁRIOS'!$B$4:$B$501,MATCH(B700,'FUNCIONÁRIOS'!$C$4:$C$501,0)),""))</f>
        <v>GO TO </v>
      </c>
      <c r="D700" s="199" t="str">
        <f t="array" ref="D700">IF(B700="","",IFERROR(INDEX('FUNCIONÁRIOS'!$D$4:$D$501,MATCH(B700,'FUNCIONÁRIOS'!$C$4:$C$501,0)),""))</f>
        <v>CENOGRAFIA </v>
      </c>
      <c r="E700" s="199" t="str">
        <f t="array" ref="E700">IF(B700="","",IFERROR(INDEX('FUNCIONÁRIOS'!$E$4:$E$501,MATCH(B700,'FUNCIONÁRIOS'!$C$4:$C$501,0)),""))</f>
        <v>NÃO</v>
      </c>
      <c r="F700" s="138">
        <v>46169.0</v>
      </c>
      <c r="G700" s="115" t="str">
        <f t="shared" si="43"/>
        <v>✅ 08:31</v>
      </c>
      <c r="H700" s="174" t="s">
        <v>1775</v>
      </c>
      <c r="I700" s="117" t="str">
        <f t="shared" si="44"/>
        <v>→ Selecione a linha e use o menu ⏱️ Ponto</v>
      </c>
      <c r="J700" s="180"/>
      <c r="K700" s="179"/>
      <c r="L700" s="119" t="str">
        <f t="shared" si="45"/>
        <v>🟢 No Evento</v>
      </c>
    </row>
    <row r="701" ht="15.75" customHeight="1">
      <c r="A701" s="13"/>
      <c r="B701" s="173" t="s">
        <v>701</v>
      </c>
      <c r="C701" s="199" t="str">
        <f t="array" ref="C701">IF(B701="","",IFERROR(INDEX('FUNCIONÁRIOS'!$B$4:$B$501,MATCH(B701,'FUNCIONÁRIOS'!$C$4:$C$501,0)),""))</f>
        <v>GO TO </v>
      </c>
      <c r="D701" s="199" t="str">
        <f t="array" ref="D701">IF(B701="","",IFERROR(INDEX('FUNCIONÁRIOS'!$D$4:$D$501,MATCH(B701,'FUNCIONÁRIOS'!$C$4:$C$501,0)),""))</f>
        <v>MONTADOR </v>
      </c>
      <c r="E701" s="199" t="str">
        <f t="array" ref="E701">IF(B701="","",IFERROR(INDEX('FUNCIONÁRIOS'!$E$4:$E$501,MATCH(B701,'FUNCIONÁRIOS'!$C$4:$C$501,0)),""))</f>
        <v>NÃO</v>
      </c>
      <c r="F701" s="138">
        <v>46169.0</v>
      </c>
      <c r="G701" s="115" t="str">
        <f t="shared" si="43"/>
        <v>✅ 08:31</v>
      </c>
      <c r="H701" s="174" t="s">
        <v>1775</v>
      </c>
      <c r="I701" s="117" t="str">
        <f t="shared" si="44"/>
        <v>✅ 22:50</v>
      </c>
      <c r="J701" s="183">
        <v>0.9513888888888888</v>
      </c>
      <c r="K701" s="182"/>
      <c r="L701" s="122" t="str">
        <f t="shared" si="45"/>
        <v>✅ Finalizado</v>
      </c>
    </row>
    <row r="702" ht="15.75" customHeight="1">
      <c r="A702" s="13"/>
      <c r="B702" s="173" t="s">
        <v>535</v>
      </c>
      <c r="C702" s="199" t="str">
        <f t="array" ref="C702">IF(B702="","",IFERROR(INDEX('FUNCIONÁRIOS'!$B$4:$B$501,MATCH(B702,'FUNCIONÁRIOS'!$C$4:$C$501,0)),""))</f>
        <v>LATINO </v>
      </c>
      <c r="D702" s="199" t="str">
        <f t="array" ref="D702">IF(B702="","",IFERROR(INDEX('FUNCIONÁRIOS'!$D$4:$D$501,MATCH(B702,'FUNCIONÁRIOS'!$C$4:$C$501,0)),""))</f>
        <v>COORDENADOR DOS CARREGADORES </v>
      </c>
      <c r="E702" s="199" t="str">
        <f t="array" ref="E702">IF(B702="","",IFERROR(INDEX('FUNCIONÁRIOS'!$E$4:$E$501,MATCH(B702,'FUNCIONÁRIOS'!$C$4:$C$501,0)),""))</f>
        <v>SIM</v>
      </c>
      <c r="F702" s="138">
        <v>46169.0</v>
      </c>
      <c r="G702" s="115" t="str">
        <f t="shared" si="43"/>
        <v>✅ 08:32</v>
      </c>
      <c r="H702" s="174" t="s">
        <v>1777</v>
      </c>
      <c r="I702" s="117" t="str">
        <f t="shared" si="44"/>
        <v>✅ 17:58</v>
      </c>
      <c r="J702" s="178">
        <v>0.7486111111111111</v>
      </c>
      <c r="K702" s="179"/>
      <c r="L702" s="119" t="str">
        <f t="shared" si="45"/>
        <v>✅ Finalizado</v>
      </c>
    </row>
    <row r="703" ht="15.75" customHeight="1">
      <c r="A703" s="13"/>
      <c r="B703" s="173" t="s">
        <v>374</v>
      </c>
      <c r="C703" s="199" t="str">
        <f t="array" ref="C703">IF(B703="","",IFERROR(INDEX('FUNCIONÁRIOS'!$B$4:$B$501,MATCH(B703,'FUNCIONÁRIOS'!$C$4:$C$501,0)),""))</f>
        <v>GO TO </v>
      </c>
      <c r="D703" s="199" t="str">
        <f t="array" ref="D703">IF(B703="","",IFERROR(INDEX('FUNCIONÁRIOS'!$D$4:$D$501,MATCH(B703,'FUNCIONÁRIOS'!$C$4:$C$501,0)),""))</f>
        <v>MONTADOR</v>
      </c>
      <c r="E703" s="199" t="str">
        <f t="array" ref="E703">IF(B703="","",IFERROR(INDEX('FUNCIONÁRIOS'!$E$4:$E$501,MATCH(B703,'FUNCIONÁRIOS'!$C$4:$C$501,0)),""))</f>
        <v>NÃO</v>
      </c>
      <c r="F703" s="138">
        <v>46169.0</v>
      </c>
      <c r="G703" s="115" t="str">
        <f t="shared" si="43"/>
        <v>✅ 08:32</v>
      </c>
      <c r="H703" s="174" t="s">
        <v>1777</v>
      </c>
      <c r="I703" s="117" t="str">
        <f t="shared" si="44"/>
        <v>→ Selecione a linha e use o menu ⏱️ Ponto</v>
      </c>
      <c r="J703" s="181"/>
      <c r="K703" s="182"/>
      <c r="L703" s="122" t="str">
        <f t="shared" si="45"/>
        <v>🟢 No Evento</v>
      </c>
    </row>
    <row r="704" ht="15.75" customHeight="1">
      <c r="A704" s="13"/>
      <c r="B704" s="173" t="s">
        <v>382</v>
      </c>
      <c r="C704" s="199" t="str">
        <f t="array" ref="C704">IF(B704="","",IFERROR(INDEX('FUNCIONÁRIOS'!$B$4:$B$501,MATCH(B704,'FUNCIONÁRIOS'!$C$4:$C$501,0)),""))</f>
        <v>GO TO </v>
      </c>
      <c r="D704" s="199" t="str">
        <f t="array" ref="D704">IF(B704="","",IFERROR(INDEX('FUNCIONÁRIOS'!$D$4:$D$501,MATCH(B704,'FUNCIONÁRIOS'!$C$4:$C$501,0)),""))</f>
        <v>MONTADOR</v>
      </c>
      <c r="E704" s="199" t="str">
        <f t="array" ref="E704">IF(B704="","",IFERROR(INDEX('FUNCIONÁRIOS'!$E$4:$E$501,MATCH(B704,'FUNCIONÁRIOS'!$C$4:$C$501,0)),""))</f>
        <v>NÃO</v>
      </c>
      <c r="F704" s="138">
        <v>46169.0</v>
      </c>
      <c r="G704" s="115" t="str">
        <f t="shared" si="43"/>
        <v>✅ 08:32</v>
      </c>
      <c r="H704" s="174" t="s">
        <v>1777</v>
      </c>
      <c r="I704" s="117" t="str">
        <f t="shared" si="44"/>
        <v>→ Selecione a linha e use o menu ⏱️ Ponto</v>
      </c>
      <c r="J704" s="180"/>
      <c r="K704" s="179"/>
      <c r="L704" s="119" t="str">
        <f t="shared" si="45"/>
        <v>🟢 No Evento</v>
      </c>
    </row>
    <row r="705" ht="15.75" customHeight="1">
      <c r="A705" s="13"/>
      <c r="B705" s="173" t="s">
        <v>364</v>
      </c>
      <c r="C705" s="199" t="str">
        <f t="array" ref="C705">IF(B705="","",IFERROR(INDEX('FUNCIONÁRIOS'!$B$4:$B$501,MATCH(B705,'FUNCIONÁRIOS'!$C$4:$C$501,0)),""))</f>
        <v>GO TO </v>
      </c>
      <c r="D705" s="199" t="str">
        <f t="array" ref="D705">IF(B705="","",IFERROR(INDEX('FUNCIONÁRIOS'!$D$4:$D$501,MATCH(B705,'FUNCIONÁRIOS'!$C$4:$C$501,0)),""))</f>
        <v>MONTADOR</v>
      </c>
      <c r="E705" s="199" t="str">
        <f t="array" ref="E705">IF(B705="","",IFERROR(INDEX('FUNCIONÁRIOS'!$E$4:$E$501,MATCH(B705,'FUNCIONÁRIOS'!$C$4:$C$501,0)),""))</f>
        <v>NÃO</v>
      </c>
      <c r="F705" s="138">
        <v>46169.0</v>
      </c>
      <c r="G705" s="115" t="str">
        <f t="shared" si="43"/>
        <v>✅ 08:33</v>
      </c>
      <c r="H705" s="174" t="s">
        <v>1881</v>
      </c>
      <c r="I705" s="117" t="str">
        <f t="shared" si="44"/>
        <v>→ Selecione a linha e use o menu ⏱️ Ponto</v>
      </c>
      <c r="J705" s="181"/>
      <c r="K705" s="182"/>
      <c r="L705" s="122" t="str">
        <f t="shared" si="45"/>
        <v>🟢 No Evento</v>
      </c>
    </row>
    <row r="706" ht="15.75" customHeight="1">
      <c r="A706" s="13"/>
      <c r="B706" s="173" t="s">
        <v>577</v>
      </c>
      <c r="C706" s="199" t="str">
        <f t="array" ref="C706">IF(B706="","",IFERROR(INDEX('FUNCIONÁRIOS'!$B$4:$B$501,MATCH(B706,'FUNCIONÁRIOS'!$C$4:$C$501,0)),""))</f>
        <v>ALL ESTRUTURAS </v>
      </c>
      <c r="D706" s="199" t="str">
        <f t="array" ref="D706">IF(B706="","",IFERROR(INDEX('FUNCIONÁRIOS'!$D$4:$D$501,MATCH(B706,'FUNCIONÁRIOS'!$C$4:$C$501,0)),""))</f>
        <v>MONTADOR </v>
      </c>
      <c r="E706" s="199" t="str">
        <f t="array" ref="E706">IF(B706="","",IFERROR(INDEX('FUNCIONÁRIOS'!$E$4:$E$501,MATCH(B706,'FUNCIONÁRIOS'!$C$4:$C$501,0)),""))</f>
        <v>NÃO</v>
      </c>
      <c r="F706" s="138">
        <v>46169.0</v>
      </c>
      <c r="G706" s="115" t="str">
        <f t="shared" si="43"/>
        <v>✅ 08:33</v>
      </c>
      <c r="H706" s="174" t="s">
        <v>1881</v>
      </c>
      <c r="I706" s="117" t="str">
        <f t="shared" si="44"/>
        <v>✅ 18:44</v>
      </c>
      <c r="J706" s="174" t="s">
        <v>1606</v>
      </c>
      <c r="K706" s="175">
        <v>0.42430555555555555</v>
      </c>
      <c r="L706" s="119" t="str">
        <f t="shared" si="45"/>
        <v>✅ Finalizado</v>
      </c>
    </row>
    <row r="707" ht="15.75" customHeight="1">
      <c r="A707" s="13"/>
      <c r="B707" s="173" t="s">
        <v>571</v>
      </c>
      <c r="C707" s="199" t="str">
        <f t="array" ref="C707">IF(B707="","",IFERROR(INDEX('FUNCIONÁRIOS'!$B$4:$B$501,MATCH(B707,'FUNCIONÁRIOS'!$C$4:$C$501,0)),""))</f>
        <v>VISUAL LIVE </v>
      </c>
      <c r="D707" s="199" t="str">
        <f t="array" ref="D707">IF(B707="","",IFERROR(INDEX('FUNCIONÁRIOS'!$D$4:$D$501,MATCH(B707,'FUNCIONÁRIOS'!$C$4:$C$501,0)),""))</f>
        <v>MONTADOR </v>
      </c>
      <c r="E707" s="199" t="str">
        <f t="array" ref="E707">IF(B707="","",IFERROR(INDEX('FUNCIONÁRIOS'!$E$4:$E$501,MATCH(B707,'FUNCIONÁRIOS'!$C$4:$C$501,0)),""))</f>
        <v>NÃO</v>
      </c>
      <c r="F707" s="138">
        <v>46169.0</v>
      </c>
      <c r="G707" s="115" t="str">
        <f t="shared" si="43"/>
        <v>✅ 08:34</v>
      </c>
      <c r="H707" s="174" t="s">
        <v>1779</v>
      </c>
      <c r="I707" s="117" t="str">
        <f t="shared" si="44"/>
        <v>✅ 18:43</v>
      </c>
      <c r="J707" s="176" t="s">
        <v>1603</v>
      </c>
      <c r="K707" s="177">
        <v>0.42291666666666666</v>
      </c>
      <c r="L707" s="122" t="str">
        <f t="shared" si="45"/>
        <v>✅ Finalizado</v>
      </c>
    </row>
    <row r="708" ht="15.75" customHeight="1">
      <c r="A708" s="13"/>
      <c r="B708" s="173" t="s">
        <v>620</v>
      </c>
      <c r="C708" s="199" t="str">
        <f t="array" ref="C708">IF(B708="","",IFERROR(INDEX('FUNCIONÁRIOS'!$B$4:$B$501,MATCH(B708,'FUNCIONÁRIOS'!$C$4:$C$501,0)),""))</f>
        <v>STUDIO K MULTI EVENTOS LTDA </v>
      </c>
      <c r="D708" s="199" t="str">
        <f t="array" ref="D708">IF(B708="","",IFERROR(INDEX('FUNCIONÁRIOS'!$D$4:$D$501,MATCH(B708,'FUNCIONÁRIOS'!$C$4:$C$501,0)),""))</f>
        <v>PRODUTOR TECNICO</v>
      </c>
      <c r="E708" s="199" t="str">
        <f t="array" ref="E708">IF(B708="","",IFERROR(INDEX('FUNCIONÁRIOS'!$E$4:$E$501,MATCH(B708,'FUNCIONÁRIOS'!$C$4:$C$501,0)),""))</f>
        <v>NÃO</v>
      </c>
      <c r="F708" s="138">
        <v>46169.0</v>
      </c>
      <c r="G708" s="115" t="str">
        <f t="shared" si="43"/>
        <v>✅ 08:34</v>
      </c>
      <c r="H708" s="174" t="s">
        <v>1779</v>
      </c>
      <c r="I708" s="117" t="str">
        <f t="shared" si="44"/>
        <v>→ Selecione a linha e use o menu ⏱️ Ponto</v>
      </c>
      <c r="J708" s="180"/>
      <c r="K708" s="179"/>
      <c r="L708" s="119" t="str">
        <f t="shared" si="45"/>
        <v>🟢 No Evento</v>
      </c>
    </row>
    <row r="709" ht="15.75" customHeight="1">
      <c r="A709" s="13"/>
      <c r="B709" s="173" t="s">
        <v>631</v>
      </c>
      <c r="C709" s="199" t="str">
        <f t="array" ref="C709">IF(B709="","",IFERROR(INDEX('FUNCIONÁRIOS'!$B$4:$B$501,MATCH(B709,'FUNCIONÁRIOS'!$C$4:$C$501,0)),""))</f>
        <v>STUDIO K MULTI EVENTOS LTDA </v>
      </c>
      <c r="D709" s="199" t="str">
        <f t="array" ref="D709">IF(B709="","",IFERROR(INDEX('FUNCIONÁRIOS'!$D$4:$D$501,MATCH(B709,'FUNCIONÁRIOS'!$C$4:$C$501,0)),""))</f>
        <v>TECNICO EM SONORIZAÇÃO</v>
      </c>
      <c r="E709" s="199" t="str">
        <f t="array" ref="E709">IF(B709="","",IFERROR(INDEX('FUNCIONÁRIOS'!$E$4:$E$501,MATCH(B709,'FUNCIONÁRIOS'!$C$4:$C$501,0)),""))</f>
        <v>NÃO</v>
      </c>
      <c r="F709" s="138">
        <v>46169.0</v>
      </c>
      <c r="G709" s="115" t="str">
        <f t="shared" si="43"/>
        <v>✅ 08:35</v>
      </c>
      <c r="H709" s="174" t="s">
        <v>1782</v>
      </c>
      <c r="I709" s="117" t="str">
        <f t="shared" si="44"/>
        <v>→ Selecione a linha e use o menu ⏱️ Ponto</v>
      </c>
      <c r="J709" s="181"/>
      <c r="K709" s="182"/>
      <c r="L709" s="122" t="str">
        <f t="shared" si="45"/>
        <v>🟢 No Evento</v>
      </c>
    </row>
    <row r="710" ht="15.75" customHeight="1">
      <c r="A710" s="13"/>
      <c r="B710" s="173" t="s">
        <v>570</v>
      </c>
      <c r="C710" s="199" t="str">
        <f t="array" ref="C710">IF(B710="","",IFERROR(INDEX('FUNCIONÁRIOS'!$B$4:$B$501,MATCH(B710,'FUNCIONÁRIOS'!$C$4:$C$501,0)),""))</f>
        <v>VISUAL LIVE </v>
      </c>
      <c r="D710" s="199" t="str">
        <f t="array" ref="D710">IF(B710="","",IFERROR(INDEX('FUNCIONÁRIOS'!$D$4:$D$501,MATCH(B710,'FUNCIONÁRIOS'!$C$4:$C$501,0)),""))</f>
        <v>MONTADOR </v>
      </c>
      <c r="E710" s="199" t="str">
        <f t="array" ref="E710">IF(B710="","",IFERROR(INDEX('FUNCIONÁRIOS'!$E$4:$E$501,MATCH(B710,'FUNCIONÁRIOS'!$C$4:$C$501,0)),""))</f>
        <v>NÃO</v>
      </c>
      <c r="F710" s="138">
        <v>46169.0</v>
      </c>
      <c r="G710" s="115" t="str">
        <f t="shared" si="43"/>
        <v>✅ 08:35</v>
      </c>
      <c r="H710" s="174" t="s">
        <v>1782</v>
      </c>
      <c r="I710" s="117" t="str">
        <f t="shared" si="44"/>
        <v>✅ 18:41</v>
      </c>
      <c r="J710" s="174" t="s">
        <v>1608</v>
      </c>
      <c r="K710" s="175">
        <v>0.42083333333333334</v>
      </c>
      <c r="L710" s="119" t="str">
        <f t="shared" si="45"/>
        <v>✅ Finalizado</v>
      </c>
    </row>
    <row r="711" ht="15.75" customHeight="1">
      <c r="A711" s="13"/>
      <c r="B711" s="173" t="s">
        <v>781</v>
      </c>
      <c r="C711" s="199" t="str">
        <f t="array" ref="C711">IF(B711="","",IFERROR(INDEX('FUNCIONÁRIOS'!$B$4:$B$501,MATCH(B711,'FUNCIONÁRIOS'!$C$4:$C$501,0)),""))</f>
        <v>MIX GERADORES</v>
      </c>
      <c r="D711" s="199" t="str">
        <f t="array" ref="D711">IF(B711="","",IFERROR(INDEX('FUNCIONÁRIOS'!$D$4:$D$501,MATCH(B711,'FUNCIONÁRIOS'!$C$4:$C$501,0)),""))</f>
        <v>OPERADOR DE GERADOR </v>
      </c>
      <c r="E711" s="199" t="str">
        <f t="array" ref="E711">IF(B711="","",IFERROR(INDEX('FUNCIONÁRIOS'!$E$4:$E$501,MATCH(B711,'FUNCIONÁRIOS'!$C$4:$C$501,0)),""))</f>
        <v>NÃO</v>
      </c>
      <c r="F711" s="138">
        <v>46169.0</v>
      </c>
      <c r="G711" s="115" t="str">
        <f t="shared" si="43"/>
        <v>✅ 08:36</v>
      </c>
      <c r="H711" s="174" t="s">
        <v>1784</v>
      </c>
      <c r="I711" s="117" t="str">
        <f t="shared" si="44"/>
        <v>→ Selecione a linha e use o menu ⏱️ Ponto</v>
      </c>
      <c r="J711" s="181"/>
      <c r="K711" s="182"/>
      <c r="L711" s="122" t="str">
        <f t="shared" si="45"/>
        <v>🟢 No Evento</v>
      </c>
    </row>
    <row r="712" ht="15.75" customHeight="1">
      <c r="A712" s="13"/>
      <c r="B712" s="173" t="s">
        <v>215</v>
      </c>
      <c r="C712" s="199" t="str">
        <f t="array" ref="C712">IF(B712="","",IFERROR(INDEX('FUNCIONÁRIOS'!$B$4:$B$501,MATCH(B712,'FUNCIONÁRIOS'!$C$4:$C$501,0)),""))</f>
        <v>GO TO </v>
      </c>
      <c r="D712" s="199" t="str">
        <f t="array" ref="D712">IF(B712="","",IFERROR(INDEX('FUNCIONÁRIOS'!$D$4:$D$501,MATCH(B712,'FUNCIONÁRIOS'!$C$4:$C$501,0)),""))</f>
        <v>CENOGRAFIA </v>
      </c>
      <c r="E712" s="199" t="str">
        <f t="array" ref="E712">IF(B712="","",IFERROR(INDEX('FUNCIONÁRIOS'!$E$4:$E$501,MATCH(B712,'FUNCIONÁRIOS'!$C$4:$C$501,0)),""))</f>
        <v>NÃO</v>
      </c>
      <c r="F712" s="138">
        <v>46169.0</v>
      </c>
      <c r="G712" s="115" t="str">
        <f t="shared" si="43"/>
        <v>✅ 08:36</v>
      </c>
      <c r="H712" s="174" t="s">
        <v>1784</v>
      </c>
      <c r="I712" s="117" t="str">
        <f t="shared" si="44"/>
        <v>→ Selecione a linha e use o menu ⏱️ Ponto</v>
      </c>
      <c r="J712" s="180"/>
      <c r="K712" s="179"/>
      <c r="L712" s="119" t="str">
        <f t="shared" si="45"/>
        <v>🟢 No Evento</v>
      </c>
    </row>
    <row r="713" ht="15.75" customHeight="1">
      <c r="A713" s="13"/>
      <c r="B713" s="173" t="s">
        <v>708</v>
      </c>
      <c r="C713" s="199" t="str">
        <f t="array" ref="C713">IF(B713="","",IFERROR(INDEX('FUNCIONÁRIOS'!$B$4:$B$501,MATCH(B713,'FUNCIONÁRIOS'!$C$4:$C$501,0)),""))</f>
        <v>PRIVIEGE EVENTOS </v>
      </c>
      <c r="D713" s="199" t="str">
        <f t="array" ref="D713">IF(B713="","",IFERROR(INDEX('FUNCIONÁRIOS'!$D$4:$D$501,MATCH(B713,'FUNCIONÁRIOS'!$C$4:$C$501,0)),""))</f>
        <v>LIMPEZA </v>
      </c>
      <c r="E713" s="199" t="str">
        <f t="array" ref="E713">IF(B713="","",IFERROR(INDEX('FUNCIONÁRIOS'!$E$4:$E$501,MATCH(B713,'FUNCIONÁRIOS'!$C$4:$C$501,0)),""))</f>
        <v>NÃO</v>
      </c>
      <c r="F713" s="138">
        <v>46169.0</v>
      </c>
      <c r="G713" s="115" t="str">
        <f t="shared" si="43"/>
        <v>✅ 08:37</v>
      </c>
      <c r="H713" s="174" t="s">
        <v>1882</v>
      </c>
      <c r="I713" s="117" t="str">
        <f t="shared" si="44"/>
        <v>→ Selecione a linha e use o menu ⏱️ Ponto</v>
      </c>
      <c r="J713" s="181"/>
      <c r="K713" s="182"/>
      <c r="L713" s="122" t="str">
        <f t="shared" si="45"/>
        <v>🟢 No Evento</v>
      </c>
    </row>
    <row r="714" ht="15.75" customHeight="1">
      <c r="A714" s="13"/>
      <c r="B714" s="173" t="s">
        <v>711</v>
      </c>
      <c r="C714" s="199" t="str">
        <f t="array" ref="C714">IF(B714="","",IFERROR(INDEX('FUNCIONÁRIOS'!$B$4:$B$501,MATCH(B714,'FUNCIONÁRIOS'!$C$4:$C$501,0)),""))</f>
        <v>FABINHO EVENTOS </v>
      </c>
      <c r="D714" s="199" t="str">
        <f t="array" ref="D714">IF(B714="","",IFERROR(INDEX('FUNCIONÁRIOS'!$D$4:$D$501,MATCH(B714,'FUNCIONÁRIOS'!$C$4:$C$501,0)),""))</f>
        <v>GERENTE </v>
      </c>
      <c r="E714" s="199" t="str">
        <f t="array" ref="E714">IF(B714="","",IFERROR(INDEX('FUNCIONÁRIOS'!$E$4:$E$501,MATCH(B714,'FUNCIONÁRIOS'!$C$4:$C$501,0)),""))</f>
        <v>NÃO</v>
      </c>
      <c r="F714" s="138">
        <v>46169.0</v>
      </c>
      <c r="G714" s="115" t="str">
        <f t="shared" si="43"/>
        <v>✅ 08:42</v>
      </c>
      <c r="H714" s="174" t="s">
        <v>1786</v>
      </c>
      <c r="I714" s="117" t="str">
        <f t="shared" si="44"/>
        <v>→ Selecione a linha e use o menu ⏱️ Ponto</v>
      </c>
      <c r="J714" s="180"/>
      <c r="K714" s="179"/>
      <c r="L714" s="119" t="str">
        <f t="shared" si="45"/>
        <v>🟢 No Evento</v>
      </c>
    </row>
    <row r="715" ht="15.75" customHeight="1">
      <c r="A715" s="13"/>
      <c r="B715" s="173" t="s">
        <v>550</v>
      </c>
      <c r="C715" s="199" t="str">
        <f t="array" ref="C715">IF(B715="","",IFERROR(INDEX('FUNCIONÁRIOS'!$B$4:$B$501,MATCH(B715,'FUNCIONÁRIOS'!$C$4:$C$501,0)),""))</f>
        <v>ELEMENT </v>
      </c>
      <c r="D715" s="199" t="str">
        <f t="array" ref="D715">IF(B715="","",IFERROR(INDEX('FUNCIONÁRIOS'!$D$4:$D$501,MATCH(B715,'FUNCIONÁRIOS'!$C$4:$C$501,0)),""))</f>
        <v>OPERADOR DE EMPILHADEIRA </v>
      </c>
      <c r="E715" s="199" t="str">
        <f t="array" ref="E715">IF(B715="","",IFERROR(INDEX('FUNCIONÁRIOS'!$E$4:$E$501,MATCH(B715,'FUNCIONÁRIOS'!$C$4:$C$501,0)),""))</f>
        <v>NÃO</v>
      </c>
      <c r="F715" s="138">
        <v>46169.0</v>
      </c>
      <c r="G715" s="115" t="str">
        <f t="shared" si="43"/>
        <v>✅ 08:46</v>
      </c>
      <c r="H715" s="174" t="s">
        <v>1788</v>
      </c>
      <c r="I715" s="117" t="str">
        <f t="shared" si="44"/>
        <v>✅ 18:01</v>
      </c>
      <c r="J715" s="176" t="s">
        <v>1725</v>
      </c>
      <c r="K715" s="177">
        <v>0.3854166666666667</v>
      </c>
      <c r="L715" s="122" t="str">
        <f t="shared" si="45"/>
        <v>✅ Finalizado</v>
      </c>
    </row>
    <row r="716" ht="15.75" customHeight="1">
      <c r="A716" s="13"/>
      <c r="B716" s="173" t="s">
        <v>319</v>
      </c>
      <c r="C716" s="199" t="str">
        <f t="array" ref="C716">IF(B716="","",IFERROR(INDEX('FUNCIONÁRIOS'!$B$4:$B$501,MATCH(B716,'FUNCIONÁRIOS'!$C$4:$C$501,0)),""))</f>
        <v>EL SHADDAI</v>
      </c>
      <c r="D716" s="199" t="str">
        <f t="array" ref="D716">IF(B716="","",IFERROR(INDEX('FUNCIONÁRIOS'!$D$4:$D$501,MATCH(B716,'FUNCIONÁRIOS'!$C$4:$C$501,0)),""))</f>
        <v>Montador</v>
      </c>
      <c r="E716" s="199" t="str">
        <f t="array" ref="E716">IF(B716="","",IFERROR(INDEX('FUNCIONÁRIOS'!$E$4:$E$501,MATCH(B716,'FUNCIONÁRIOS'!$C$4:$C$501,0)),""))</f>
        <v>NÃO</v>
      </c>
      <c r="F716" s="138">
        <v>46169.0</v>
      </c>
      <c r="G716" s="115" t="str">
        <f t="shared" si="43"/>
        <v>✅ 08:46</v>
      </c>
      <c r="H716" s="174" t="s">
        <v>1788</v>
      </c>
      <c r="I716" s="117" t="str">
        <f t="shared" si="44"/>
        <v>✅ 17:29</v>
      </c>
      <c r="J716" s="174" t="s">
        <v>1883</v>
      </c>
      <c r="K716" s="175">
        <v>0.36319444444444443</v>
      </c>
      <c r="L716" s="119" t="str">
        <f t="shared" si="45"/>
        <v>✅ Finalizado</v>
      </c>
    </row>
    <row r="717" ht="15.75" customHeight="1">
      <c r="A717" s="13"/>
      <c r="B717" s="173" t="s">
        <v>744</v>
      </c>
      <c r="C717" s="199" t="str">
        <f t="array" ref="C717">IF(B717="","",IFERROR(INDEX('FUNCIONÁRIOS'!$B$4:$B$501,MATCH(B717,'FUNCIONÁRIOS'!$C$4:$C$501,0)),""))</f>
        <v>PRIVILEGE EVENTOS </v>
      </c>
      <c r="D717" s="199" t="str">
        <f t="array" ref="D717">IF(B717="","",IFERROR(INDEX('FUNCIONÁRIOS'!$D$4:$D$501,MATCH(B717,'FUNCIONÁRIOS'!$C$4:$C$501,0)),""))</f>
        <v>ELETRICISTA </v>
      </c>
      <c r="E717" s="199" t="str">
        <f t="array" ref="E717">IF(B717="","",IFERROR(INDEX('FUNCIONÁRIOS'!$E$4:$E$501,MATCH(B717,'FUNCIONÁRIOS'!$C$4:$C$501,0)),""))</f>
        <v>NÃO</v>
      </c>
      <c r="F717" s="138">
        <v>46169.0</v>
      </c>
      <c r="G717" s="115" t="str">
        <f t="shared" si="43"/>
        <v>✅ 08:46</v>
      </c>
      <c r="H717" s="174" t="s">
        <v>1788</v>
      </c>
      <c r="I717" s="117" t="str">
        <f t="shared" si="44"/>
        <v>→ Selecione a linha e use o menu ⏱️ Ponto</v>
      </c>
      <c r="J717" s="181"/>
      <c r="K717" s="182"/>
      <c r="L717" s="122" t="str">
        <f t="shared" si="45"/>
        <v>🟢 No Evento</v>
      </c>
    </row>
    <row r="718" ht="15.75" customHeight="1">
      <c r="A718" s="13"/>
      <c r="B718" s="173" t="s">
        <v>720</v>
      </c>
      <c r="C718" s="199" t="str">
        <f t="array" ref="C718">IF(B718="","",IFERROR(INDEX('FUNCIONÁRIOS'!$B$4:$B$501,MATCH(B718,'FUNCIONÁRIOS'!$C$4:$C$501,0)),""))</f>
        <v>LINQ </v>
      </c>
      <c r="D718" s="199" t="str">
        <f t="array" ref="D718">IF(B718="","",IFERROR(INDEX('FUNCIONÁRIOS'!$D$4:$D$501,MATCH(B718,'FUNCIONÁRIOS'!$C$4:$C$501,0)),""))</f>
        <v>TECNICO DE INTERNET </v>
      </c>
      <c r="E718" s="199" t="str">
        <f t="array" ref="E718">IF(B718="","",IFERROR(INDEX('FUNCIONÁRIOS'!$E$4:$E$501,MATCH(B718,'FUNCIONÁRIOS'!$C$4:$C$501,0)),""))</f>
        <v>NÃO</v>
      </c>
      <c r="F718" s="138">
        <v>46169.0</v>
      </c>
      <c r="G718" s="115" t="str">
        <f t="shared" si="43"/>
        <v>✅ 08:50</v>
      </c>
      <c r="H718" s="174" t="s">
        <v>1884</v>
      </c>
      <c r="I718" s="117" t="str">
        <f t="shared" si="44"/>
        <v>→ Selecione a linha e use o menu ⏱️ Ponto</v>
      </c>
      <c r="J718" s="180"/>
      <c r="K718" s="179"/>
      <c r="L718" s="119" t="str">
        <f t="shared" si="45"/>
        <v>🟢 No Evento</v>
      </c>
    </row>
    <row r="719" ht="15.75" customHeight="1">
      <c r="A719" s="13"/>
      <c r="B719" s="173" t="s">
        <v>609</v>
      </c>
      <c r="C719" s="199" t="str">
        <f t="array" ref="C719">IF(B719="","",IFERROR(INDEX('FUNCIONÁRIOS'!$B$4:$B$501,MATCH(B719,'FUNCIONÁRIOS'!$C$4:$C$501,0)),""))</f>
        <v>PRIVIEGE EVENTOS </v>
      </c>
      <c r="D719" s="199" t="str">
        <f t="array" ref="D719">IF(B719="","",IFERROR(INDEX('FUNCIONÁRIOS'!$D$4:$D$501,MATCH(B719,'FUNCIONÁRIOS'!$C$4:$C$501,0)),""))</f>
        <v>montador </v>
      </c>
      <c r="E719" s="199" t="str">
        <f t="array" ref="E719">IF(B719="","",IFERROR(INDEX('FUNCIONÁRIOS'!$E$4:$E$501,MATCH(B719,'FUNCIONÁRIOS'!$C$4:$C$501,0)),""))</f>
        <v>NÃO</v>
      </c>
      <c r="F719" s="138">
        <v>46169.0</v>
      </c>
      <c r="G719" s="115" t="str">
        <f t="shared" si="43"/>
        <v>✅ 08:47</v>
      </c>
      <c r="H719" s="174" t="s">
        <v>1789</v>
      </c>
      <c r="I719" s="117" t="str">
        <f t="shared" si="44"/>
        <v>✅ 19:17</v>
      </c>
      <c r="J719" s="178">
        <v>0.8034722222222223</v>
      </c>
      <c r="K719" s="179"/>
      <c r="L719" s="119" t="str">
        <f t="shared" si="45"/>
        <v>✅ Finalizado</v>
      </c>
    </row>
    <row r="720" ht="15.75" customHeight="1">
      <c r="A720" s="13"/>
      <c r="B720" s="173"/>
      <c r="C720" s="199" t="str">
        <f t="array" ref="C720">IF(B720="","",IFERROR(INDEX('FUNCIONÁRIOS'!$B$4:$B$501,MATCH(B720,'FUNCIONÁRIOS'!$C$4:$C$501,0)),""))</f>
        <v/>
      </c>
      <c r="D720" s="199" t="str">
        <f t="array" ref="D720">IF(B720="","",IFERROR(INDEX('FUNCIONÁRIOS'!$D$4:$D$501,MATCH(B720,'FUNCIONÁRIOS'!$C$4:$C$501,0)),""))</f>
        <v/>
      </c>
      <c r="E720" s="199" t="str">
        <f t="array" ref="E720">IF(B720="","",IFERROR(INDEX('FUNCIONÁRIOS'!$E$4:$E$501,MATCH(B720,'FUNCIONÁRIOS'!$C$4:$C$501,0)),""))</f>
        <v/>
      </c>
      <c r="F720" s="138">
        <v>46169.0</v>
      </c>
      <c r="G720" s="115" t="str">
        <f t="shared" si="43"/>
        <v>→ Selecione a linha e use o menu ⏱️ Ponto</v>
      </c>
      <c r="H720" s="174"/>
      <c r="I720" s="117" t="str">
        <f t="shared" si="44"/>
        <v>→ Selecione a linha e use o menu ⏱️ Ponto</v>
      </c>
      <c r="J720" s="181"/>
      <c r="K720" s="182"/>
      <c r="L720" s="122" t="str">
        <f t="shared" si="45"/>
        <v/>
      </c>
    </row>
    <row r="721" ht="15.75" customHeight="1">
      <c r="A721" s="13"/>
      <c r="B721" s="173" t="s">
        <v>728</v>
      </c>
      <c r="C721" s="199" t="str">
        <f t="array" ref="C721">IF(B721="","",IFERROR(INDEX('FUNCIONÁRIOS'!$B$4:$B$501,MATCH(B721,'FUNCIONÁRIOS'!$C$4:$C$501,0)),""))</f>
        <v>LINQ </v>
      </c>
      <c r="D721" s="199" t="str">
        <f t="array" ref="D721">IF(B721="","",IFERROR(INDEX('FUNCIONÁRIOS'!$D$4:$D$501,MATCH(B721,'FUNCIONÁRIOS'!$C$4:$C$501,0)),""))</f>
        <v>AUXILIA DE TECNICO </v>
      </c>
      <c r="E721" s="199" t="str">
        <f t="array" ref="E721">IF(B721="","",IFERROR(INDEX('FUNCIONÁRIOS'!$E$4:$E$501,MATCH(B721,'FUNCIONÁRIOS'!$C$4:$C$501,0)),""))</f>
        <v>NÃO</v>
      </c>
      <c r="F721" s="138">
        <v>46169.0</v>
      </c>
      <c r="G721" s="115" t="str">
        <f t="shared" si="43"/>
        <v>✅ 08:51</v>
      </c>
      <c r="H721" s="174" t="s">
        <v>1666</v>
      </c>
      <c r="I721" s="117" t="str">
        <f t="shared" si="44"/>
        <v>→ Selecione a linha e use o menu ⏱️ Ponto</v>
      </c>
      <c r="J721" s="180"/>
      <c r="K721" s="179"/>
      <c r="L721" s="119" t="str">
        <f t="shared" si="45"/>
        <v>🟢 No Evento</v>
      </c>
    </row>
    <row r="722" ht="15.75" customHeight="1">
      <c r="A722" s="13"/>
      <c r="B722" s="173" t="s">
        <v>740</v>
      </c>
      <c r="C722" s="199" t="str">
        <f t="array" ref="C722">IF(B722="","",IFERROR(INDEX('FUNCIONÁRIOS'!$B$4:$B$501,MATCH(B722,'FUNCIONÁRIOS'!$C$4:$C$501,0)),""))</f>
        <v>LINQ </v>
      </c>
      <c r="D722" s="199" t="str">
        <f t="array" ref="D722">IF(B722="","",IFERROR(INDEX('FUNCIONÁRIOS'!$D$4:$D$501,MATCH(B722,'FUNCIONÁRIOS'!$C$4:$C$501,0)),""))</f>
        <v>TECNICO DE INTERNET </v>
      </c>
      <c r="E722" s="199" t="str">
        <f t="array" ref="E722">IF(B722="","",IFERROR(INDEX('FUNCIONÁRIOS'!$E$4:$E$501,MATCH(B722,'FUNCIONÁRIOS'!$C$4:$C$501,0)),""))</f>
        <v>NÃO</v>
      </c>
      <c r="F722" s="138">
        <v>46169.0</v>
      </c>
      <c r="G722" s="115" t="str">
        <f t="shared" si="43"/>
        <v>✅ 08:51</v>
      </c>
      <c r="H722" s="174" t="s">
        <v>1666</v>
      </c>
      <c r="I722" s="117" t="str">
        <f t="shared" si="44"/>
        <v>→ Selecione a linha e use o menu ⏱️ Ponto</v>
      </c>
      <c r="J722" s="181"/>
      <c r="K722" s="182"/>
      <c r="L722" s="122" t="str">
        <f t="shared" si="45"/>
        <v>🟢 No Evento</v>
      </c>
    </row>
    <row r="723" ht="15.75" customHeight="1">
      <c r="A723" s="13"/>
      <c r="B723" s="173" t="s">
        <v>739</v>
      </c>
      <c r="C723" s="199" t="str">
        <f t="array" ref="C723">IF(B723="","",IFERROR(INDEX('FUNCIONÁRIOS'!$B$4:$B$501,MATCH(B723,'FUNCIONÁRIOS'!$C$4:$C$501,0)),""))</f>
        <v>LINQ </v>
      </c>
      <c r="D723" s="199" t="str">
        <f t="array" ref="D723">IF(B723="","",IFERROR(INDEX('FUNCIONÁRIOS'!$D$4:$D$501,MATCH(B723,'FUNCIONÁRIOS'!$C$4:$C$501,0)),""))</f>
        <v>TECNICO DE INTERNET </v>
      </c>
      <c r="E723" s="199" t="str">
        <f t="array" ref="E723">IF(B723="","",IFERROR(INDEX('FUNCIONÁRIOS'!$E$4:$E$501,MATCH(B723,'FUNCIONÁRIOS'!$C$4:$C$501,0)),""))</f>
        <v>NÃO</v>
      </c>
      <c r="F723" s="138">
        <v>46169.0</v>
      </c>
      <c r="G723" s="115" t="str">
        <f t="shared" si="43"/>
        <v>✅ 08:53</v>
      </c>
      <c r="H723" s="174" t="s">
        <v>1595</v>
      </c>
      <c r="I723" s="117" t="str">
        <f t="shared" si="44"/>
        <v>→ Selecione a linha e use o menu ⏱️ Ponto</v>
      </c>
      <c r="J723" s="180"/>
      <c r="K723" s="179"/>
      <c r="L723" s="119" t="str">
        <f t="shared" si="45"/>
        <v>🟢 No Evento</v>
      </c>
    </row>
    <row r="724" ht="15.75" customHeight="1">
      <c r="A724" s="13"/>
      <c r="B724" s="173" t="s">
        <v>738</v>
      </c>
      <c r="C724" s="199" t="str">
        <f t="array" ref="C724">IF(B724="","",IFERROR(INDEX('FUNCIONÁRIOS'!$B$4:$B$501,MATCH(B724,'FUNCIONÁRIOS'!$C$4:$C$501,0)),""))</f>
        <v>LINQ </v>
      </c>
      <c r="D724" s="199" t="str">
        <f t="array" ref="D724">IF(B724="","",IFERROR(INDEX('FUNCIONÁRIOS'!$D$4:$D$501,MATCH(B724,'FUNCIONÁRIOS'!$C$4:$C$501,0)),""))</f>
        <v>TECNICO DE INTERNET </v>
      </c>
      <c r="E724" s="199" t="str">
        <f t="array" ref="E724">IF(B724="","",IFERROR(INDEX('FUNCIONÁRIOS'!$E$4:$E$501,MATCH(B724,'FUNCIONÁRIOS'!$C$4:$C$501,0)),""))</f>
        <v>NÃO</v>
      </c>
      <c r="F724" s="138">
        <v>46169.0</v>
      </c>
      <c r="G724" s="115" t="str">
        <f t="shared" si="43"/>
        <v>✅ 08:54</v>
      </c>
      <c r="H724" s="174" t="s">
        <v>1669</v>
      </c>
      <c r="I724" s="117" t="str">
        <f t="shared" si="44"/>
        <v>→ Selecione a linha e use o menu ⏱️ Ponto</v>
      </c>
      <c r="J724" s="181"/>
      <c r="K724" s="182"/>
      <c r="L724" s="122" t="str">
        <f t="shared" si="45"/>
        <v>🟢 No Evento</v>
      </c>
    </row>
    <row r="725" ht="15.75" customHeight="1">
      <c r="A725" s="13"/>
      <c r="B725" s="173" t="s">
        <v>316</v>
      </c>
      <c r="C725" s="199" t="str">
        <f t="array" ref="C725">IF(B725="","",IFERROR(INDEX('FUNCIONÁRIOS'!$B$4:$B$501,MATCH(B725,'FUNCIONÁRIOS'!$C$4:$C$501,0)),""))</f>
        <v>EL SHADDAI</v>
      </c>
      <c r="D725" s="199" t="str">
        <f t="array" ref="D725">IF(B725="","",IFERROR(INDEX('FUNCIONÁRIOS'!$D$4:$D$501,MATCH(B725,'FUNCIONÁRIOS'!$C$4:$C$501,0)),""))</f>
        <v>Montador</v>
      </c>
      <c r="E725" s="199" t="str">
        <f t="array" ref="E725">IF(B725="","",IFERROR(INDEX('FUNCIONÁRIOS'!$E$4:$E$501,MATCH(B725,'FUNCIONÁRIOS'!$C$4:$C$501,0)),""))</f>
        <v>NÃO</v>
      </c>
      <c r="F725" s="138">
        <v>46169.0</v>
      </c>
      <c r="G725" s="115" t="str">
        <f t="shared" si="43"/>
        <v>✅ 08:57</v>
      </c>
      <c r="H725" s="174" t="s">
        <v>1672</v>
      </c>
      <c r="I725" s="117" t="str">
        <f t="shared" si="44"/>
        <v>✅ 17:32</v>
      </c>
      <c r="J725" s="178">
        <v>0.7305555555555555</v>
      </c>
      <c r="K725" s="179"/>
      <c r="L725" s="119" t="str">
        <f t="shared" si="45"/>
        <v>✅ Finalizado</v>
      </c>
    </row>
    <row r="726" ht="15.75" customHeight="1">
      <c r="A726" s="13"/>
      <c r="B726" s="173" t="s">
        <v>318</v>
      </c>
      <c r="C726" s="199" t="str">
        <f t="array" ref="C726">IF(B726="","",IFERROR(INDEX('FUNCIONÁRIOS'!$B$4:$B$501,MATCH(B726,'FUNCIONÁRIOS'!$C$4:$C$501,0)),""))</f>
        <v>EL SHADDAI</v>
      </c>
      <c r="D726" s="199" t="str">
        <f t="array" ref="D726">IF(B726="","",IFERROR(INDEX('FUNCIONÁRIOS'!$D$4:$D$501,MATCH(B726,'FUNCIONÁRIOS'!$C$4:$C$501,0)),""))</f>
        <v>Motorista</v>
      </c>
      <c r="E726" s="199" t="str">
        <f t="array" ref="E726">IF(B726="","",IFERROR(INDEX('FUNCIONÁRIOS'!$E$4:$E$501,MATCH(B726,'FUNCIONÁRIOS'!$C$4:$C$501,0)),""))</f>
        <v>NÃO</v>
      </c>
      <c r="F726" s="138">
        <v>46169.0</v>
      </c>
      <c r="G726" s="115" t="str">
        <f t="shared" si="43"/>
        <v>✅ 08:58</v>
      </c>
      <c r="H726" s="174" t="s">
        <v>1673</v>
      </c>
      <c r="I726" s="117" t="str">
        <f t="shared" si="44"/>
        <v>✅ 17:31</v>
      </c>
      <c r="J726" s="176" t="s">
        <v>1885</v>
      </c>
      <c r="K726" s="177">
        <v>0.35624999999999996</v>
      </c>
      <c r="L726" s="122" t="str">
        <f t="shared" si="45"/>
        <v>✅ Finalizado</v>
      </c>
    </row>
    <row r="727" ht="15.75" customHeight="1">
      <c r="A727" s="13"/>
      <c r="B727" s="173" t="s">
        <v>236</v>
      </c>
      <c r="C727" s="199" t="str">
        <f t="array" ref="C727">IF(B727="","",IFERROR(INDEX('FUNCIONÁRIOS'!$B$4:$B$501,MATCH(B727,'FUNCIONÁRIOS'!$C$4:$C$501,0)),""))</f>
        <v>EL SHADDAI</v>
      </c>
      <c r="D727" s="199" t="str">
        <f t="array" ref="D727">IF(B727="","",IFERROR(INDEX('FUNCIONÁRIOS'!$D$4:$D$501,MATCH(B727,'FUNCIONÁRIOS'!$C$4:$C$501,0)),""))</f>
        <v>SOLDADOR </v>
      </c>
      <c r="E727" s="199" t="str">
        <f t="array" ref="E727">IF(B727="","",IFERROR(INDEX('FUNCIONÁRIOS'!$E$4:$E$501,MATCH(B727,'FUNCIONÁRIOS'!$C$4:$C$501,0)),""))</f>
        <v>NÃO</v>
      </c>
      <c r="F727" s="138">
        <v>46169.0</v>
      </c>
      <c r="G727" s="115" t="str">
        <f t="shared" si="43"/>
        <v>✅ 08:58</v>
      </c>
      <c r="H727" s="174" t="s">
        <v>1673</v>
      </c>
      <c r="I727" s="117" t="str">
        <f t="shared" si="44"/>
        <v>✅ 17:31</v>
      </c>
      <c r="J727" s="178">
        <v>0.7298611111111111</v>
      </c>
      <c r="K727" s="179"/>
      <c r="L727" s="119" t="str">
        <f t="shared" si="45"/>
        <v>✅ Finalizado</v>
      </c>
    </row>
    <row r="728" ht="15.75" customHeight="1">
      <c r="A728" s="13"/>
      <c r="B728" s="173" t="s">
        <v>528</v>
      </c>
      <c r="C728" s="199" t="str">
        <f t="array" ref="C728">IF(B728="","",IFERROR(INDEX('FUNCIONÁRIOS'!$B$4:$B$501,MATCH(B728,'FUNCIONÁRIOS'!$C$4:$C$501,0)),""))</f>
        <v>SHOWNEWS</v>
      </c>
      <c r="D728" s="199" t="str">
        <f t="array" ref="D728">IF(B728="","",IFERROR(INDEX('FUNCIONÁRIOS'!$D$4:$D$501,MATCH(B728,'FUNCIONÁRIOS'!$C$4:$C$501,0)),""))</f>
        <v>Montador</v>
      </c>
      <c r="E728" s="199" t="str">
        <f t="array" ref="E728">IF(B728="","",IFERROR(INDEX('FUNCIONÁRIOS'!$E$4:$E$501,MATCH(B728,'FUNCIONÁRIOS'!$C$4:$C$501,0)),""))</f>
        <v>NÃO</v>
      </c>
      <c r="F728" s="138">
        <v>46169.0</v>
      </c>
      <c r="G728" s="115" t="str">
        <f t="shared" si="43"/>
        <v>✅ 08:58</v>
      </c>
      <c r="H728" s="174" t="s">
        <v>1673</v>
      </c>
      <c r="I728" s="117" t="str">
        <f t="shared" si="44"/>
        <v>→ Selecione a linha e use o menu ⏱️ Ponto</v>
      </c>
      <c r="J728" s="181"/>
      <c r="K728" s="182"/>
      <c r="L728" s="122" t="str">
        <f t="shared" si="45"/>
        <v>🟢 No Evento</v>
      </c>
    </row>
    <row r="729" ht="15.75" customHeight="1">
      <c r="A729" s="13"/>
      <c r="B729" s="173" t="s">
        <v>317</v>
      </c>
      <c r="C729" s="199" t="str">
        <f t="array" ref="C729">IF(B729="","",IFERROR(INDEX('FUNCIONÁRIOS'!$B$4:$B$501,MATCH(B729,'FUNCIONÁRIOS'!$C$4:$C$501,0)),""))</f>
        <v>EL SHADDAI</v>
      </c>
      <c r="D729" s="199" t="str">
        <f t="array" ref="D729">IF(B729="","",IFERROR(INDEX('FUNCIONÁRIOS'!$D$4:$D$501,MATCH(B729,'FUNCIONÁRIOS'!$C$4:$C$501,0)),""))</f>
        <v>Montador</v>
      </c>
      <c r="E729" s="199" t="str">
        <f t="array" ref="E729">IF(B729="","",IFERROR(INDEX('FUNCIONÁRIOS'!$E$4:$E$501,MATCH(B729,'FUNCIONÁRIOS'!$C$4:$C$501,0)),""))</f>
        <v>NÃO</v>
      </c>
      <c r="F729" s="138">
        <v>46169.0</v>
      </c>
      <c r="G729" s="115" t="str">
        <f t="shared" si="43"/>
        <v>✅ 08:59</v>
      </c>
      <c r="H729" s="174" t="s">
        <v>1675</v>
      </c>
      <c r="I729" s="117" t="str">
        <f t="shared" si="44"/>
        <v>✅ 17:29</v>
      </c>
      <c r="J729" s="174" t="s">
        <v>1883</v>
      </c>
      <c r="K729" s="175">
        <v>0.35416666666666663</v>
      </c>
      <c r="L729" s="119" t="str">
        <f t="shared" si="45"/>
        <v>✅ Finalizado</v>
      </c>
    </row>
    <row r="730" ht="15.75" customHeight="1">
      <c r="A730" s="13"/>
      <c r="B730" s="173" t="s">
        <v>208</v>
      </c>
      <c r="C730" s="199" t="str">
        <f t="array" ref="C730">IF(B730="","",IFERROR(INDEX('FUNCIONÁRIOS'!$B$4:$B$501,MATCH(B730,'FUNCIONÁRIOS'!$C$4:$C$501,0)),""))</f>
        <v>FABINHO EVENTOS </v>
      </c>
      <c r="D730" s="199" t="str">
        <f t="array" ref="D730">IF(B730="","",IFERROR(INDEX('FUNCIONÁRIOS'!$D$4:$D$501,MATCH(B730,'FUNCIONÁRIOS'!$C$4:$C$501,0)),""))</f>
        <v>PRODUTORA </v>
      </c>
      <c r="E730" s="199" t="str">
        <f t="array" ref="E730">IF(B730="","",IFERROR(INDEX('FUNCIONÁRIOS'!$E$4:$E$501,MATCH(B730,'FUNCIONÁRIOS'!$C$4:$C$501,0)),""))</f>
        <v>NÃO</v>
      </c>
      <c r="F730" s="138">
        <v>46169.0</v>
      </c>
      <c r="G730" s="115" t="str">
        <f t="shared" si="43"/>
        <v>✅ 08:59</v>
      </c>
      <c r="H730" s="174" t="s">
        <v>1675</v>
      </c>
      <c r="I730" s="117" t="str">
        <f t="shared" si="44"/>
        <v>→ Selecione a linha e use o menu ⏱️ Ponto</v>
      </c>
      <c r="J730" s="181"/>
      <c r="K730" s="182"/>
      <c r="L730" s="122" t="str">
        <f t="shared" si="45"/>
        <v>🟢 No Evento</v>
      </c>
    </row>
    <row r="731" ht="15.75" customHeight="1">
      <c r="A731" s="13"/>
      <c r="B731" s="173" t="s">
        <v>485</v>
      </c>
      <c r="C731" s="199" t="str">
        <f t="array" ref="C731">IF(B731="","",IFERROR(INDEX('FUNCIONÁRIOS'!$B$4:$B$501,MATCH(B731,'FUNCIONÁRIOS'!$C$4:$C$501,0)),""))</f>
        <v>EL SHADDAI</v>
      </c>
      <c r="D731" s="199" t="str">
        <f t="array" ref="D731">IF(B731="","",IFERROR(INDEX('FUNCIONÁRIOS'!$D$4:$D$501,MATCH(B731,'FUNCIONÁRIOS'!$C$4:$C$501,0)),""))</f>
        <v>soldador </v>
      </c>
      <c r="E731" s="199" t="str">
        <f t="array" ref="E731">IF(B731="","",IFERROR(INDEX('FUNCIONÁRIOS'!$E$4:$E$501,MATCH(B731,'FUNCIONÁRIOS'!$C$4:$C$501,0)),""))</f>
        <v>NÃO</v>
      </c>
      <c r="F731" s="138">
        <v>46169.0</v>
      </c>
      <c r="G731" s="115" t="str">
        <f t="shared" si="43"/>
        <v>✅ 09:00</v>
      </c>
      <c r="H731" s="174" t="s">
        <v>1793</v>
      </c>
      <c r="I731" s="117" t="str">
        <f t="shared" si="44"/>
        <v>→ Selecione a linha e use o menu ⏱️ Ponto</v>
      </c>
      <c r="J731" s="180"/>
      <c r="K731" s="179"/>
      <c r="L731" s="119" t="str">
        <f t="shared" si="45"/>
        <v>🟢 No Evento</v>
      </c>
    </row>
    <row r="732" ht="15.75" customHeight="1">
      <c r="A732" s="13"/>
      <c r="B732" s="173" t="s">
        <v>500</v>
      </c>
      <c r="C732" s="199" t="str">
        <f t="array" ref="C732">IF(B732="","",IFERROR(INDEX('FUNCIONÁRIOS'!$B$4:$B$501,MATCH(B732,'FUNCIONÁRIOS'!$C$4:$C$501,0)),""))</f>
        <v>GO TO </v>
      </c>
      <c r="D732" s="199" t="str">
        <f t="array" ref="D732">IF(B732="","",IFERROR(INDEX('FUNCIONÁRIOS'!$D$4:$D$501,MATCH(B732,'FUNCIONÁRIOS'!$C$4:$C$501,0)),""))</f>
        <v>Serralheiro</v>
      </c>
      <c r="E732" s="199" t="str">
        <f t="array" ref="E732">IF(B732="","",IFERROR(INDEX('FUNCIONÁRIOS'!$E$4:$E$501,MATCH(B732,'FUNCIONÁRIOS'!$C$4:$C$501,0)),""))</f>
        <v>NÃO</v>
      </c>
      <c r="F732" s="138">
        <v>46169.0</v>
      </c>
      <c r="G732" s="115" t="str">
        <f t="shared" si="43"/>
        <v>✅ 09:00</v>
      </c>
      <c r="H732" s="174" t="s">
        <v>1793</v>
      </c>
      <c r="I732" s="117" t="str">
        <f t="shared" si="44"/>
        <v>→ Selecione a linha e use o menu ⏱️ Ponto</v>
      </c>
      <c r="J732" s="181"/>
      <c r="K732" s="182"/>
      <c r="L732" s="122" t="str">
        <f t="shared" si="45"/>
        <v>🟢 No Evento</v>
      </c>
    </row>
    <row r="733" ht="15.75" customHeight="1">
      <c r="A733" s="13"/>
      <c r="B733" s="173" t="s">
        <v>549</v>
      </c>
      <c r="C733" s="199" t="str">
        <f t="array" ref="C733">IF(B733="","",IFERROR(INDEX('FUNCIONÁRIOS'!$B$4:$B$501,MATCH(B733,'FUNCIONÁRIOS'!$C$4:$C$501,0)),""))</f>
        <v>GO TO </v>
      </c>
      <c r="D733" s="199" t="str">
        <f t="array" ref="D733">IF(B733="","",IFERROR(INDEX('FUNCIONÁRIOS'!$D$4:$D$501,MATCH(B733,'FUNCIONÁRIOS'!$C$4:$C$501,0)),""))</f>
        <v>CENOGRAFIA </v>
      </c>
      <c r="E733" s="199" t="str">
        <f t="array" ref="E733">IF(B733="","",IFERROR(INDEX('FUNCIONÁRIOS'!$E$4:$E$501,MATCH(B733,'FUNCIONÁRIOS'!$C$4:$C$501,0)),""))</f>
        <v>NÃO</v>
      </c>
      <c r="F733" s="138">
        <v>46169.0</v>
      </c>
      <c r="G733" s="115" t="str">
        <f t="shared" si="43"/>
        <v>✅ 09:01</v>
      </c>
      <c r="H733" s="174" t="s">
        <v>1886</v>
      </c>
      <c r="I733" s="117" t="str">
        <f t="shared" si="44"/>
        <v>→ Selecione a linha e use o menu ⏱️ Ponto</v>
      </c>
      <c r="J733" s="180"/>
      <c r="K733" s="179"/>
      <c r="L733" s="119" t="str">
        <f t="shared" si="45"/>
        <v>🟢 No Evento</v>
      </c>
    </row>
    <row r="734" ht="15.75" customHeight="1">
      <c r="A734" s="13"/>
      <c r="B734" s="173" t="s">
        <v>511</v>
      </c>
      <c r="C734" s="199" t="str">
        <f t="array" ref="C734">IF(B734="","",IFERROR(INDEX('FUNCIONÁRIOS'!$B$4:$B$501,MATCH(B734,'FUNCIONÁRIOS'!$C$4:$C$501,0)),""))</f>
        <v>GO TO </v>
      </c>
      <c r="D734" s="199" t="str">
        <f t="array" ref="D734">IF(B734="","",IFERROR(INDEX('FUNCIONÁRIOS'!$D$4:$D$501,MATCH(B734,'FUNCIONÁRIOS'!$C$4:$C$501,0)),""))</f>
        <v>Montador</v>
      </c>
      <c r="E734" s="199" t="str">
        <f t="array" ref="E734">IF(B734="","",IFERROR(INDEX('FUNCIONÁRIOS'!$E$4:$E$501,MATCH(B734,'FUNCIONÁRIOS'!$C$4:$C$501,0)),""))</f>
        <v>NÃO</v>
      </c>
      <c r="F734" s="138">
        <v>46169.0</v>
      </c>
      <c r="G734" s="115" t="str">
        <f t="shared" si="43"/>
        <v>✅ 09:03</v>
      </c>
      <c r="H734" s="174" t="s">
        <v>1887</v>
      </c>
      <c r="I734" s="117" t="str">
        <f t="shared" si="44"/>
        <v>→ Selecione a linha e use o menu ⏱️ Ponto</v>
      </c>
      <c r="J734" s="181"/>
      <c r="K734" s="182"/>
      <c r="L734" s="122" t="str">
        <f t="shared" si="45"/>
        <v>🟢 No Evento</v>
      </c>
    </row>
    <row r="735" ht="15.75" customHeight="1">
      <c r="A735" s="13"/>
      <c r="B735" s="173" t="s">
        <v>254</v>
      </c>
      <c r="C735" s="199" t="str">
        <f t="array" ref="C735">IF(B735="","",IFERROR(INDEX('FUNCIONÁRIOS'!$B$4:$B$501,MATCH(B735,'FUNCIONÁRIOS'!$C$4:$C$501,0)),""))</f>
        <v>GO TO </v>
      </c>
      <c r="D735" s="199" t="str">
        <f t="array" ref="D735">IF(B735="","",IFERROR(INDEX('FUNCIONÁRIOS'!$D$4:$D$501,MATCH(B735,'FUNCIONÁRIOS'!$C$4:$C$501,0)),""))</f>
        <v>DIRETOR </v>
      </c>
      <c r="E735" s="199" t="str">
        <f t="array" ref="E735">IF(B735="","",IFERROR(INDEX('FUNCIONÁRIOS'!$E$4:$E$501,MATCH(B735,'FUNCIONÁRIOS'!$C$4:$C$501,0)),""))</f>
        <v>NÃO</v>
      </c>
      <c r="F735" s="138">
        <v>46169.0</v>
      </c>
      <c r="G735" s="115" t="str">
        <f t="shared" si="43"/>
        <v>✅ 09:05</v>
      </c>
      <c r="H735" s="174" t="s">
        <v>1888</v>
      </c>
      <c r="I735" s="117" t="str">
        <f t="shared" si="44"/>
        <v>→ Selecione a linha e use o menu ⏱️ Ponto</v>
      </c>
      <c r="J735" s="180"/>
      <c r="K735" s="179"/>
      <c r="L735" s="119" t="str">
        <f t="shared" si="45"/>
        <v>🟢 No Evento</v>
      </c>
    </row>
    <row r="736" ht="15.75" customHeight="1">
      <c r="A736" s="13"/>
      <c r="B736" s="173" t="s">
        <v>224</v>
      </c>
      <c r="C736" s="199" t="str">
        <f t="array" ref="C736">IF(B736="","",IFERROR(INDEX('FUNCIONÁRIOS'!$B$4:$B$501,MATCH(B736,'FUNCIONÁRIOS'!$C$4:$C$501,0)),""))</f>
        <v/>
      </c>
      <c r="D736" s="199" t="str">
        <f t="array" ref="D736">IF(B736="","",IFERROR(INDEX('FUNCIONÁRIOS'!$D$4:$D$501,MATCH(B736,'FUNCIONÁRIOS'!$C$4:$C$501,0)),""))</f>
        <v>PRODUTOR </v>
      </c>
      <c r="E736" s="199" t="str">
        <f t="array" ref="E736">IF(B736="","",IFERROR(INDEX('FUNCIONÁRIOS'!$E$4:$E$501,MATCH(B736,'FUNCIONÁRIOS'!$C$4:$C$501,0)),""))</f>
        <v/>
      </c>
      <c r="F736" s="138">
        <v>46169.0</v>
      </c>
      <c r="G736" s="115" t="str">
        <f t="shared" si="43"/>
        <v>✅ 09:07</v>
      </c>
      <c r="H736" s="174" t="s">
        <v>1677</v>
      </c>
      <c r="I736" s="117" t="str">
        <f t="shared" si="44"/>
        <v>→ Selecione a linha e use o menu ⏱️ Ponto</v>
      </c>
      <c r="J736" s="176"/>
      <c r="K736" s="213"/>
      <c r="L736" s="122" t="str">
        <f t="shared" si="45"/>
        <v>🟢 No Evento</v>
      </c>
    </row>
    <row r="737" ht="15.75" customHeight="1">
      <c r="A737" s="13"/>
      <c r="B737" s="173" t="s">
        <v>298</v>
      </c>
      <c r="C737" s="199" t="str">
        <f t="array" ref="C737">IF(B737="","",IFERROR(INDEX('FUNCIONÁRIOS'!$B$4:$B$501,MATCH(B737,'FUNCIONÁRIOS'!$C$4:$C$501,0)),""))</f>
        <v>GYNLIGHT</v>
      </c>
      <c r="D737" s="199" t="str">
        <f t="array" ref="D737">IF(B737="","",IFERROR(INDEX('FUNCIONÁRIOS'!$D$4:$D$501,MATCH(B737,'FUNCIONÁRIOS'!$C$4:$C$501,0)),""))</f>
        <v>Auxiliar Técnico em Iluminação</v>
      </c>
      <c r="E737" s="199" t="str">
        <f t="array" ref="E737">IF(B737="","",IFERROR(INDEX('FUNCIONÁRIOS'!$E$4:$E$501,MATCH(B737,'FUNCIONÁRIOS'!$C$4:$C$501,0)),""))</f>
        <v>NÃO</v>
      </c>
      <c r="F737" s="138">
        <v>46169.0</v>
      </c>
      <c r="G737" s="115" t="str">
        <f t="shared" si="43"/>
        <v>✅ 09:09</v>
      </c>
      <c r="H737" s="174" t="s">
        <v>1679</v>
      </c>
      <c r="I737" s="117" t="str">
        <f t="shared" si="44"/>
        <v>→ Selecione a linha e use o menu ⏱️ Ponto</v>
      </c>
      <c r="J737" s="180"/>
      <c r="K737" s="179"/>
      <c r="L737" s="119" t="str">
        <f t="shared" si="45"/>
        <v>🟢 No Evento</v>
      </c>
    </row>
    <row r="738" ht="15.75" customHeight="1">
      <c r="A738" s="13"/>
      <c r="B738" s="173" t="s">
        <v>840</v>
      </c>
      <c r="C738" s="199" t="str">
        <f t="array" ref="C738">IF(B738="","",IFERROR(INDEX('FUNCIONÁRIOS'!$B$4:$B$501,MATCH(B738,'FUNCIONÁRIOS'!$C$4:$C$501,0)),""))</f>
        <v>VALADARES EVENTOS </v>
      </c>
      <c r="D738" s="199" t="str">
        <f t="array" ref="D738">IF(B738="","",IFERROR(INDEX('FUNCIONÁRIOS'!$D$4:$D$501,MATCH(B738,'FUNCIONÁRIOS'!$C$4:$C$501,0)),""))</f>
        <v>MONTADOR </v>
      </c>
      <c r="E738" s="199" t="str">
        <f t="array" ref="E738">IF(B738="","",IFERROR(INDEX('FUNCIONÁRIOS'!$E$4:$E$501,MATCH(B738,'FUNCIONÁRIOS'!$C$4:$C$501,0)),""))</f>
        <v>NÃO</v>
      </c>
      <c r="F738" s="138">
        <v>46169.0</v>
      </c>
      <c r="G738" s="115" t="str">
        <f t="shared" si="43"/>
        <v>✅ 09:09</v>
      </c>
      <c r="H738" s="174" t="s">
        <v>1679</v>
      </c>
      <c r="I738" s="117" t="str">
        <f t="shared" si="44"/>
        <v>→ Selecione a linha e use o menu ⏱️ Ponto</v>
      </c>
      <c r="J738" s="180"/>
      <c r="K738" s="179"/>
      <c r="L738" s="119" t="str">
        <f t="shared" si="45"/>
        <v>🟢 No Evento</v>
      </c>
    </row>
    <row r="739" ht="15.75" customHeight="1">
      <c r="A739" s="13"/>
      <c r="B739" s="173" t="s">
        <v>615</v>
      </c>
      <c r="C739" s="199" t="str">
        <f t="array" ref="C739">IF(B739="","",IFERROR(INDEX('FUNCIONÁRIOS'!$B$4:$B$501,MATCH(B739,'FUNCIONÁRIOS'!$C$4:$C$501,0)),""))</f>
        <v>STUDIO K MULTI EVENTOS LTDA </v>
      </c>
      <c r="D739" s="199" t="str">
        <f t="array" ref="D739">IF(B739="","",IFERROR(INDEX('FUNCIONÁRIOS'!$D$4:$D$501,MATCH(B739,'FUNCIONÁRIOS'!$C$4:$C$501,0)),""))</f>
        <v>DIRETOR SOCIO</v>
      </c>
      <c r="E739" s="199" t="str">
        <f t="array" ref="E739">IF(B739="","",IFERROR(INDEX('FUNCIONÁRIOS'!$E$4:$E$501,MATCH(B739,'FUNCIONÁRIOS'!$C$4:$C$501,0)),""))</f>
        <v>NÃO</v>
      </c>
      <c r="F739" s="138">
        <v>46169.0</v>
      </c>
      <c r="G739" s="115" t="str">
        <f t="shared" si="43"/>
        <v>✅ 09:13</v>
      </c>
      <c r="H739" s="174" t="s">
        <v>1796</v>
      </c>
      <c r="I739" s="117" t="str">
        <f t="shared" si="44"/>
        <v>→ Selecione a linha e use o menu ⏱️ Ponto</v>
      </c>
      <c r="J739" s="180"/>
      <c r="K739" s="179"/>
      <c r="L739" s="119" t="str">
        <f t="shared" si="45"/>
        <v>🟢 No Evento</v>
      </c>
    </row>
    <row r="740" ht="15.75" customHeight="1">
      <c r="A740" s="13"/>
      <c r="B740" s="173" t="s">
        <v>438</v>
      </c>
      <c r="C740" s="199" t="str">
        <f t="array" ref="C740">IF(B740="","",IFERROR(INDEX('FUNCIONÁRIOS'!$B$4:$B$501,MATCH(B740,'FUNCIONÁRIOS'!$C$4:$C$501,0)),""))</f>
        <v>SHOWNEWS</v>
      </c>
      <c r="D740" s="199" t="str">
        <f t="array" ref="D740">IF(B740="","",IFERROR(INDEX('FUNCIONÁRIOS'!$D$4:$D$501,MATCH(B740,'FUNCIONÁRIOS'!$C$4:$C$501,0)),""))</f>
        <v>Montador</v>
      </c>
      <c r="E740" s="199" t="str">
        <f t="array" ref="E740">IF(B740="","",IFERROR(INDEX('FUNCIONÁRIOS'!$E$4:$E$501,MATCH(B740,'FUNCIONÁRIOS'!$C$4:$C$501,0)),""))</f>
        <v>NÃO</v>
      </c>
      <c r="F740" s="138">
        <v>46169.0</v>
      </c>
      <c r="G740" s="115" t="str">
        <f t="shared" si="43"/>
        <v>✅ 09:16</v>
      </c>
      <c r="H740" s="174" t="s">
        <v>1797</v>
      </c>
      <c r="I740" s="117" t="str">
        <f t="shared" si="44"/>
        <v>→ Selecione a linha e use o menu ⏱️ Ponto</v>
      </c>
      <c r="J740" s="180"/>
      <c r="K740" s="179"/>
      <c r="L740" s="119" t="str">
        <f t="shared" si="45"/>
        <v>🟢 No Evento</v>
      </c>
    </row>
    <row r="741" ht="15.75" customHeight="1">
      <c r="A741" s="13"/>
      <c r="B741" s="173" t="s">
        <v>444</v>
      </c>
      <c r="C741" s="199" t="str">
        <f t="array" ref="C741">IF(B741="","",IFERROR(INDEX('FUNCIONÁRIOS'!$B$4:$B$501,MATCH(B741,'FUNCIONÁRIOS'!$C$4:$C$501,0)),""))</f>
        <v>SHOWNEWS</v>
      </c>
      <c r="D741" s="199" t="str">
        <f t="array" ref="D741">IF(B741="","",IFERROR(INDEX('FUNCIONÁRIOS'!$D$4:$D$501,MATCH(B741,'FUNCIONÁRIOS'!$C$4:$C$501,0)),""))</f>
        <v>Montador</v>
      </c>
      <c r="E741" s="199" t="str">
        <f t="array" ref="E741">IF(B741="","",IFERROR(INDEX('FUNCIONÁRIOS'!$E$4:$E$501,MATCH(B741,'FUNCIONÁRIOS'!$C$4:$C$501,0)),""))</f>
        <v>NÃO</v>
      </c>
      <c r="F741" s="138">
        <v>46169.0</v>
      </c>
      <c r="G741" s="115" t="str">
        <f t="shared" si="43"/>
        <v>✅ 09:16</v>
      </c>
      <c r="H741" s="174" t="s">
        <v>1797</v>
      </c>
      <c r="I741" s="117" t="str">
        <f t="shared" si="44"/>
        <v>→ Selecione a linha e use o menu ⏱️ Ponto</v>
      </c>
      <c r="J741" s="180"/>
      <c r="K741" s="179"/>
      <c r="L741" s="119" t="str">
        <f t="shared" si="45"/>
        <v>🟢 No Evento</v>
      </c>
    </row>
    <row r="742" ht="15.75" customHeight="1">
      <c r="A742" s="13"/>
      <c r="B742" s="173" t="s">
        <v>539</v>
      </c>
      <c r="C742" s="199" t="str">
        <f t="array" ref="C742">IF(B742="","",IFERROR(INDEX('FUNCIONÁRIOS'!$B$4:$B$501,MATCH(B742,'FUNCIONÁRIOS'!$C$4:$C$501,0)),""))</f>
        <v>LATINO </v>
      </c>
      <c r="D742" s="199" t="str">
        <f t="array" ref="D742">IF(B742="","",IFERROR(INDEX('FUNCIONÁRIOS'!$D$4:$D$501,MATCH(B742,'FUNCIONÁRIOS'!$C$4:$C$501,0)),""))</f>
        <v>CARREGADOR </v>
      </c>
      <c r="E742" s="199" t="str">
        <f t="array" ref="E742">IF(B742="","",IFERROR(INDEX('FUNCIONÁRIOS'!$E$4:$E$501,MATCH(B742,'FUNCIONÁRIOS'!$C$4:$C$501,0)),""))</f>
        <v>NÃO</v>
      </c>
      <c r="F742" s="138">
        <v>46169.0</v>
      </c>
      <c r="G742" s="115" t="str">
        <f t="shared" si="43"/>
        <v>✅ 09:17</v>
      </c>
      <c r="H742" s="174" t="s">
        <v>1798</v>
      </c>
      <c r="I742" s="117" t="str">
        <f t="shared" si="44"/>
        <v>✅ 18:36</v>
      </c>
      <c r="J742" s="174" t="s">
        <v>1889</v>
      </c>
      <c r="K742" s="175">
        <v>0.38819444444444445</v>
      </c>
      <c r="L742" s="119" t="str">
        <f t="shared" si="45"/>
        <v>✅ Finalizado</v>
      </c>
    </row>
    <row r="743" ht="15.75" customHeight="1">
      <c r="A743" s="13"/>
      <c r="B743" s="173" t="s">
        <v>540</v>
      </c>
      <c r="C743" s="199" t="str">
        <f t="array" ref="C743">IF(B743="","",IFERROR(INDEX('FUNCIONÁRIOS'!$B$4:$B$501,MATCH(B743,'FUNCIONÁRIOS'!$C$4:$C$501,0)),""))</f>
        <v>LATINO </v>
      </c>
      <c r="D743" s="199" t="str">
        <f t="array" ref="D743">IF(B743="","",IFERROR(INDEX('FUNCIONÁRIOS'!$D$4:$D$501,MATCH(B743,'FUNCIONÁRIOS'!$C$4:$C$501,0)),""))</f>
        <v>CARREGADOR </v>
      </c>
      <c r="E743" s="199" t="str">
        <f t="array" ref="E743">IF(B743="","",IFERROR(INDEX('FUNCIONÁRIOS'!$E$4:$E$501,MATCH(B743,'FUNCIONÁRIOS'!$C$4:$C$501,0)),""))</f>
        <v>NÃO</v>
      </c>
      <c r="F743" s="138">
        <v>46169.0</v>
      </c>
      <c r="G743" s="115" t="str">
        <f t="shared" si="43"/>
        <v>✅ 09:18</v>
      </c>
      <c r="H743" s="174" t="s">
        <v>1890</v>
      </c>
      <c r="I743" s="117" t="str">
        <f t="shared" si="44"/>
        <v>→ Selecione a linha e use o menu ⏱️ Ponto</v>
      </c>
      <c r="J743" s="180"/>
      <c r="K743" s="179"/>
      <c r="L743" s="119" t="str">
        <f t="shared" si="45"/>
        <v>🟢 No Evento</v>
      </c>
    </row>
    <row r="744" ht="15.75" customHeight="1">
      <c r="A744" s="13"/>
      <c r="B744" s="173" t="s">
        <v>430</v>
      </c>
      <c r="C744" s="199" t="str">
        <f t="array" ref="C744">IF(B744="","",IFERROR(INDEX('FUNCIONÁRIOS'!$B$4:$B$501,MATCH(B744,'FUNCIONÁRIOS'!$C$4:$C$501,0)),""))</f>
        <v>SHOWNEWS</v>
      </c>
      <c r="D744" s="199" t="str">
        <f t="array" ref="D744">IF(B744="","",IFERROR(INDEX('FUNCIONÁRIOS'!$D$4:$D$501,MATCH(B744,'FUNCIONÁRIOS'!$C$4:$C$501,0)),""))</f>
        <v>Montador</v>
      </c>
      <c r="E744" s="199" t="str">
        <f t="array" ref="E744">IF(B744="","",IFERROR(INDEX('FUNCIONÁRIOS'!$E$4:$E$501,MATCH(B744,'FUNCIONÁRIOS'!$C$4:$C$501,0)),""))</f>
        <v>NÃO</v>
      </c>
      <c r="F744" s="138">
        <v>46169.0</v>
      </c>
      <c r="G744" s="115" t="str">
        <f t="shared" si="43"/>
        <v>✅ 09:18</v>
      </c>
      <c r="H744" s="174" t="s">
        <v>1890</v>
      </c>
      <c r="I744" s="117" t="str">
        <f t="shared" si="44"/>
        <v>→ Selecione a linha e use o menu ⏱️ Ponto</v>
      </c>
      <c r="J744" s="180"/>
      <c r="K744" s="179"/>
      <c r="L744" s="119" t="str">
        <f t="shared" si="45"/>
        <v>🟢 No Evento</v>
      </c>
    </row>
    <row r="745" ht="15.75" customHeight="1">
      <c r="A745" s="13"/>
      <c r="B745" s="173" t="s">
        <v>903</v>
      </c>
      <c r="C745" s="199" t="str">
        <f t="array" ref="C745">IF(B745="","",IFERROR(INDEX('FUNCIONÁRIOS'!$B$4:$B$501,MATCH(B745,'FUNCIONÁRIOS'!$C$4:$C$501,0)),""))</f>
        <v>SHOWNEWS</v>
      </c>
      <c r="D745" s="199" t="str">
        <f t="array" ref="D745">IF(B745="","",IFERROR(INDEX('FUNCIONÁRIOS'!$D$4:$D$501,MATCH(B745,'FUNCIONÁRIOS'!$C$4:$C$501,0)),""))</f>
        <v>LIMPEZA </v>
      </c>
      <c r="E745" s="199" t="str">
        <f t="array" ref="E745">IF(B745="","",IFERROR(INDEX('FUNCIONÁRIOS'!$E$4:$E$501,MATCH(B745,'FUNCIONÁRIOS'!$C$4:$C$501,0)),""))</f>
        <v/>
      </c>
      <c r="F745" s="138">
        <v>46169.0</v>
      </c>
      <c r="G745" s="115" t="str">
        <f t="shared" si="43"/>
        <v>✅ 09:20</v>
      </c>
      <c r="H745" s="174" t="s">
        <v>1801</v>
      </c>
      <c r="I745" s="117" t="str">
        <f t="shared" si="44"/>
        <v>→ Selecione a linha e use o menu ⏱️ Ponto</v>
      </c>
      <c r="J745" s="180"/>
      <c r="K745" s="179"/>
      <c r="L745" s="119" t="str">
        <f t="shared" si="45"/>
        <v>🟢 No Evento</v>
      </c>
    </row>
    <row r="746" ht="15.75" customHeight="1">
      <c r="A746" s="13"/>
      <c r="B746" s="173" t="s">
        <v>290</v>
      </c>
      <c r="C746" s="199" t="str">
        <f t="array" ref="C746">IF(B746="","",IFERROR(INDEX('FUNCIONÁRIOS'!$B$4:$B$501,MATCH(B746,'FUNCIONÁRIOS'!$C$4:$C$501,0)),""))</f>
        <v>GYNLIGHT</v>
      </c>
      <c r="D746" s="199" t="str">
        <f t="array" ref="D746">IF(B746="","",IFERROR(INDEX('FUNCIONÁRIOS'!$D$4:$D$501,MATCH(B746,'FUNCIONÁRIOS'!$C$4:$C$501,0)),""))</f>
        <v>Auxiliar Técnico em Iluminação</v>
      </c>
      <c r="E746" s="199" t="str">
        <f t="array" ref="E746">IF(B746="","",IFERROR(INDEX('FUNCIONÁRIOS'!$E$4:$E$501,MATCH(B746,'FUNCIONÁRIOS'!$C$4:$C$501,0)),""))</f>
        <v>NÃO</v>
      </c>
      <c r="F746" s="138">
        <v>46169.0</v>
      </c>
      <c r="G746" s="115" t="str">
        <f t="shared" si="43"/>
        <v>✅ 09:21</v>
      </c>
      <c r="H746" s="174" t="s">
        <v>1802</v>
      </c>
      <c r="I746" s="117" t="str">
        <f t="shared" si="44"/>
        <v>→ Selecione a linha e use o menu ⏱️ Ponto</v>
      </c>
      <c r="J746" s="180"/>
      <c r="K746" s="179"/>
      <c r="L746" s="119" t="str">
        <f t="shared" si="45"/>
        <v>🟢 No Evento</v>
      </c>
    </row>
    <row r="747" ht="15.75" customHeight="1">
      <c r="A747" s="13"/>
      <c r="B747" s="173" t="s">
        <v>260</v>
      </c>
      <c r="C747" s="199" t="str">
        <f t="array" ref="C747">IF(B747="","",IFERROR(INDEX('FUNCIONÁRIOS'!$B$4:$B$501,MATCH(B747,'FUNCIONÁRIOS'!$C$4:$C$501,0)),""))</f>
        <v>GYNLIGHT</v>
      </c>
      <c r="D747" s="199" t="str">
        <f t="array" ref="D747">IF(B747="","",IFERROR(INDEX('FUNCIONÁRIOS'!$D$4:$D$501,MATCH(B747,'FUNCIONÁRIOS'!$C$4:$C$501,0)),""))</f>
        <v>Cordenador Técnico</v>
      </c>
      <c r="E747" s="199" t="str">
        <f t="array" ref="E747">IF(B747="","",IFERROR(INDEX('FUNCIONÁRIOS'!$E$4:$E$501,MATCH(B747,'FUNCIONÁRIOS'!$C$4:$C$501,0)),""))</f>
        <v>SIM</v>
      </c>
      <c r="F747" s="138">
        <v>46169.0</v>
      </c>
      <c r="G747" s="115" t="str">
        <f t="shared" si="43"/>
        <v>✅ 09:21</v>
      </c>
      <c r="H747" s="174" t="s">
        <v>1802</v>
      </c>
      <c r="I747" s="117" t="str">
        <f t="shared" si="44"/>
        <v>→ Selecione a linha e use o menu ⏱️ Ponto</v>
      </c>
      <c r="J747" s="180"/>
      <c r="K747" s="179"/>
      <c r="L747" s="119" t="str">
        <f t="shared" si="45"/>
        <v>🟢 No Evento</v>
      </c>
    </row>
    <row r="748" ht="15.75" customHeight="1">
      <c r="A748" s="13"/>
      <c r="B748" s="173" t="s">
        <v>292</v>
      </c>
      <c r="C748" s="199" t="str">
        <f t="array" ref="C748">IF(B748="","",IFERROR(INDEX('FUNCIONÁRIOS'!$B$4:$B$501,MATCH(B748,'FUNCIONÁRIOS'!$C$4:$C$501,0)),""))</f>
        <v>GYNLIGHT</v>
      </c>
      <c r="D748" s="199" t="str">
        <f t="array" ref="D748">IF(B748="","",IFERROR(INDEX('FUNCIONÁRIOS'!$D$4:$D$501,MATCH(B748,'FUNCIONÁRIOS'!$C$4:$C$501,0)),""))</f>
        <v>Auxiliar Técnico em Iluminação</v>
      </c>
      <c r="E748" s="199" t="str">
        <f t="array" ref="E748">IF(B748="","",IFERROR(INDEX('FUNCIONÁRIOS'!$E$4:$E$501,MATCH(B748,'FUNCIONÁRIOS'!$C$4:$C$501,0)),""))</f>
        <v>NÃO</v>
      </c>
      <c r="F748" s="138">
        <v>46169.0</v>
      </c>
      <c r="G748" s="115" t="str">
        <f t="shared" si="43"/>
        <v>✅ 09:21</v>
      </c>
      <c r="H748" s="174" t="s">
        <v>1802</v>
      </c>
      <c r="I748" s="117" t="str">
        <f t="shared" si="44"/>
        <v>→ Selecione a linha e use o menu ⏱️ Ponto</v>
      </c>
      <c r="J748" s="180"/>
      <c r="K748" s="179"/>
      <c r="L748" s="119" t="str">
        <f t="shared" si="45"/>
        <v>🟢 No Evento</v>
      </c>
    </row>
    <row r="749" ht="15.75" customHeight="1">
      <c r="A749" s="13"/>
      <c r="B749" s="173" t="s">
        <v>709</v>
      </c>
      <c r="C749" s="199" t="str">
        <f t="array" ref="C749">IF(B749="","",IFERROR(INDEX('FUNCIONÁRIOS'!$B$4:$B$501,MATCH(B749,'FUNCIONÁRIOS'!$C$4:$C$501,0)),""))</f>
        <v>PRIVIEGE EVENTOS </v>
      </c>
      <c r="D749" s="199" t="str">
        <f t="array" ref="D749">IF(B749="","",IFERROR(INDEX('FUNCIONÁRIOS'!$D$4:$D$501,MATCH(B749,'FUNCIONÁRIOS'!$C$4:$C$501,0)),""))</f>
        <v>LIMPEZA </v>
      </c>
      <c r="E749" s="199" t="str">
        <f t="array" ref="E749">IF(B749="","",IFERROR(INDEX('FUNCIONÁRIOS'!$E$4:$E$501,MATCH(B749,'FUNCIONÁRIOS'!$C$4:$C$501,0)),""))</f>
        <v>NÃO</v>
      </c>
      <c r="F749" s="138">
        <v>46169.0</v>
      </c>
      <c r="G749" s="115" t="str">
        <f t="shared" si="43"/>
        <v>✅ 09:22</v>
      </c>
      <c r="H749" s="174" t="s">
        <v>1686</v>
      </c>
      <c r="I749" s="117" t="str">
        <f t="shared" si="44"/>
        <v>→ Selecione a linha e use o menu ⏱️ Ponto</v>
      </c>
      <c r="J749" s="180"/>
      <c r="K749" s="179"/>
      <c r="L749" s="119" t="str">
        <f t="shared" si="45"/>
        <v>🟢 No Evento</v>
      </c>
    </row>
    <row r="750" ht="15.75" customHeight="1">
      <c r="A750" s="13"/>
      <c r="B750" s="173" t="s">
        <v>278</v>
      </c>
      <c r="C750" s="199" t="str">
        <f t="array" ref="C750">IF(B750="","",IFERROR(INDEX('FUNCIONÁRIOS'!$B$4:$B$501,MATCH(B750,'FUNCIONÁRIOS'!$C$4:$C$501,0)),""))</f>
        <v>GYNLIGHT</v>
      </c>
      <c r="D750" s="199" t="str">
        <f t="array" ref="D750">IF(B750="","",IFERROR(INDEX('FUNCIONÁRIOS'!$D$4:$D$501,MATCH(B750,'FUNCIONÁRIOS'!$C$4:$C$501,0)),""))</f>
        <v>Auxiliar Técnico em Iluminação</v>
      </c>
      <c r="E750" s="199" t="str">
        <f t="array" ref="E750">IF(B750="","",IFERROR(INDEX('FUNCIONÁRIOS'!$E$4:$E$501,MATCH(B750,'FUNCIONÁRIOS'!$C$4:$C$501,0)),""))</f>
        <v>NÃO</v>
      </c>
      <c r="F750" s="138">
        <v>46169.0</v>
      </c>
      <c r="G750" s="115" t="str">
        <f t="shared" si="43"/>
        <v>✅ 09:25</v>
      </c>
      <c r="H750" s="174" t="s">
        <v>1690</v>
      </c>
      <c r="I750" s="117" t="str">
        <f t="shared" si="44"/>
        <v>→ Selecione a linha e use o menu ⏱️ Ponto</v>
      </c>
      <c r="J750" s="180"/>
      <c r="K750" s="179"/>
      <c r="L750" s="119" t="str">
        <f t="shared" si="45"/>
        <v>🟢 No Evento</v>
      </c>
    </row>
    <row r="751" ht="15.75" customHeight="1">
      <c r="A751" s="13"/>
      <c r="B751" s="173" t="s">
        <v>498</v>
      </c>
      <c r="C751" s="199" t="str">
        <f t="array" ref="C751">IF(B751="","",IFERROR(INDEX('FUNCIONÁRIOS'!$B$4:$B$501,MATCH(B751,'FUNCIONÁRIOS'!$C$4:$C$501,0)),""))</f>
        <v>SHOWNEWS</v>
      </c>
      <c r="D751" s="199" t="str">
        <f t="array" ref="D751">IF(B751="","",IFERROR(INDEX('FUNCIONÁRIOS'!$D$4:$D$501,MATCH(B751,'FUNCIONÁRIOS'!$C$4:$C$501,0)),""))</f>
        <v>Montador</v>
      </c>
      <c r="E751" s="199" t="str">
        <f t="array" ref="E751">IF(B751="","",IFERROR(INDEX('FUNCIONÁRIOS'!$E$4:$E$501,MATCH(B751,'FUNCIONÁRIOS'!$C$4:$C$501,0)),""))</f>
        <v>NÃO</v>
      </c>
      <c r="F751" s="138">
        <v>46169.0</v>
      </c>
      <c r="G751" s="115" t="str">
        <f t="shared" si="43"/>
        <v>✅ 09:29</v>
      </c>
      <c r="H751" s="174" t="s">
        <v>1891</v>
      </c>
      <c r="I751" s="117" t="str">
        <f t="shared" si="44"/>
        <v>✅ 21;54</v>
      </c>
      <c r="J751" s="184" t="s">
        <v>1892</v>
      </c>
      <c r="K751" s="179"/>
      <c r="L751" s="119" t="str">
        <f t="shared" si="45"/>
        <v>✅ Finalizado</v>
      </c>
    </row>
    <row r="752" ht="15.75" customHeight="1">
      <c r="A752" s="13"/>
      <c r="B752" s="173" t="s">
        <v>465</v>
      </c>
      <c r="C752" s="199" t="str">
        <f t="array" ref="C752">IF(B752="","",IFERROR(INDEX('FUNCIONÁRIOS'!$B$4:$B$501,MATCH(B752,'FUNCIONÁRIOS'!$C$4:$C$501,0)),""))</f>
        <v>PIZZA GYN</v>
      </c>
      <c r="D752" s="199" t="str">
        <f t="array" ref="D752">IF(B752="","",IFERROR(INDEX('FUNCIONÁRIOS'!$D$4:$D$501,MATCH(B752,'FUNCIONÁRIOS'!$C$4:$C$501,0)),""))</f>
        <v>cordenador</v>
      </c>
      <c r="E752" s="199" t="str">
        <f t="array" ref="E752">IF(B752="","",IFERROR(INDEX('FUNCIONÁRIOS'!$E$4:$E$501,MATCH(B752,'FUNCIONÁRIOS'!$C$4:$C$501,0)),""))</f>
        <v>SIM</v>
      </c>
      <c r="F752" s="138">
        <v>46169.0</v>
      </c>
      <c r="G752" s="115" t="str">
        <f t="shared" si="43"/>
        <v>✅ 09:30</v>
      </c>
      <c r="H752" s="174" t="s">
        <v>1807</v>
      </c>
      <c r="I752" s="117" t="str">
        <f t="shared" si="44"/>
        <v>→ Selecione a linha e use o menu ⏱️ Ponto</v>
      </c>
      <c r="J752" s="180"/>
      <c r="K752" s="179"/>
      <c r="L752" s="119" t="str">
        <f t="shared" si="45"/>
        <v>🟢 No Evento</v>
      </c>
    </row>
    <row r="753" ht="15.75" customHeight="1">
      <c r="A753" s="13"/>
      <c r="B753" s="173" t="s">
        <v>118</v>
      </c>
      <c r="C753" s="199" t="str">
        <f t="array" ref="C753">IF(B753="","",IFERROR(INDEX('FUNCIONÁRIOS'!$B$4:$B$501,MATCH(B753,'FUNCIONÁRIOS'!$C$4:$C$501,0)),""))</f>
        <v>MONTE EVENTOS </v>
      </c>
      <c r="D753" s="199" t="str">
        <f t="array" ref="D753">IF(B753="","",IFERROR(INDEX('FUNCIONÁRIOS'!$D$4:$D$501,MATCH(B753,'FUNCIONÁRIOS'!$C$4:$C$501,0)),""))</f>
        <v>MONTADOR</v>
      </c>
      <c r="E753" s="199" t="str">
        <f t="array" ref="E753">IF(B753="","",IFERROR(INDEX('FUNCIONÁRIOS'!$E$4:$E$501,MATCH(B753,'FUNCIONÁRIOS'!$C$4:$C$501,0)),""))</f>
        <v>NÃO</v>
      </c>
      <c r="F753" s="138">
        <v>46169.0</v>
      </c>
      <c r="G753" s="115" t="str">
        <f t="shared" si="43"/>
        <v>✅ 09:32</v>
      </c>
      <c r="H753" s="174" t="s">
        <v>1809</v>
      </c>
      <c r="I753" s="117" t="str">
        <f t="shared" si="44"/>
        <v>→ Selecione a linha e use o menu ⏱️ Ponto</v>
      </c>
      <c r="J753" s="180"/>
      <c r="K753" s="179"/>
      <c r="L753" s="119" t="str">
        <f t="shared" si="45"/>
        <v>🟢 No Evento</v>
      </c>
    </row>
    <row r="754" ht="15.75" customHeight="1">
      <c r="A754" s="13"/>
      <c r="B754" s="173" t="s">
        <v>380</v>
      </c>
      <c r="C754" s="199" t="str">
        <f t="array" ref="C754">IF(B754="","",IFERROR(INDEX('FUNCIONÁRIOS'!$B$4:$B$501,MATCH(B754,'FUNCIONÁRIOS'!$C$4:$C$501,0)),""))</f>
        <v>GO TO </v>
      </c>
      <c r="D754" s="199" t="str">
        <f t="array" ref="D754">IF(B754="","",IFERROR(INDEX('FUNCIONÁRIOS'!$D$4:$D$501,MATCH(B754,'FUNCIONÁRIOS'!$C$4:$C$501,0)),""))</f>
        <v>MONTADOR</v>
      </c>
      <c r="E754" s="199" t="str">
        <f t="array" ref="E754">IF(B754="","",IFERROR(INDEX('FUNCIONÁRIOS'!$E$4:$E$501,MATCH(B754,'FUNCIONÁRIOS'!$C$4:$C$501,0)),""))</f>
        <v>NÃO</v>
      </c>
      <c r="F754" s="138">
        <v>46169.0</v>
      </c>
      <c r="G754" s="115" t="str">
        <f t="shared" si="43"/>
        <v>✅ 09:33</v>
      </c>
      <c r="H754" s="174" t="s">
        <v>1597</v>
      </c>
      <c r="I754" s="117" t="str">
        <f t="shared" si="44"/>
        <v>→ Selecione a linha e use o menu ⏱️ Ponto</v>
      </c>
      <c r="J754" s="180"/>
      <c r="K754" s="179"/>
      <c r="L754" s="119" t="str">
        <f t="shared" si="45"/>
        <v>🟢 No Evento</v>
      </c>
    </row>
    <row r="755" ht="15.75" customHeight="1">
      <c r="A755" s="13"/>
      <c r="B755" s="173" t="s">
        <v>541</v>
      </c>
      <c r="C755" s="199" t="str">
        <f t="array" ref="C755">IF(B755="","",IFERROR(INDEX('FUNCIONÁRIOS'!$B$4:$B$501,MATCH(B755,'FUNCIONÁRIOS'!$C$4:$C$501,0)),""))</f>
        <v>LATINO </v>
      </c>
      <c r="D755" s="199" t="str">
        <f t="array" ref="D755">IF(B755="","",IFERROR(INDEX('FUNCIONÁRIOS'!$D$4:$D$501,MATCH(B755,'FUNCIONÁRIOS'!$C$4:$C$501,0)),""))</f>
        <v>CARREGADOR </v>
      </c>
      <c r="E755" s="199" t="str">
        <f t="array" ref="E755">IF(B755="","",IFERROR(INDEX('FUNCIONÁRIOS'!$E$4:$E$501,MATCH(B755,'FUNCIONÁRIOS'!$C$4:$C$501,0)),""))</f>
        <v>NÃO</v>
      </c>
      <c r="F755" s="138">
        <v>46169.0</v>
      </c>
      <c r="G755" s="115" t="str">
        <f t="shared" si="43"/>
        <v>✅ 09:34</v>
      </c>
      <c r="H755" s="174" t="s">
        <v>1810</v>
      </c>
      <c r="I755" s="117" t="str">
        <f t="shared" si="44"/>
        <v>→ Selecione a linha e use o menu ⏱️ Ponto</v>
      </c>
      <c r="J755" s="180"/>
      <c r="K755" s="179"/>
      <c r="L755" s="119" t="str">
        <f t="shared" si="45"/>
        <v>🟢 No Evento</v>
      </c>
    </row>
    <row r="756" ht="15.75" customHeight="1">
      <c r="A756" s="13"/>
      <c r="B756" s="173" t="s">
        <v>817</v>
      </c>
      <c r="C756" s="199" t="str">
        <f t="array" ref="C756">IF(B756="","",IFERROR(INDEX('FUNCIONÁRIOS'!$B$4:$B$501,MATCH(B756,'FUNCIONÁRIOS'!$C$4:$C$501,0)),""))</f>
        <v>VOLUNTÁRIO</v>
      </c>
      <c r="D756" s="199" t="str">
        <f t="array" ref="D756">IF(B756="","",IFERROR(INDEX('FUNCIONÁRIOS'!$D$4:$D$501,MATCH(B756,'FUNCIONÁRIOS'!$C$4:$C$501,0)),""))</f>
        <v>Coordenação da  capela </v>
      </c>
      <c r="E756" s="199" t="str">
        <f t="array" ref="E756">IF(B756="","",IFERROR(INDEX('FUNCIONÁRIOS'!$E$4:$E$501,MATCH(B756,'FUNCIONÁRIOS'!$C$4:$C$501,0)),""))</f>
        <v>NÃO</v>
      </c>
      <c r="F756" s="138">
        <v>46169.0</v>
      </c>
      <c r="G756" s="115" t="str">
        <f t="shared" si="43"/>
        <v>✅ 09:35</v>
      </c>
      <c r="H756" s="174" t="s">
        <v>1692</v>
      </c>
      <c r="I756" s="117" t="str">
        <f t="shared" si="44"/>
        <v>→ Selecione a linha e use o menu ⏱️ Ponto</v>
      </c>
      <c r="J756" s="180"/>
      <c r="K756" s="179"/>
      <c r="L756" s="119" t="str">
        <f t="shared" si="45"/>
        <v>🟢 No Evento</v>
      </c>
    </row>
    <row r="757" ht="15.75" customHeight="1">
      <c r="A757" s="13"/>
      <c r="B757" s="173" t="s">
        <v>815</v>
      </c>
      <c r="C757" s="199" t="str">
        <f t="array" ref="C757">IF(B757="","",IFERROR(INDEX('FUNCIONÁRIOS'!$B$4:$B$501,MATCH(B757,'FUNCIONÁRIOS'!$C$4:$C$501,0)),""))</f>
        <v>VOLUNTÁRIO</v>
      </c>
      <c r="D757" s="199" t="str">
        <f t="array" ref="D757">IF(B757="","",IFERROR(INDEX('FUNCIONÁRIOS'!$D$4:$D$501,MATCH(B757,'FUNCIONÁRIOS'!$C$4:$C$501,0)),""))</f>
        <v>Servo Pastoral da Consagração, montagem da capela</v>
      </c>
      <c r="E757" s="199" t="str">
        <f t="array" ref="E757">IF(B757="","",IFERROR(INDEX('FUNCIONÁRIOS'!$E$4:$E$501,MATCH(B757,'FUNCIONÁRIOS'!$C$4:$C$501,0)),""))</f>
        <v>NÃO</v>
      </c>
      <c r="F757" s="138">
        <v>46169.0</v>
      </c>
      <c r="G757" s="115" t="str">
        <f t="shared" si="43"/>
        <v>✅ 09:36</v>
      </c>
      <c r="H757" s="174" t="s">
        <v>1694</v>
      </c>
      <c r="I757" s="117" t="str">
        <f t="shared" si="44"/>
        <v>→ Selecione a linha e use o menu ⏱️ Ponto</v>
      </c>
      <c r="J757" s="180"/>
      <c r="K757" s="179"/>
      <c r="L757" s="119" t="str">
        <f t="shared" si="45"/>
        <v>🟢 No Evento</v>
      </c>
    </row>
    <row r="758" ht="15.75" customHeight="1">
      <c r="A758" s="13"/>
      <c r="B758" s="173" t="s">
        <v>425</v>
      </c>
      <c r="C758" s="199" t="str">
        <f t="array" ref="C758">IF(B758="","",IFERROR(INDEX('FUNCIONÁRIOS'!$B$4:$B$501,MATCH(B758,'FUNCIONÁRIOS'!$C$4:$C$501,0)),""))</f>
        <v>GO TO </v>
      </c>
      <c r="D758" s="199" t="str">
        <f t="array" ref="D758">IF(B758="","",IFERROR(INDEX('FUNCIONÁRIOS'!$D$4:$D$501,MATCH(B758,'FUNCIONÁRIOS'!$C$4:$C$501,0)),""))</f>
        <v>Montagem</v>
      </c>
      <c r="E758" s="199" t="str">
        <f t="array" ref="E758">IF(B758="","",IFERROR(INDEX('FUNCIONÁRIOS'!$E$4:$E$501,MATCH(B758,'FUNCIONÁRIOS'!$C$4:$C$501,0)),""))</f>
        <v>SIM</v>
      </c>
      <c r="F758" s="138">
        <v>46169.0</v>
      </c>
      <c r="G758" s="115" t="str">
        <f t="shared" si="43"/>
        <v>✅ 09:37</v>
      </c>
      <c r="H758" s="174" t="s">
        <v>1696</v>
      </c>
      <c r="I758" s="117" t="str">
        <f t="shared" si="44"/>
        <v>→ Selecione a linha e use o menu ⏱️ Ponto</v>
      </c>
      <c r="J758" s="180"/>
      <c r="K758" s="179"/>
      <c r="L758" s="119" t="str">
        <f t="shared" si="45"/>
        <v>🟢 No Evento</v>
      </c>
    </row>
    <row r="759" ht="15.75" customHeight="1">
      <c r="A759" s="13"/>
      <c r="B759" s="173" t="s">
        <v>416</v>
      </c>
      <c r="C759" s="199" t="str">
        <f t="array" ref="C759">IF(B759="","",IFERROR(INDEX('FUNCIONÁRIOS'!$B$4:$B$501,MATCH(B759,'FUNCIONÁRIOS'!$C$4:$C$501,0)),""))</f>
        <v>GO TO </v>
      </c>
      <c r="D759" s="199" t="str">
        <f t="array" ref="D759">IF(B759="","",IFERROR(INDEX('FUNCIONÁRIOS'!$D$4:$D$501,MATCH(B759,'FUNCIONÁRIOS'!$C$4:$C$501,0)),""))</f>
        <v>MONTADOR</v>
      </c>
      <c r="E759" s="199" t="str">
        <f t="array" ref="E759">IF(B759="","",IFERROR(INDEX('FUNCIONÁRIOS'!$E$4:$E$501,MATCH(B759,'FUNCIONÁRIOS'!$C$4:$C$501,0)),""))</f>
        <v>NÃO 23:14</v>
      </c>
      <c r="F759" s="138">
        <v>46169.0</v>
      </c>
      <c r="G759" s="115" t="str">
        <f t="shared" si="43"/>
        <v>✅ 09:38</v>
      </c>
      <c r="H759" s="174" t="s">
        <v>1812</v>
      </c>
      <c r="I759" s="117" t="str">
        <f t="shared" si="44"/>
        <v>→ Selecione a linha e use o menu ⏱️ Ponto</v>
      </c>
      <c r="J759" s="180"/>
      <c r="K759" s="179"/>
      <c r="L759" s="119" t="str">
        <f t="shared" si="45"/>
        <v>🟢 No Evento</v>
      </c>
    </row>
    <row r="760" ht="15.75" customHeight="1">
      <c r="A760" s="13"/>
      <c r="B760" s="173" t="s">
        <v>505</v>
      </c>
      <c r="C760" s="199" t="str">
        <f t="array" ref="C760">IF(B760="","",IFERROR(INDEX('FUNCIONÁRIOS'!$B$4:$B$501,MATCH(B760,'FUNCIONÁRIOS'!$C$4:$C$501,0)),""))</f>
        <v>GO TO </v>
      </c>
      <c r="D760" s="199" t="str">
        <f t="array" ref="D760">IF(B760="","",IFERROR(INDEX('FUNCIONÁRIOS'!$D$4:$D$501,MATCH(B760,'FUNCIONÁRIOS'!$C$4:$C$501,0)),""))</f>
        <v>Auxiliar de Serralheiro</v>
      </c>
      <c r="E760" s="199" t="str">
        <f t="array" ref="E760">IF(B760="","",IFERROR(INDEX('FUNCIONÁRIOS'!$E$4:$E$501,MATCH(B760,'FUNCIONÁRIOS'!$C$4:$C$501,0)),""))</f>
        <v>NÃO</v>
      </c>
      <c r="F760" s="138">
        <v>46169.0</v>
      </c>
      <c r="G760" s="115" t="str">
        <f t="shared" si="43"/>
        <v>✅ 09:38</v>
      </c>
      <c r="H760" s="174" t="s">
        <v>1812</v>
      </c>
      <c r="I760" s="117" t="str">
        <f t="shared" si="44"/>
        <v>→ Selecione a linha e use o menu ⏱️ Ponto</v>
      </c>
      <c r="J760" s="180"/>
      <c r="K760" s="179"/>
      <c r="L760" s="119" t="str">
        <f t="shared" si="45"/>
        <v>🟢 No Evento</v>
      </c>
    </row>
    <row r="761" ht="15.75" customHeight="1">
      <c r="A761" s="13"/>
      <c r="B761" s="173" t="s">
        <v>737</v>
      </c>
      <c r="C761" s="199" t="str">
        <f t="array" ref="C761">IF(B761="","",IFERROR(INDEX('FUNCIONÁRIOS'!$B$4:$B$501,MATCH(B761,'FUNCIONÁRIOS'!$C$4:$C$501,0)),""))</f>
        <v/>
      </c>
      <c r="D761" s="199" t="str">
        <f t="array" ref="D761">IF(B761="","",IFERROR(INDEX('FUNCIONÁRIOS'!$D$4:$D$501,MATCH(B761,'FUNCIONÁRIOS'!$C$4:$C$501,0)),""))</f>
        <v>ADVOGADO </v>
      </c>
      <c r="E761" s="199" t="str">
        <f t="array" ref="E761">IF(B761="","",IFERROR(INDEX('FUNCIONÁRIOS'!$E$4:$E$501,MATCH(B761,'FUNCIONÁRIOS'!$C$4:$C$501,0)),""))</f>
        <v>NÃO</v>
      </c>
      <c r="F761" s="138">
        <v>46169.0</v>
      </c>
      <c r="G761" s="115" t="str">
        <f t="shared" si="43"/>
        <v>✅ 09:39</v>
      </c>
      <c r="H761" s="174" t="s">
        <v>1698</v>
      </c>
      <c r="I761" s="117" t="str">
        <f t="shared" si="44"/>
        <v>→ Selecione a linha e use o menu ⏱️ Ponto</v>
      </c>
      <c r="J761" s="180"/>
      <c r="K761" s="179"/>
      <c r="L761" s="119" t="str">
        <f t="shared" si="45"/>
        <v>🟢 No Evento</v>
      </c>
    </row>
    <row r="762" ht="15.75" customHeight="1">
      <c r="A762" s="13"/>
      <c r="B762" s="173" t="s">
        <v>572</v>
      </c>
      <c r="C762" s="199" t="str">
        <f t="array" ref="C762">IF(B762="","",IFERROR(INDEX('FUNCIONÁRIOS'!$B$4:$B$501,MATCH(B762,'FUNCIONÁRIOS'!$C$4:$C$501,0)),""))</f>
        <v>CANA JOY</v>
      </c>
      <c r="D762" s="199" t="str">
        <f t="array" ref="D762">IF(B762="","",IFERROR(INDEX('FUNCIONÁRIOS'!$D$4:$D$501,MATCH(B762,'FUNCIONÁRIOS'!$C$4:$C$501,0)),""))</f>
        <v>PROPRIETÁRIO </v>
      </c>
      <c r="E762" s="199" t="str">
        <f t="array" ref="E762">IF(B762="","",IFERROR(INDEX('FUNCIONÁRIOS'!$E$4:$E$501,MATCH(B762,'FUNCIONÁRIOS'!$C$4:$C$501,0)),""))</f>
        <v>NÃO</v>
      </c>
      <c r="F762" s="138">
        <v>46169.0</v>
      </c>
      <c r="G762" s="115" t="str">
        <f t="shared" si="43"/>
        <v>✅ 09:42</v>
      </c>
      <c r="H762" s="174" t="s">
        <v>1703</v>
      </c>
      <c r="I762" s="117" t="str">
        <f t="shared" si="44"/>
        <v>→ Selecione a linha e use o menu ⏱️ Ponto</v>
      </c>
      <c r="J762" s="180"/>
      <c r="K762" s="179"/>
      <c r="L762" s="119" t="str">
        <f t="shared" si="45"/>
        <v>🟢 No Evento</v>
      </c>
    </row>
    <row r="763" ht="15.75" customHeight="1">
      <c r="A763" s="13"/>
      <c r="B763" s="173" t="s">
        <v>121</v>
      </c>
      <c r="C763" s="199" t="str">
        <f t="array" ref="C763">IF(B763="","",IFERROR(INDEX('FUNCIONÁRIOS'!$B$4:$B$501,MATCH(B763,'FUNCIONÁRIOS'!$C$4:$C$501,0)),""))</f>
        <v>MONTE EVENTOS </v>
      </c>
      <c r="D763" s="199" t="str">
        <f t="array" ref="D763">IF(B763="","",IFERROR(INDEX('FUNCIONÁRIOS'!$D$4:$D$501,MATCH(B763,'FUNCIONÁRIOS'!$C$4:$C$501,0)),""))</f>
        <v>MONTADOR</v>
      </c>
      <c r="E763" s="199" t="str">
        <f t="array" ref="E763">IF(B763="","",IFERROR(INDEX('FUNCIONÁRIOS'!$E$4:$E$501,MATCH(B763,'FUNCIONÁRIOS'!$C$4:$C$501,0)),""))</f>
        <v>NÃO</v>
      </c>
      <c r="F763" s="138">
        <v>46169.0</v>
      </c>
      <c r="G763" s="115" t="str">
        <f t="shared" si="43"/>
        <v>✅ 09:43</v>
      </c>
      <c r="H763" s="174" t="s">
        <v>1814</v>
      </c>
      <c r="I763" s="117" t="str">
        <f t="shared" si="44"/>
        <v>→ Selecione a linha e use o menu ⏱️ Ponto</v>
      </c>
      <c r="J763" s="180"/>
      <c r="K763" s="179"/>
      <c r="L763" s="119" t="str">
        <f t="shared" si="45"/>
        <v>🟢 No Evento</v>
      </c>
    </row>
    <row r="764" ht="15.75" customHeight="1">
      <c r="A764" s="13"/>
      <c r="B764" s="173" t="s">
        <v>112</v>
      </c>
      <c r="C764" s="199" t="str">
        <f t="array" ref="C764">IF(B764="","",IFERROR(INDEX('FUNCIONÁRIOS'!$B$4:$B$501,MATCH(B764,'FUNCIONÁRIOS'!$C$4:$C$501,0)),""))</f>
        <v>MONTE EVENTOS </v>
      </c>
      <c r="D764" s="199" t="str">
        <f t="array" ref="D764">IF(B764="","",IFERROR(INDEX('FUNCIONÁRIOS'!$D$4:$D$501,MATCH(B764,'FUNCIONÁRIOS'!$C$4:$C$501,0)),""))</f>
        <v>MONTADOR</v>
      </c>
      <c r="E764" s="199" t="str">
        <f t="array" ref="E764">IF(B764="","",IFERROR(INDEX('FUNCIONÁRIOS'!$E$4:$E$501,MATCH(B764,'FUNCIONÁRIOS'!$C$4:$C$501,0)),""))</f>
        <v>NÃO</v>
      </c>
      <c r="F764" s="138">
        <v>46169.0</v>
      </c>
      <c r="G764" s="115" t="str">
        <f t="shared" si="43"/>
        <v>✅ 09:43</v>
      </c>
      <c r="H764" s="174" t="s">
        <v>1814</v>
      </c>
      <c r="I764" s="117" t="str">
        <f t="shared" si="44"/>
        <v>→ Selecione a linha e use o menu ⏱️ Ponto</v>
      </c>
      <c r="J764" s="180"/>
      <c r="K764" s="179"/>
      <c r="L764" s="119" t="str">
        <f t="shared" si="45"/>
        <v>🟢 No Evento</v>
      </c>
    </row>
    <row r="765" ht="15.75" customHeight="1">
      <c r="A765" s="13"/>
      <c r="B765" s="173" t="s">
        <v>96</v>
      </c>
      <c r="C765" s="199" t="str">
        <f t="array" ref="C765">IF(B765="","",IFERROR(INDEX('FUNCIONÁRIOS'!$B$4:$B$501,MATCH(B765,'FUNCIONÁRIOS'!$C$4:$C$501,0)),""))</f>
        <v>PONCIANO SOLUÇÕES </v>
      </c>
      <c r="D765" s="199" t="str">
        <f t="array" ref="D765">IF(B765="","",IFERROR(INDEX('FUNCIONÁRIOS'!$D$4:$D$501,MATCH(B765,'FUNCIONÁRIOS'!$C$4:$C$501,0)),""))</f>
        <v>CREDENCIAMENTO</v>
      </c>
      <c r="E765" s="199" t="str">
        <f t="array" ref="E765">IF(B765="","",IFERROR(INDEX('FUNCIONÁRIOS'!$E$4:$E$501,MATCH(B765,'FUNCIONÁRIOS'!$C$4:$C$501,0)),""))</f>
        <v>NÃO</v>
      </c>
      <c r="F765" s="138">
        <v>46169.0</v>
      </c>
      <c r="G765" s="115" t="str">
        <f t="shared" si="43"/>
        <v>✅ 07:50</v>
      </c>
      <c r="H765" s="174" t="s">
        <v>1893</v>
      </c>
      <c r="I765" s="117" t="str">
        <f t="shared" si="44"/>
        <v>→ Selecione a linha e use o menu ⏱️ Ponto</v>
      </c>
      <c r="J765" s="180"/>
      <c r="K765" s="179"/>
      <c r="L765" s="119" t="str">
        <f t="shared" si="45"/>
        <v>🟢 No Evento</v>
      </c>
    </row>
    <row r="766" ht="15.75" customHeight="1">
      <c r="A766" s="13"/>
      <c r="B766" s="173" t="s">
        <v>198</v>
      </c>
      <c r="C766" s="199" t="str">
        <f t="array" ref="C766">IF(B766="","",IFERROR(INDEX('FUNCIONÁRIOS'!$B$4:$B$501,MATCH(B766,'FUNCIONÁRIOS'!$C$4:$C$501,0)),""))</f>
        <v/>
      </c>
      <c r="D766" s="199" t="str">
        <f t="array" ref="D766">IF(B766="","",IFERROR(INDEX('FUNCIONÁRIOS'!$D$4:$D$501,MATCH(B766,'FUNCIONÁRIOS'!$C$4:$C$501,0)),""))</f>
        <v>GERENTE </v>
      </c>
      <c r="E766" s="199" t="str">
        <f t="array" ref="E766">IF(B766="","",IFERROR(INDEX('FUNCIONÁRIOS'!$E$4:$E$501,MATCH(B766,'FUNCIONÁRIOS'!$C$4:$C$501,0)),""))</f>
        <v>NÃO</v>
      </c>
      <c r="F766" s="138">
        <v>46169.0</v>
      </c>
      <c r="G766" s="115" t="str">
        <f t="shared" si="43"/>
        <v>✅ 09:47</v>
      </c>
      <c r="H766" s="174" t="s">
        <v>1818</v>
      </c>
      <c r="I766" s="117" t="str">
        <f t="shared" si="44"/>
        <v>→ Selecione a linha e use o menu ⏱️ Ponto</v>
      </c>
      <c r="J766" s="180"/>
      <c r="K766" s="179"/>
      <c r="L766" s="119" t="str">
        <f t="shared" si="45"/>
        <v>🟢 No Evento</v>
      </c>
    </row>
    <row r="767" ht="15.75" customHeight="1">
      <c r="A767" s="13"/>
      <c r="B767" s="173" t="s">
        <v>759</v>
      </c>
      <c r="C767" s="199" t="str">
        <f t="array" ref="C767">IF(B767="","",IFERROR(INDEX('FUNCIONÁRIOS'!$B$4:$B$501,MATCH(B767,'FUNCIONÁRIOS'!$C$4:$C$501,0)),""))</f>
        <v>LATINO </v>
      </c>
      <c r="D767" s="199" t="str">
        <f t="array" ref="D767">IF(B767="","",IFERROR(INDEX('FUNCIONÁRIOS'!$D$4:$D$501,MATCH(B767,'FUNCIONÁRIOS'!$C$4:$C$501,0)),""))</f>
        <v>CARREGADOR </v>
      </c>
      <c r="E767" s="199" t="str">
        <f t="array" ref="E767">IF(B767="","",IFERROR(INDEX('FUNCIONÁRIOS'!$E$4:$E$501,MATCH(B767,'FUNCIONÁRIOS'!$C$4:$C$501,0)),""))</f>
        <v>NÃO</v>
      </c>
      <c r="F767" s="138">
        <v>46169.0</v>
      </c>
      <c r="G767" s="115" t="str">
        <f t="shared" si="43"/>
        <v>✅ 09:48</v>
      </c>
      <c r="H767" s="174" t="s">
        <v>1819</v>
      </c>
      <c r="I767" s="117" t="str">
        <f t="shared" si="44"/>
        <v>✅ 18:40</v>
      </c>
      <c r="J767" s="174" t="s">
        <v>1605</v>
      </c>
      <c r="K767" s="175">
        <v>0.36944444444444446</v>
      </c>
      <c r="L767" s="119" t="str">
        <f t="shared" si="45"/>
        <v>✅ Finalizado</v>
      </c>
    </row>
    <row r="768" ht="15.75" customHeight="1">
      <c r="A768" s="13"/>
      <c r="B768" s="173" t="s">
        <v>746</v>
      </c>
      <c r="C768" s="199" t="str">
        <f t="array" ref="C768">IF(B768="","",IFERROR(INDEX('FUNCIONÁRIOS'!$B$4:$B$501,MATCH(B768,'FUNCIONÁRIOS'!$C$4:$C$501,0)),""))</f>
        <v>FLASH MED</v>
      </c>
      <c r="D768" s="199" t="str">
        <f t="array" ref="D768">IF(B768="","",IFERROR(INDEX('FUNCIONÁRIOS'!$D$4:$D$501,MATCH(B768,'FUNCIONÁRIOS'!$C$4:$C$501,0)),""))</f>
        <v>COORDENADORA </v>
      </c>
      <c r="E768" s="199" t="str">
        <f t="array" ref="E768">IF(B768="","",IFERROR(INDEX('FUNCIONÁRIOS'!$E$4:$E$501,MATCH(B768,'FUNCIONÁRIOS'!$C$4:$C$501,0)),""))</f>
        <v>NÃO</v>
      </c>
      <c r="F768" s="138">
        <v>46169.0</v>
      </c>
      <c r="G768" s="115" t="str">
        <f t="shared" si="43"/>
        <v>✅ 09:48</v>
      </c>
      <c r="H768" s="174" t="s">
        <v>1819</v>
      </c>
      <c r="I768" s="117" t="str">
        <f t="shared" si="44"/>
        <v>→ Selecione a linha e use o menu ⏱️ Ponto</v>
      </c>
      <c r="J768" s="180"/>
      <c r="K768" s="179"/>
      <c r="L768" s="119" t="str">
        <f t="shared" si="45"/>
        <v>🟢 No Evento</v>
      </c>
    </row>
    <row r="769" ht="15.75" customHeight="1">
      <c r="A769" s="13"/>
      <c r="B769" s="173" t="s">
        <v>774</v>
      </c>
      <c r="C769" s="199" t="str">
        <f t="array" ref="C769">IF(B769="","",IFERROR(INDEX('FUNCIONÁRIOS'!$B$4:$B$501,MATCH(B769,'FUNCIONÁRIOS'!$C$4:$C$501,0)),""))</f>
        <v>GO TO </v>
      </c>
      <c r="D769" s="199" t="str">
        <f t="array" ref="D769">IF(B769="","",IFERROR(INDEX('FUNCIONÁRIOS'!$D$4:$D$501,MATCH(B769,'FUNCIONÁRIOS'!$C$4:$C$501,0)),""))</f>
        <v>MONTADOR </v>
      </c>
      <c r="E769" s="199" t="str">
        <f t="array" ref="E769">IF(B769="","",IFERROR(INDEX('FUNCIONÁRIOS'!$E$4:$E$501,MATCH(B769,'FUNCIONÁRIOS'!$C$4:$C$501,0)),""))</f>
        <v>NÃO</v>
      </c>
      <c r="F769" s="138">
        <v>46169.0</v>
      </c>
      <c r="G769" s="115" t="str">
        <f t="shared" si="43"/>
        <v>✅ 09:51</v>
      </c>
      <c r="H769" s="174" t="s">
        <v>1894</v>
      </c>
      <c r="I769" s="117" t="str">
        <f t="shared" si="44"/>
        <v>→ Selecione a linha e use o menu ⏱️ Ponto</v>
      </c>
      <c r="J769" s="180"/>
      <c r="K769" s="179"/>
      <c r="L769" s="119" t="str">
        <f t="shared" si="45"/>
        <v>🟢 No Evento</v>
      </c>
    </row>
    <row r="770" ht="15.75" customHeight="1">
      <c r="A770" s="13"/>
      <c r="B770" s="173" t="s">
        <v>773</v>
      </c>
      <c r="C770" s="199" t="str">
        <f t="array" ref="C770">IF(B770="","",IFERROR(INDEX('FUNCIONÁRIOS'!$B$4:$B$501,MATCH(B770,'FUNCIONÁRIOS'!$C$4:$C$501,0)),""))</f>
        <v>GO TO </v>
      </c>
      <c r="D770" s="199" t="str">
        <f t="array" ref="D770">IF(B770="","",IFERROR(INDEX('FUNCIONÁRIOS'!$D$4:$D$501,MATCH(B770,'FUNCIONÁRIOS'!$C$4:$C$501,0)),""))</f>
        <v>MONTADOR </v>
      </c>
      <c r="E770" s="199" t="str">
        <f t="array" ref="E770">IF(B770="","",IFERROR(INDEX('FUNCIONÁRIOS'!$E$4:$E$501,MATCH(B770,'FUNCIONÁRIOS'!$C$4:$C$501,0)),""))</f>
        <v>NÃO</v>
      </c>
      <c r="F770" s="138">
        <v>46169.0</v>
      </c>
      <c r="G770" s="115" t="str">
        <f t="shared" si="43"/>
        <v>✅ 09:51</v>
      </c>
      <c r="H770" s="174" t="s">
        <v>1894</v>
      </c>
      <c r="I770" s="117" t="str">
        <f t="shared" si="44"/>
        <v>→ Selecione a linha e use o menu ⏱️ Ponto</v>
      </c>
      <c r="J770" s="180"/>
      <c r="K770" s="179"/>
      <c r="L770" s="119" t="str">
        <f t="shared" si="45"/>
        <v>🟢 No Evento</v>
      </c>
    </row>
    <row r="771" ht="15.75" customHeight="1">
      <c r="A771" s="13"/>
      <c r="B771" s="173" t="s">
        <v>629</v>
      </c>
      <c r="C771" s="199" t="str">
        <f t="array" ref="C771">IF(B771="","",IFERROR(INDEX('FUNCIONÁRIOS'!$B$4:$B$501,MATCH(B771,'FUNCIONÁRIOS'!$C$4:$C$501,0)),""))</f>
        <v>STUDIO K MULTI EVENTOS LTDA </v>
      </c>
      <c r="D771" s="199" t="str">
        <f t="array" ref="D771">IF(B771="","",IFERROR(INDEX('FUNCIONÁRIOS'!$D$4:$D$501,MATCH(B771,'FUNCIONÁRIOS'!$C$4:$C$501,0)),""))</f>
        <v>TECNICO EM SONORIZAÇÃO</v>
      </c>
      <c r="E771" s="199" t="str">
        <f t="array" ref="E771">IF(B771="","",IFERROR(INDEX('FUNCIONÁRIOS'!$E$4:$E$501,MATCH(B771,'FUNCIONÁRIOS'!$C$4:$C$501,0)),""))</f>
        <v>NÃO</v>
      </c>
      <c r="F771" s="138">
        <v>46169.0</v>
      </c>
      <c r="G771" s="115" t="str">
        <f t="shared" si="43"/>
        <v>✅ 09:54</v>
      </c>
      <c r="H771" s="174" t="s">
        <v>1613</v>
      </c>
      <c r="I771" s="117" t="str">
        <f t="shared" si="44"/>
        <v>→ Selecione a linha e use o menu ⏱️ Ponto</v>
      </c>
      <c r="J771" s="180"/>
      <c r="K771" s="179"/>
      <c r="L771" s="119" t="str">
        <f t="shared" si="45"/>
        <v>🟢 No Evento</v>
      </c>
    </row>
    <row r="772" ht="15.75" customHeight="1">
      <c r="A772" s="13"/>
      <c r="B772" s="173" t="s">
        <v>647</v>
      </c>
      <c r="C772" s="199" t="str">
        <f t="array" ref="C772">IF(B772="","",IFERROR(INDEX('FUNCIONÁRIOS'!$B$4:$B$501,MATCH(B772,'FUNCIONÁRIOS'!$C$4:$C$501,0)),""))</f>
        <v>STUDIO K MULTI EVENTOS LTDA </v>
      </c>
      <c r="D772" s="199" t="str">
        <f t="array" ref="D772">IF(B772="","",IFERROR(INDEX('FUNCIONÁRIOS'!$D$4:$D$501,MATCH(B772,'FUNCIONÁRIOS'!$C$4:$C$501,0)),""))</f>
        <v>TECNICO EM SONORIZAÇÃO</v>
      </c>
      <c r="E772" s="199" t="str">
        <f t="array" ref="E772">IF(B772="","",IFERROR(INDEX('FUNCIONÁRIOS'!$E$4:$E$501,MATCH(B772,'FUNCIONÁRIOS'!$C$4:$C$501,0)),""))</f>
        <v>NÃO</v>
      </c>
      <c r="F772" s="138">
        <v>46169.0</v>
      </c>
      <c r="G772" s="115" t="str">
        <f t="shared" si="43"/>
        <v>✅ 09:55</v>
      </c>
      <c r="H772" s="174" t="s">
        <v>1824</v>
      </c>
      <c r="I772" s="117" t="str">
        <f t="shared" si="44"/>
        <v>→ Selecione a linha e use o menu ⏱️ Ponto</v>
      </c>
      <c r="J772" s="180"/>
      <c r="K772" s="179"/>
      <c r="L772" s="119" t="str">
        <f t="shared" si="45"/>
        <v>🟢 No Evento</v>
      </c>
    </row>
    <row r="773" ht="15.75" customHeight="1">
      <c r="A773" s="13"/>
      <c r="B773" s="173" t="s">
        <v>698</v>
      </c>
      <c r="C773" s="199" t="str">
        <f t="array" ref="C773">IF(B773="","",IFERROR(INDEX('FUNCIONÁRIOS'!$B$4:$B$501,MATCH(B773,'FUNCIONÁRIOS'!$C$4:$C$501,0)),""))</f>
        <v>LATINO </v>
      </c>
      <c r="D773" s="199" t="str">
        <f t="array" ref="D773">IF(B773="","",IFERROR(INDEX('FUNCIONÁRIOS'!$D$4:$D$501,MATCH(B773,'FUNCIONÁRIOS'!$C$4:$C$501,0)),""))</f>
        <v>CARREGADOR </v>
      </c>
      <c r="E773" s="199" t="str">
        <f t="array" ref="E773">IF(B773="","",IFERROR(INDEX('FUNCIONÁRIOS'!$E$4:$E$501,MATCH(B773,'FUNCIONÁRIOS'!$C$4:$C$501,0)),""))</f>
        <v>NÃO</v>
      </c>
      <c r="F773" s="138">
        <v>46169.0</v>
      </c>
      <c r="G773" s="115" t="str">
        <f t="shared" si="43"/>
        <v>✅ 09:55</v>
      </c>
      <c r="H773" s="174" t="s">
        <v>1824</v>
      </c>
      <c r="I773" s="117" t="str">
        <f t="shared" si="44"/>
        <v>✅ 18:34</v>
      </c>
      <c r="J773" s="178">
        <v>0.7736111111111111</v>
      </c>
      <c r="K773" s="179"/>
      <c r="L773" s="119" t="str">
        <f t="shared" si="45"/>
        <v>✅ Finalizado</v>
      </c>
    </row>
    <row r="774" ht="15.75" customHeight="1">
      <c r="A774" s="13"/>
      <c r="B774" s="173" t="s">
        <v>640</v>
      </c>
      <c r="C774" s="199" t="str">
        <f t="array" ref="C774">IF(B774="","",IFERROR(INDEX('FUNCIONÁRIOS'!$B$4:$B$501,MATCH(B774,'FUNCIONÁRIOS'!$C$4:$C$501,0)),""))</f>
        <v>STUDIO K MULTI EVENTOS LTDA </v>
      </c>
      <c r="D774" s="199" t="str">
        <f t="array" ref="D774">IF(B774="","",IFERROR(INDEX('FUNCIONÁRIOS'!$D$4:$D$501,MATCH(B774,'FUNCIONÁRIOS'!$C$4:$C$501,0)),""))</f>
        <v>TECNICO EM SONORIZAÇÃO</v>
      </c>
      <c r="E774" s="199" t="str">
        <f t="array" ref="E774">IF(B774="","",IFERROR(INDEX('FUNCIONÁRIOS'!$E$4:$E$501,MATCH(B774,'FUNCIONÁRIOS'!$C$4:$C$501,0)),""))</f>
        <v>NÃO</v>
      </c>
      <c r="F774" s="138">
        <v>46169.0</v>
      </c>
      <c r="G774" s="115" t="str">
        <f t="shared" si="43"/>
        <v>✅ 09:55</v>
      </c>
      <c r="H774" s="174" t="s">
        <v>1824</v>
      </c>
      <c r="I774" s="117" t="str">
        <f t="shared" si="44"/>
        <v>→ Selecione a linha e use o menu ⏱️ Ponto</v>
      </c>
      <c r="J774" s="180"/>
      <c r="K774" s="179"/>
      <c r="L774" s="119" t="str">
        <f t="shared" si="45"/>
        <v>🟢 No Evento</v>
      </c>
    </row>
    <row r="775" ht="15.75" customHeight="1">
      <c r="A775" s="13"/>
      <c r="B775" s="173" t="s">
        <v>735</v>
      </c>
      <c r="C775" s="199" t="str">
        <f t="array" ref="C775">IF(B775="","",IFERROR(INDEX('FUNCIONÁRIOS'!$B$4:$B$501,MATCH(B775,'FUNCIONÁRIOS'!$C$4:$C$501,0)),""))</f>
        <v>LATINO </v>
      </c>
      <c r="D775" s="199" t="str">
        <f t="array" ref="D775">IF(B775="","",IFERROR(INDEX('FUNCIONÁRIOS'!$D$4:$D$501,MATCH(B775,'FUNCIONÁRIOS'!$C$4:$C$501,0)),""))</f>
        <v>CARREGADOR </v>
      </c>
      <c r="E775" s="199" t="str">
        <f t="array" ref="E775">IF(B775="","",IFERROR(INDEX('FUNCIONÁRIOS'!$E$4:$E$501,MATCH(B775,'FUNCIONÁRIOS'!$C$4:$C$501,0)),""))</f>
        <v>NÃO</v>
      </c>
      <c r="F775" s="138">
        <v>46169.0</v>
      </c>
      <c r="G775" s="115" t="str">
        <f t="shared" si="43"/>
        <v>✅ 09:56</v>
      </c>
      <c r="H775" s="174" t="s">
        <v>1895</v>
      </c>
      <c r="I775" s="117" t="str">
        <f t="shared" si="44"/>
        <v>✅ 23:36</v>
      </c>
      <c r="J775" s="178">
        <v>0.9833333333333333</v>
      </c>
      <c r="K775" s="179"/>
      <c r="L775" s="119" t="str">
        <f t="shared" si="45"/>
        <v>✅ Finalizado</v>
      </c>
    </row>
    <row r="776" ht="15.75" customHeight="1">
      <c r="A776" s="13"/>
      <c r="B776" s="173" t="s">
        <v>649</v>
      </c>
      <c r="C776" s="199" t="str">
        <f t="array" ref="C776">IF(B776="","",IFERROR(INDEX('FUNCIONÁRIOS'!$B$4:$B$501,MATCH(B776,'FUNCIONÁRIOS'!$C$4:$C$501,0)),""))</f>
        <v>STUDIO K MULTI EVENTOS LTDA </v>
      </c>
      <c r="D776" s="199" t="str">
        <f t="array" ref="D776">IF(B776="","",IFERROR(INDEX('FUNCIONÁRIOS'!$D$4:$D$501,MATCH(B776,'FUNCIONÁRIOS'!$C$4:$C$501,0)),""))</f>
        <v>TECNICO EM SONORIZAÇÃO</v>
      </c>
      <c r="E776" s="199" t="str">
        <f t="array" ref="E776">IF(B776="","",IFERROR(INDEX('FUNCIONÁRIOS'!$E$4:$E$501,MATCH(B776,'FUNCIONÁRIOS'!$C$4:$C$501,0)),""))</f>
        <v>NÃO</v>
      </c>
      <c r="F776" s="138">
        <v>46169.0</v>
      </c>
      <c r="G776" s="115" t="str">
        <f t="shared" si="43"/>
        <v>✅ 09:56</v>
      </c>
      <c r="H776" s="174" t="s">
        <v>1895</v>
      </c>
      <c r="I776" s="117" t="str">
        <f t="shared" si="44"/>
        <v>→ Selecione a linha e use o menu ⏱️ Ponto</v>
      </c>
      <c r="J776" s="180"/>
      <c r="K776" s="179"/>
      <c r="L776" s="119" t="str">
        <f t="shared" si="45"/>
        <v>🟢 No Evento</v>
      </c>
    </row>
    <row r="777" ht="15.75" customHeight="1">
      <c r="A777" s="13"/>
      <c r="B777" s="173"/>
      <c r="C777" s="199" t="str">
        <f t="array" ref="C777">IF(B777="","",IFERROR(INDEX('FUNCIONÁRIOS'!$B$4:$B$501,MATCH(B777,'FUNCIONÁRIOS'!$C$4:$C$501,0)),""))</f>
        <v/>
      </c>
      <c r="D777" s="199" t="str">
        <f t="array" ref="D777">IF(B777="","",IFERROR(INDEX('FUNCIONÁRIOS'!$D$4:$D$501,MATCH(B777,'FUNCIONÁRIOS'!$C$4:$C$501,0)),""))</f>
        <v/>
      </c>
      <c r="E777" s="199" t="str">
        <f t="array" ref="E777">IF(B777="","",IFERROR(INDEX('FUNCIONÁRIOS'!$E$4:$E$501,MATCH(B777,'FUNCIONÁRIOS'!$C$4:$C$501,0)),""))</f>
        <v/>
      </c>
      <c r="F777" s="138">
        <v>46169.0</v>
      </c>
      <c r="G777" s="115" t="str">
        <f t="shared" si="43"/>
        <v>✅ 09:58</v>
      </c>
      <c r="H777" s="174" t="s">
        <v>1896</v>
      </c>
      <c r="I777" s="117" t="str">
        <f t="shared" si="44"/>
        <v>→ Selecione a linha e use o menu ⏱️ Ponto</v>
      </c>
      <c r="J777" s="180"/>
      <c r="K777" s="179"/>
      <c r="L777" s="119" t="str">
        <f t="shared" si="45"/>
        <v>🟢 No Evento</v>
      </c>
    </row>
    <row r="778" ht="15.75" customHeight="1">
      <c r="A778" s="13"/>
      <c r="B778" s="173" t="s">
        <v>122</v>
      </c>
      <c r="C778" s="199" t="str">
        <f t="array" ref="C778">IF(B778="","",IFERROR(INDEX('FUNCIONÁRIOS'!$B$4:$B$501,MATCH(B778,'FUNCIONÁRIOS'!$C$4:$C$501,0)),""))</f>
        <v>MONTE EVENTOS </v>
      </c>
      <c r="D778" s="199" t="str">
        <f t="array" ref="D778">IF(B778="","",IFERROR(INDEX('FUNCIONÁRIOS'!$D$4:$D$501,MATCH(B778,'FUNCIONÁRIOS'!$C$4:$C$501,0)),""))</f>
        <v>MONTADOR</v>
      </c>
      <c r="E778" s="199" t="str">
        <f t="array" ref="E778">IF(B778="","",IFERROR(INDEX('FUNCIONÁRIOS'!$E$4:$E$501,MATCH(B778,'FUNCIONÁRIOS'!$C$4:$C$501,0)),""))</f>
        <v>NÃO</v>
      </c>
      <c r="F778" s="138">
        <v>46169.0</v>
      </c>
      <c r="G778" s="115" t="str">
        <f t="shared" si="43"/>
        <v>✅ 09:58</v>
      </c>
      <c r="H778" s="174" t="s">
        <v>1826</v>
      </c>
      <c r="I778" s="117" t="str">
        <f t="shared" si="44"/>
        <v>✅ 19:00</v>
      </c>
      <c r="J778" s="174" t="s">
        <v>1897</v>
      </c>
      <c r="K778" s="175">
        <v>0.37638888888888883</v>
      </c>
      <c r="L778" s="119" t="str">
        <f t="shared" si="45"/>
        <v>✅ Finalizado</v>
      </c>
    </row>
    <row r="779" ht="15.75" customHeight="1">
      <c r="A779" s="13"/>
      <c r="B779" s="173" t="s">
        <v>123</v>
      </c>
      <c r="C779" s="199" t="str">
        <f t="array" ref="C779">IF(B779="","",IFERROR(INDEX('FUNCIONÁRIOS'!$B$4:$B$501,MATCH(B779,'FUNCIONÁRIOS'!$C$4:$C$501,0)),""))</f>
        <v>MONTE EVENTOS </v>
      </c>
      <c r="D779" s="199" t="str">
        <f t="array" ref="D779">IF(B779="","",IFERROR(INDEX('FUNCIONÁRIOS'!$D$4:$D$501,MATCH(B779,'FUNCIONÁRIOS'!$C$4:$C$501,0)),""))</f>
        <v>MONTADOR</v>
      </c>
      <c r="E779" s="199" t="str">
        <f t="array" ref="E779">IF(B779="","",IFERROR(INDEX('FUNCIONÁRIOS'!$E$4:$E$501,MATCH(B779,'FUNCIONÁRIOS'!$C$4:$C$501,0)),""))</f>
        <v>NÃO</v>
      </c>
      <c r="F779" s="138">
        <v>46169.0</v>
      </c>
      <c r="G779" s="115" t="str">
        <f t="shared" si="43"/>
        <v>✅ 10:34</v>
      </c>
      <c r="H779" s="174" t="s">
        <v>1898</v>
      </c>
      <c r="I779" s="117" t="str">
        <f t="shared" si="44"/>
        <v>→ Selecione a linha e use o menu ⏱️ Ponto</v>
      </c>
      <c r="J779" s="180"/>
      <c r="K779" s="179"/>
      <c r="L779" s="119" t="str">
        <f t="shared" si="45"/>
        <v>🟢 No Evento</v>
      </c>
    </row>
    <row r="780" ht="15.75" customHeight="1">
      <c r="A780" s="13"/>
      <c r="B780" s="173" t="s">
        <v>617</v>
      </c>
      <c r="C780" s="199" t="str">
        <f t="array" ref="C780">IF(B780="","",IFERROR(INDEX('FUNCIONÁRIOS'!$B$4:$B$501,MATCH(B780,'FUNCIONÁRIOS'!$C$4:$C$501,0)),""))</f>
        <v>STUDIO K MULTI EVENTOS LTDA </v>
      </c>
      <c r="D780" s="199" t="str">
        <f t="array" ref="D780">IF(B780="","",IFERROR(INDEX('FUNCIONÁRIOS'!$D$4:$D$501,MATCH(B780,'FUNCIONÁRIOS'!$C$4:$C$501,0)),""))</f>
        <v>PRODUTOR TECNICO</v>
      </c>
      <c r="E780" s="199" t="str">
        <f t="array" ref="E780">IF(B780="","",IFERROR(INDEX('FUNCIONÁRIOS'!$E$4:$E$501,MATCH(B780,'FUNCIONÁRIOS'!$C$4:$C$501,0)),""))</f>
        <v>NÃO</v>
      </c>
      <c r="F780" s="138">
        <v>46169.0</v>
      </c>
      <c r="G780" s="115" t="str">
        <f t="shared" si="43"/>
        <v>✅ 10:06</v>
      </c>
      <c r="H780" s="174" t="s">
        <v>1704</v>
      </c>
      <c r="I780" s="117" t="str">
        <f t="shared" si="44"/>
        <v>→ Selecione a linha e use o menu ⏱️ Ponto</v>
      </c>
      <c r="J780" s="180"/>
      <c r="K780" s="179"/>
      <c r="L780" s="119" t="str">
        <f t="shared" si="45"/>
        <v>🟢 No Evento</v>
      </c>
    </row>
    <row r="781" ht="15.75" customHeight="1">
      <c r="A781" s="13"/>
      <c r="B781" s="187" t="s">
        <v>636</v>
      </c>
      <c r="C781" s="199" t="str">
        <f t="array" ref="C781">IF(B781="","",IFERROR(INDEX('FUNCIONÁRIOS'!$B$4:$B$501,MATCH(B781,'FUNCIONÁRIOS'!$C$4:$C$501,0)),""))</f>
        <v>STUDIO K MULTI EVENTOS LTDA </v>
      </c>
      <c r="D781" s="199" t="str">
        <f t="array" ref="D781">IF(B781="","",IFERROR(INDEX('FUNCIONÁRIOS'!$D$4:$D$501,MATCH(B781,'FUNCIONÁRIOS'!$C$4:$C$501,0)),""))</f>
        <v>CONTRA-REGRA</v>
      </c>
      <c r="E781" s="199" t="str">
        <f t="array" ref="E781">IF(B781="","",IFERROR(INDEX('FUNCIONÁRIOS'!$E$4:$E$501,MATCH(B781,'FUNCIONÁRIOS'!$C$4:$C$501,0)),""))</f>
        <v>NÃO</v>
      </c>
      <c r="F781" s="138">
        <v>46169.0</v>
      </c>
      <c r="G781" s="115" t="str">
        <f t="shared" si="43"/>
        <v>✅ 10/;07</v>
      </c>
      <c r="H781" s="174" t="s">
        <v>1899</v>
      </c>
      <c r="I781" s="117" t="str">
        <f t="shared" si="44"/>
        <v>→ Selecione a linha e use o menu ⏱️ Ponto</v>
      </c>
      <c r="J781" s="180"/>
      <c r="K781" s="179"/>
      <c r="L781" s="119" t="str">
        <f t="shared" si="45"/>
        <v>🟢 No Evento</v>
      </c>
    </row>
    <row r="782" ht="15.75" customHeight="1">
      <c r="A782" s="13"/>
      <c r="B782" s="221"/>
      <c r="C782" s="206" t="str">
        <f t="array" ref="C782">IF(B782="","",IFERROR(INDEX('FUNCIONÁRIOS'!$B$4:$B$501,MATCH(B782,'FUNCIONÁRIOS'!$C$4:$C$501,0)),""))</f>
        <v/>
      </c>
      <c r="D782" s="199" t="str">
        <f t="array" ref="D782">IF(B782="","",IFERROR(INDEX('FUNCIONÁRIOS'!$D$4:$D$501,MATCH(B782,'FUNCIONÁRIOS'!$C$4:$C$501,0)),""))</f>
        <v/>
      </c>
      <c r="E782" s="199" t="str">
        <f t="array" ref="E782">IF(B782="","",IFERROR(INDEX('FUNCIONÁRIOS'!$E$4:$E$501,MATCH(B782,'FUNCIONÁRIOS'!$C$4:$C$501,0)),""))</f>
        <v/>
      </c>
      <c r="F782" s="138">
        <v>46169.0</v>
      </c>
      <c r="G782" s="115" t="str">
        <f t="shared" si="43"/>
        <v>→ Selecione a linha e use o menu ⏱️ Ponto</v>
      </c>
      <c r="H782" s="174"/>
      <c r="I782" s="117" t="str">
        <f t="shared" si="44"/>
        <v>→ Selecione a linha e use o menu ⏱️ Ponto</v>
      </c>
      <c r="J782" s="180"/>
      <c r="K782" s="179"/>
      <c r="L782" s="119" t="str">
        <f t="shared" si="45"/>
        <v/>
      </c>
    </row>
    <row r="783" ht="15.75" customHeight="1">
      <c r="A783" s="13"/>
      <c r="B783" s="222" t="s">
        <v>713</v>
      </c>
      <c r="C783" s="199" t="str">
        <f t="array" ref="C783">IF(B783="","",IFERROR(INDEX('FUNCIONÁRIOS'!$B$4:$B$501,MATCH(B783,'FUNCIONÁRIOS'!$C$4:$C$501,0)),""))</f>
        <v>LATINO </v>
      </c>
      <c r="D783" s="199" t="str">
        <f t="array" ref="D783">IF(B783="","",IFERROR(INDEX('FUNCIONÁRIOS'!$D$4:$D$501,MATCH(B783,'FUNCIONÁRIOS'!$C$4:$C$501,0)),""))</f>
        <v>CARREGADOR </v>
      </c>
      <c r="E783" s="199" t="str">
        <f t="array" ref="E783">IF(B783="","",IFERROR(INDEX('FUNCIONÁRIOS'!$E$4:$E$501,MATCH(B783,'FUNCIONÁRIOS'!$C$4:$C$501,0)),""))</f>
        <v>NÃO</v>
      </c>
      <c r="F783" s="138">
        <v>46169.0</v>
      </c>
      <c r="G783" s="115" t="str">
        <f t="shared" si="43"/>
        <v>✅ 10:12</v>
      </c>
      <c r="H783" s="174" t="s">
        <v>1830</v>
      </c>
      <c r="I783" s="117" t="str">
        <f t="shared" si="44"/>
        <v>✅ 18:36</v>
      </c>
      <c r="J783" s="174" t="s">
        <v>1889</v>
      </c>
      <c r="K783" s="175">
        <v>0.35000000000000003</v>
      </c>
      <c r="L783" s="119" t="str">
        <f t="shared" si="45"/>
        <v>✅ Finalizado</v>
      </c>
    </row>
    <row r="784" ht="15.75" customHeight="1">
      <c r="A784" s="13"/>
      <c r="B784" s="173" t="s">
        <v>712</v>
      </c>
      <c r="C784" s="199" t="str">
        <f t="array" ref="C784">IF(B784="","",IFERROR(INDEX('FUNCIONÁRIOS'!$B$4:$B$501,MATCH(B784,'FUNCIONÁRIOS'!$C$4:$C$501,0)),""))</f>
        <v>LATINO </v>
      </c>
      <c r="D784" s="199" t="str">
        <f t="array" ref="D784">IF(B784="","",IFERROR(INDEX('FUNCIONÁRIOS'!$D$4:$D$501,MATCH(B784,'FUNCIONÁRIOS'!$C$4:$C$501,0)),""))</f>
        <v>MONTADOR </v>
      </c>
      <c r="E784" s="199" t="str">
        <f t="array" ref="E784">IF(B784="","",IFERROR(INDEX('FUNCIONÁRIOS'!$E$4:$E$501,MATCH(B784,'FUNCIONÁRIOS'!$C$4:$C$501,0)),""))</f>
        <v>NÃO</v>
      </c>
      <c r="F784" s="138">
        <v>46169.0</v>
      </c>
      <c r="G784" s="115" t="str">
        <f t="shared" si="43"/>
        <v>✅ 10:11</v>
      </c>
      <c r="H784" s="174" t="s">
        <v>1900</v>
      </c>
      <c r="I784" s="117" t="str">
        <f t="shared" si="44"/>
        <v>✅ 18:37</v>
      </c>
      <c r="J784" s="174" t="s">
        <v>1901</v>
      </c>
      <c r="K784" s="175">
        <v>0.3513888888888889</v>
      </c>
      <c r="L784" s="119" t="str">
        <f t="shared" si="45"/>
        <v>✅ Finalizado</v>
      </c>
    </row>
    <row r="785" ht="15.75" customHeight="1">
      <c r="A785" s="13"/>
      <c r="B785" s="173" t="s">
        <v>159</v>
      </c>
      <c r="C785" s="199" t="str">
        <f t="array" ref="C785">IF(B785="","",IFERROR(INDEX('FUNCIONÁRIOS'!$B$4:$B$501,MATCH(B785,'FUNCIONÁRIOS'!$C$4:$C$501,0)),""))</f>
        <v>NLEDS LOCAÇÃO - PAINEIS DE LED </v>
      </c>
      <c r="D785" s="199" t="str">
        <f t="array" ref="D785">IF(B785="","",IFERROR(INDEX('FUNCIONÁRIOS'!$D$4:$D$501,MATCH(B785,'FUNCIONÁRIOS'!$C$4:$C$501,0)),""))</f>
        <v>AUXILIAR DE MONTAGEM DE PAINÉIS DE LED</v>
      </c>
      <c r="E785" s="199" t="str">
        <f t="array" ref="E785">IF(B785="","",IFERROR(INDEX('FUNCIONÁRIOS'!$E$4:$E$501,MATCH(B785,'FUNCIONÁRIOS'!$C$4:$C$501,0)),""))</f>
        <v>NÃO</v>
      </c>
      <c r="F785" s="138">
        <v>46169.0</v>
      </c>
      <c r="G785" s="115" t="str">
        <f t="shared" si="43"/>
        <v>✅ 10:13</v>
      </c>
      <c r="H785" s="174" t="s">
        <v>1902</v>
      </c>
      <c r="I785" s="117" t="str">
        <f t="shared" si="44"/>
        <v>→ Selecione a linha e use o menu ⏱️ Ponto</v>
      </c>
      <c r="J785" s="180"/>
      <c r="K785" s="179"/>
      <c r="L785" s="119" t="str">
        <f t="shared" si="45"/>
        <v>🟢 No Evento</v>
      </c>
    </row>
    <row r="786" ht="15.75" customHeight="1">
      <c r="A786" s="13"/>
      <c r="B786" s="173" t="s">
        <v>732</v>
      </c>
      <c r="C786" s="199" t="str">
        <f t="array" ref="C786">IF(B786="","",IFERROR(INDEX('FUNCIONÁRIOS'!$B$4:$B$501,MATCH(B786,'FUNCIONÁRIOS'!$C$4:$C$501,0)),""))</f>
        <v>LATINO </v>
      </c>
      <c r="D786" s="199" t="str">
        <f t="array" ref="D786">IF(B786="","",IFERROR(INDEX('FUNCIONÁRIOS'!$D$4:$D$501,MATCH(B786,'FUNCIONÁRIOS'!$C$4:$C$501,0)),""))</f>
        <v>CARREGADOR </v>
      </c>
      <c r="E786" s="199" t="str">
        <f t="array" ref="E786">IF(B786="","",IFERROR(INDEX('FUNCIONÁRIOS'!$E$4:$E$501,MATCH(B786,'FUNCIONÁRIOS'!$C$4:$C$501,0)),""))</f>
        <v>NÃO</v>
      </c>
      <c r="F786" s="138">
        <v>46169.0</v>
      </c>
      <c r="G786" s="115" t="str">
        <f t="shared" si="43"/>
        <v>✅ 10:13</v>
      </c>
      <c r="H786" s="174" t="s">
        <v>1902</v>
      </c>
      <c r="I786" s="117" t="str">
        <f t="shared" si="44"/>
        <v>✅ 18:37</v>
      </c>
      <c r="J786" s="174" t="s">
        <v>1901</v>
      </c>
      <c r="K786" s="175">
        <v>0.35000000000000003</v>
      </c>
      <c r="L786" s="119" t="str">
        <f t="shared" si="45"/>
        <v>✅ Finalizado</v>
      </c>
    </row>
    <row r="787" ht="15.75" customHeight="1">
      <c r="A787" s="13"/>
      <c r="B787" s="173" t="s">
        <v>730</v>
      </c>
      <c r="C787" s="199" t="str">
        <f t="array" ref="C787">IF(B787="","",IFERROR(INDEX('FUNCIONÁRIOS'!$B$4:$B$501,MATCH(B787,'FUNCIONÁRIOS'!$C$4:$C$501,0)),""))</f>
        <v>FABINHO EVENTOS </v>
      </c>
      <c r="D787" s="199" t="str">
        <f t="array" ref="D787">IF(B787="","",IFERROR(INDEX('FUNCIONÁRIOS'!$D$4:$D$501,MATCH(B787,'FUNCIONÁRIOS'!$C$4:$C$501,0)),""))</f>
        <v>MONTADOR DE BAR </v>
      </c>
      <c r="E787" s="199" t="str">
        <f t="array" ref="E787">IF(B787="","",IFERROR(INDEX('FUNCIONÁRIOS'!$E$4:$E$501,MATCH(B787,'FUNCIONÁRIOS'!$C$4:$C$501,0)),""))</f>
        <v>NÃO</v>
      </c>
      <c r="F787" s="138">
        <v>46169.0</v>
      </c>
      <c r="G787" s="115" t="str">
        <f t="shared" si="43"/>
        <v>✅ 10:13</v>
      </c>
      <c r="H787" s="174" t="s">
        <v>1902</v>
      </c>
      <c r="I787" s="117" t="str">
        <f t="shared" si="44"/>
        <v>✅ 18:38</v>
      </c>
      <c r="J787" s="174" t="s">
        <v>1903</v>
      </c>
      <c r="K787" s="175">
        <v>0.3506944444444445</v>
      </c>
      <c r="L787" s="119" t="str">
        <f t="shared" si="45"/>
        <v>✅ Finalizado</v>
      </c>
    </row>
    <row r="788" ht="15.75" customHeight="1">
      <c r="A788" s="13"/>
      <c r="B788" s="173"/>
      <c r="C788" s="199" t="str">
        <f t="array" ref="C788">IF(B788="","",IFERROR(INDEX('FUNCIONÁRIOS'!$B$4:$B$501,MATCH(B788,'FUNCIONÁRIOS'!$C$4:$C$501,0)),""))</f>
        <v/>
      </c>
      <c r="D788" s="199" t="str">
        <f t="array" ref="D788">IF(B788="","",IFERROR(INDEX('FUNCIONÁRIOS'!$D$4:$D$501,MATCH(B788,'FUNCIONÁRIOS'!$C$4:$C$501,0)),""))</f>
        <v/>
      </c>
      <c r="E788" s="199" t="str">
        <f t="array" ref="E788">IF(B788="","",IFERROR(INDEX('FUNCIONÁRIOS'!$E$4:$E$501,MATCH(B788,'FUNCIONÁRIOS'!$C$4:$C$501,0)),""))</f>
        <v/>
      </c>
      <c r="F788" s="138">
        <v>46169.0</v>
      </c>
      <c r="G788" s="115" t="str">
        <f t="shared" si="43"/>
        <v>→ Selecione a linha e use o menu ⏱️ Ponto</v>
      </c>
      <c r="H788" s="174"/>
      <c r="I788" s="117" t="str">
        <f t="shared" si="44"/>
        <v>→ Selecione a linha e use o menu ⏱️ Ponto</v>
      </c>
      <c r="J788" s="180"/>
      <c r="K788" s="179"/>
      <c r="L788" s="119" t="str">
        <f t="shared" si="45"/>
        <v/>
      </c>
    </row>
    <row r="789" ht="15.75" customHeight="1">
      <c r="A789" s="13"/>
      <c r="B789" s="173" t="s">
        <v>155</v>
      </c>
      <c r="C789" s="199" t="str">
        <f t="array" ref="C789">IF(B789="","",IFERROR(INDEX('FUNCIONÁRIOS'!$B$4:$B$501,MATCH(B789,'FUNCIONÁRIOS'!$C$4:$C$501,0)),""))</f>
        <v>NLEDS LOCAÇÃO - PAINEIS DE LED </v>
      </c>
      <c r="D789" s="199" t="str">
        <f t="array" ref="D789">IF(B789="","",IFERROR(INDEX('FUNCIONÁRIOS'!$D$4:$D$501,MATCH(B789,'FUNCIONÁRIOS'!$C$4:$C$501,0)),""))</f>
        <v>AUXILIAR DE MONTAGEM DE PAINÉIS DE LED</v>
      </c>
      <c r="E789" s="199" t="str">
        <f t="array" ref="E789">IF(B789="","",IFERROR(INDEX('FUNCIONÁRIOS'!$E$4:$E$501,MATCH(B789,'FUNCIONÁRIOS'!$C$4:$C$501,0)),""))</f>
        <v>NÃO</v>
      </c>
      <c r="F789" s="138">
        <v>46169.0</v>
      </c>
      <c r="G789" s="115" t="str">
        <f t="shared" si="43"/>
        <v>✅ 10:14</v>
      </c>
      <c r="H789" s="174" t="s">
        <v>1831</v>
      </c>
      <c r="I789" s="117" t="str">
        <f t="shared" si="44"/>
        <v>→ Selecione a linha e use o menu ⏱️ Ponto</v>
      </c>
      <c r="J789" s="180"/>
      <c r="K789" s="179"/>
      <c r="L789" s="119" t="str">
        <f t="shared" si="45"/>
        <v>🟢 No Evento</v>
      </c>
    </row>
    <row r="790" ht="15.75" customHeight="1">
      <c r="A790" s="13"/>
      <c r="B790" s="173" t="s">
        <v>627</v>
      </c>
      <c r="C790" s="199" t="str">
        <f t="array" ref="C790">IF(B790="","",IFERROR(INDEX('FUNCIONÁRIOS'!$B$4:$B$501,MATCH(B790,'FUNCIONÁRIOS'!$C$4:$C$501,0)),""))</f>
        <v>STUDIO K MULTI EVENTOS LTDA </v>
      </c>
      <c r="D790" s="199" t="str">
        <f t="array" ref="D790">IF(B790="","",IFERROR(INDEX('FUNCIONÁRIOS'!$D$4:$D$501,MATCH(B790,'FUNCIONÁRIOS'!$C$4:$C$501,0)),""))</f>
        <v>TECNICO EM SONORIZAÇÃO</v>
      </c>
      <c r="E790" s="199" t="str">
        <f t="array" ref="E790">IF(B790="","",IFERROR(INDEX('FUNCIONÁRIOS'!$E$4:$E$501,MATCH(B790,'FUNCIONÁRIOS'!$C$4:$C$501,0)),""))</f>
        <v>NÃO</v>
      </c>
      <c r="F790" s="138">
        <v>46169.0</v>
      </c>
      <c r="G790" s="115" t="str">
        <f t="shared" si="43"/>
        <v>✅ 10:14</v>
      </c>
      <c r="H790" s="174" t="s">
        <v>1831</v>
      </c>
      <c r="I790" s="117" t="str">
        <f t="shared" si="44"/>
        <v>→ Selecione a linha e use o menu ⏱️ Ponto</v>
      </c>
      <c r="J790" s="180"/>
      <c r="K790" s="179"/>
      <c r="L790" s="119" t="str">
        <f t="shared" si="45"/>
        <v>🟢 No Evento</v>
      </c>
    </row>
    <row r="791" ht="15.75" customHeight="1">
      <c r="A791" s="13"/>
      <c r="B791" s="173" t="s">
        <v>633</v>
      </c>
      <c r="C791" s="199" t="str">
        <f t="array" ref="C791">IF(B791="","",IFERROR(INDEX('FUNCIONÁRIOS'!$B$4:$B$501,MATCH(B791,'FUNCIONÁRIOS'!$C$4:$C$501,0)),""))</f>
        <v>STUDIO K MULTI EVENTOS LTDA </v>
      </c>
      <c r="D791" s="199" t="str">
        <f t="array" ref="D791">IF(B791="","",IFERROR(INDEX('FUNCIONÁRIOS'!$D$4:$D$501,MATCH(B791,'FUNCIONÁRIOS'!$C$4:$C$501,0)),""))</f>
        <v>CONTRA-REGRA</v>
      </c>
      <c r="E791" s="199" t="str">
        <f t="array" ref="E791">IF(B791="","",IFERROR(INDEX('FUNCIONÁRIOS'!$E$4:$E$501,MATCH(B791,'FUNCIONÁRIOS'!$C$4:$C$501,0)),""))</f>
        <v>NÃO</v>
      </c>
      <c r="F791" s="138">
        <v>46169.0</v>
      </c>
      <c r="G791" s="115" t="str">
        <f t="shared" si="43"/>
        <v>✅ 10:19</v>
      </c>
      <c r="H791" s="174" t="s">
        <v>1707</v>
      </c>
      <c r="I791" s="117" t="str">
        <f t="shared" si="44"/>
        <v>→ Selecione a linha e use o menu ⏱️ Ponto</v>
      </c>
      <c r="J791" s="180"/>
      <c r="K791" s="179"/>
      <c r="L791" s="119" t="str">
        <f t="shared" si="45"/>
        <v>🟢 No Evento</v>
      </c>
    </row>
    <row r="792" ht="15.75" customHeight="1">
      <c r="A792" s="13"/>
      <c r="B792" s="173" t="s">
        <v>625</v>
      </c>
      <c r="C792" s="199" t="str">
        <f t="array" ref="C792">IF(B792="","",IFERROR(INDEX('FUNCIONÁRIOS'!$B$4:$B$501,MATCH(B792,'FUNCIONÁRIOS'!$C$4:$C$501,0)),""))</f>
        <v>STUDIO K MULTI EVENTOS LTDA </v>
      </c>
      <c r="D792" s="199" t="str">
        <f t="array" ref="D792">IF(B792="","",IFERROR(INDEX('FUNCIONÁRIOS'!$D$4:$D$501,MATCH(B792,'FUNCIONÁRIOS'!$C$4:$C$501,0)),""))</f>
        <v>TECNICO EM SONORIZAÇÃO</v>
      </c>
      <c r="E792" s="199" t="str">
        <f t="array" ref="E792">IF(B792="","",IFERROR(INDEX('FUNCIONÁRIOS'!$E$4:$E$501,MATCH(B792,'FUNCIONÁRIOS'!$C$4:$C$501,0)),""))</f>
        <v>NÃO</v>
      </c>
      <c r="F792" s="138">
        <v>46169.0</v>
      </c>
      <c r="G792" s="115" t="str">
        <f t="shared" si="43"/>
        <v>✅ 10:34</v>
      </c>
      <c r="H792" s="174" t="s">
        <v>1898</v>
      </c>
      <c r="I792" s="117" t="str">
        <f t="shared" si="44"/>
        <v>→ Selecione a linha e use o menu ⏱️ Ponto</v>
      </c>
      <c r="J792" s="180"/>
      <c r="K792" s="179"/>
      <c r="L792" s="119" t="str">
        <f t="shared" si="45"/>
        <v>🟢 No Evento</v>
      </c>
    </row>
    <row r="793" ht="15.75" customHeight="1">
      <c r="A793" s="13"/>
      <c r="B793" s="173" t="s">
        <v>249</v>
      </c>
      <c r="C793" s="199" t="str">
        <f t="array" ref="C793">IF(B793="","",IFERROR(INDEX('FUNCIONÁRIOS'!$B$4:$B$501,MATCH(B793,'FUNCIONÁRIOS'!$C$4:$C$501,0)),""))</f>
        <v>REISFORT</v>
      </c>
      <c r="D793" s="199" t="str">
        <f t="array" ref="D793">IF(B793="","",IFERROR(INDEX('FUNCIONÁRIOS'!$D$4:$D$501,MATCH(B793,'FUNCIONÁRIOS'!$C$4:$C$501,0)),""))</f>
        <v>MOTORISTA </v>
      </c>
      <c r="E793" s="199" t="str">
        <f t="array" ref="E793">IF(B793="","",IFERROR(INDEX('FUNCIONÁRIOS'!$E$4:$E$501,MATCH(B793,'FUNCIONÁRIOS'!$C$4:$C$501,0)),""))</f>
        <v>NÃO</v>
      </c>
      <c r="F793" s="138">
        <v>46169.0</v>
      </c>
      <c r="G793" s="115" t="str">
        <f t="shared" si="43"/>
        <v>✅ 10:26</v>
      </c>
      <c r="H793" s="174" t="s">
        <v>1904</v>
      </c>
      <c r="I793" s="117" t="str">
        <f t="shared" si="44"/>
        <v>→ Selecione a linha e use o menu ⏱️ Ponto</v>
      </c>
      <c r="J793" s="180"/>
      <c r="K793" s="179"/>
      <c r="L793" s="119" t="str">
        <f t="shared" si="45"/>
        <v>🟢 No Evento</v>
      </c>
    </row>
    <row r="794" ht="15.75" customHeight="1">
      <c r="A794" s="13"/>
      <c r="B794" s="173" t="s">
        <v>453</v>
      </c>
      <c r="C794" s="199" t="str">
        <f t="array" ref="C794">IF(B794="","",IFERROR(INDEX('FUNCIONÁRIOS'!$B$4:$B$501,MATCH(B794,'FUNCIONÁRIOS'!$C$4:$C$501,0)),""))</f>
        <v>GYN EVENTS</v>
      </c>
      <c r="D794" s="199" t="str">
        <f t="array" ref="D794">IF(B794="","",IFERROR(INDEX('FUNCIONÁRIOS'!$D$4:$D$501,MATCH(B794,'FUNCIONÁRIOS'!$C$4:$C$501,0)),""))</f>
        <v>Carregador</v>
      </c>
      <c r="E794" s="199" t="str">
        <f t="array" ref="E794">IF(B794="","",IFERROR(INDEX('FUNCIONÁRIOS'!$E$4:$E$501,MATCH(B794,'FUNCIONÁRIOS'!$C$4:$C$501,0)),""))</f>
        <v>SIM</v>
      </c>
      <c r="F794" s="138">
        <v>46169.0</v>
      </c>
      <c r="G794" s="115" t="str">
        <f t="shared" si="43"/>
        <v>✅ 10:26</v>
      </c>
      <c r="H794" s="174" t="s">
        <v>1904</v>
      </c>
      <c r="I794" s="117" t="str">
        <f t="shared" si="44"/>
        <v>✅ 18:36</v>
      </c>
      <c r="J794" s="174" t="s">
        <v>1889</v>
      </c>
      <c r="K794" s="175">
        <v>0.3402777777777778</v>
      </c>
      <c r="L794" s="119" t="str">
        <f t="shared" si="45"/>
        <v>✅ Finalizado</v>
      </c>
    </row>
    <row r="795" ht="15.75" customHeight="1">
      <c r="A795" s="13"/>
      <c r="B795" s="173" t="s">
        <v>243</v>
      </c>
      <c r="C795" s="199" t="str">
        <f t="array" ref="C795">IF(B795="","",IFERROR(INDEX('FUNCIONÁRIOS'!$B$4:$B$501,MATCH(B795,'FUNCIONÁRIOS'!$C$4:$C$501,0)),""))</f>
        <v>REISFORT</v>
      </c>
      <c r="D795" s="199" t="str">
        <f t="array" ref="D795">IF(B795="","",IFERROR(INDEX('FUNCIONÁRIOS'!$D$4:$D$501,MATCH(B795,'FUNCIONÁRIOS'!$C$4:$C$501,0)),""))</f>
        <v>MONTADOR </v>
      </c>
      <c r="E795" s="199" t="str">
        <f t="array" ref="E795">IF(B795="","",IFERROR(INDEX('FUNCIONÁRIOS'!$E$4:$E$501,MATCH(B795,'FUNCIONÁRIOS'!$C$4:$C$501,0)),""))</f>
        <v>NÃO</v>
      </c>
      <c r="F795" s="138">
        <v>46169.0</v>
      </c>
      <c r="G795" s="115" t="str">
        <f t="shared" si="43"/>
        <v>✅ 10:26</v>
      </c>
      <c r="H795" s="174" t="s">
        <v>1904</v>
      </c>
      <c r="I795" s="117" t="str">
        <f t="shared" si="44"/>
        <v>→ Selecione a linha e use o menu ⏱️ Ponto</v>
      </c>
      <c r="J795" s="180"/>
      <c r="K795" s="179"/>
      <c r="L795" s="119" t="str">
        <f t="shared" si="45"/>
        <v>🟢 No Evento</v>
      </c>
    </row>
    <row r="796" ht="15.75" customHeight="1">
      <c r="A796" s="13"/>
      <c r="B796" s="173" t="s">
        <v>240</v>
      </c>
      <c r="C796" s="199" t="str">
        <f t="array" ref="C796">IF(B796="","",IFERROR(INDEX('FUNCIONÁRIOS'!$B$4:$B$501,MATCH(B796,'FUNCIONÁRIOS'!$C$4:$C$501,0)),""))</f>
        <v>REISFORT</v>
      </c>
      <c r="D796" s="199" t="str">
        <f t="array" ref="D796">IF(B796="","",IFERROR(INDEX('FUNCIONÁRIOS'!$D$4:$D$501,MATCH(B796,'FUNCIONÁRIOS'!$C$4:$C$501,0)),""))</f>
        <v>MONTADOR </v>
      </c>
      <c r="E796" s="199" t="str">
        <f t="array" ref="E796">IF(B796="","",IFERROR(INDEX('FUNCIONÁRIOS'!$E$4:$E$501,MATCH(B796,'FUNCIONÁRIOS'!$C$4:$C$501,0)),""))</f>
        <v>NÃO</v>
      </c>
      <c r="F796" s="138">
        <v>46169.0</v>
      </c>
      <c r="G796" s="115" t="str">
        <f t="shared" si="43"/>
        <v>✅ 10:27</v>
      </c>
      <c r="H796" s="174" t="s">
        <v>1905</v>
      </c>
      <c r="I796" s="117" t="str">
        <f t="shared" si="44"/>
        <v>→ Selecione a linha e use o menu ⏱️ Ponto</v>
      </c>
      <c r="J796" s="180"/>
      <c r="K796" s="179"/>
      <c r="L796" s="119" t="str">
        <f t="shared" si="45"/>
        <v>🟢 No Evento</v>
      </c>
    </row>
    <row r="797" ht="15.75" customHeight="1">
      <c r="A797" s="13"/>
      <c r="B797" s="173" t="s">
        <v>654</v>
      </c>
      <c r="C797" s="199" t="str">
        <f t="array" ref="C797">IF(B797="","",IFERROR(INDEX('FUNCIONÁRIOS'!$B$4:$B$501,MATCH(B797,'FUNCIONÁRIOS'!$C$4:$C$501,0)),""))</f>
        <v>STUDIO K MULTI EVENTOS LTDA </v>
      </c>
      <c r="D797" s="199" t="str">
        <f t="array" ref="D797">IF(B797="","",IFERROR(INDEX('FUNCIONÁRIOS'!$D$4:$D$501,MATCH(B797,'FUNCIONÁRIOS'!$C$4:$C$501,0)),""))</f>
        <v>TECNICO EM SONORIZAÇÃO</v>
      </c>
      <c r="E797" s="199" t="str">
        <f t="array" ref="E797">IF(B797="","",IFERROR(INDEX('FUNCIONÁRIOS'!$E$4:$E$501,MATCH(B797,'FUNCIONÁRIOS'!$C$4:$C$501,0)),""))</f>
        <v>NÃO</v>
      </c>
      <c r="F797" s="138">
        <v>46169.0</v>
      </c>
      <c r="G797" s="115" t="str">
        <f t="shared" si="43"/>
        <v>→ Selecione a linha e use o menu ⏱️ Ponto</v>
      </c>
      <c r="H797" s="174"/>
      <c r="I797" s="117" t="str">
        <f t="shared" si="44"/>
        <v>→ Selecione a linha e use o menu ⏱️ Ponto</v>
      </c>
      <c r="J797" s="180"/>
      <c r="K797" s="179"/>
      <c r="L797" s="119" t="str">
        <f t="shared" si="45"/>
        <v>⏳ Não entrou</v>
      </c>
    </row>
    <row r="798" ht="15.75" customHeight="1">
      <c r="A798" s="13"/>
      <c r="B798" s="173" t="s">
        <v>726</v>
      </c>
      <c r="C798" s="199" t="str">
        <f t="array" ref="C798">IF(B798="","",IFERROR(INDEX('FUNCIONÁRIOS'!$B$4:$B$501,MATCH(B798,'FUNCIONÁRIOS'!$C$4:$C$501,0)),""))</f>
        <v>LINQ </v>
      </c>
      <c r="D798" s="199" t="str">
        <f t="array" ref="D798">IF(B798="","",IFERROR(INDEX('FUNCIONÁRIOS'!$D$4:$D$501,MATCH(B798,'FUNCIONÁRIOS'!$C$4:$C$501,0)),""))</f>
        <v>AUXILIAR DE TECNICO </v>
      </c>
      <c r="E798" s="199" t="str">
        <f t="array" ref="E798">IF(B798="","",IFERROR(INDEX('FUNCIONÁRIOS'!$E$4:$E$501,MATCH(B798,'FUNCIONÁRIOS'!$C$4:$C$501,0)),""))</f>
        <v>NÃO</v>
      </c>
      <c r="F798" s="138">
        <v>46169.0</v>
      </c>
      <c r="G798" s="115" t="str">
        <f t="shared" si="43"/>
        <v>✅ 10:32</v>
      </c>
      <c r="H798" s="174" t="s">
        <v>1906</v>
      </c>
      <c r="I798" s="117" t="str">
        <f t="shared" si="44"/>
        <v>→ Selecione a linha e use o menu ⏱️ Ponto</v>
      </c>
      <c r="J798" s="180"/>
      <c r="K798" s="179"/>
      <c r="L798" s="119" t="str">
        <f t="shared" si="45"/>
        <v>🟢 No Evento</v>
      </c>
    </row>
    <row r="799" ht="15.75" customHeight="1">
      <c r="A799" s="13"/>
      <c r="B799" s="173" t="s">
        <v>210</v>
      </c>
      <c r="C799" s="199" t="str">
        <f t="array" ref="C799">IF(B799="","",IFERROR(INDEX('FUNCIONÁRIOS'!$B$4:$B$501,MATCH(B799,'FUNCIONÁRIOS'!$C$4:$C$501,0)),""))</f>
        <v>LINQ </v>
      </c>
      <c r="D799" s="199" t="str">
        <f t="array" ref="D799">IF(B799="","",IFERROR(INDEX('FUNCIONÁRIOS'!$D$4:$D$501,MATCH(B799,'FUNCIONÁRIOS'!$C$4:$C$501,0)),""))</f>
        <v>SUPERVISOR DE LANÇAMENTO</v>
      </c>
      <c r="E799" s="199" t="str">
        <f t="array" ref="E799">IF(B799="","",IFERROR(INDEX('FUNCIONÁRIOS'!$E$4:$E$501,MATCH(B799,'FUNCIONÁRIOS'!$C$4:$C$501,0)),""))</f>
        <v>SIM</v>
      </c>
      <c r="F799" s="138">
        <v>46169.0</v>
      </c>
      <c r="G799" s="115" t="str">
        <f t="shared" si="43"/>
        <v>✅ 10:33</v>
      </c>
      <c r="H799" s="174" t="s">
        <v>1907</v>
      </c>
      <c r="I799" s="117" t="str">
        <f t="shared" si="44"/>
        <v>→ Selecione a linha e use o menu ⏱️ Ponto</v>
      </c>
      <c r="J799" s="180"/>
      <c r="K799" s="179"/>
      <c r="L799" s="119" t="str">
        <f t="shared" si="45"/>
        <v>🟢 No Evento</v>
      </c>
    </row>
    <row r="800" ht="15.75" customHeight="1">
      <c r="A800" s="13"/>
      <c r="B800" s="173" t="s">
        <v>145</v>
      </c>
      <c r="C800" s="199" t="str">
        <f t="array" ref="C800">IF(B800="","",IFERROR(INDEX('FUNCIONÁRIOS'!$B$4:$B$501,MATCH(B800,'FUNCIONÁRIOS'!$C$4:$C$501,0)),""))</f>
        <v>NLEDS LOCAÇÃO - PAINEIS DE LED </v>
      </c>
      <c r="D800" s="199" t="str">
        <f t="array" ref="D800">IF(B800="","",IFERROR(INDEX('FUNCIONÁRIOS'!$D$4:$D$501,MATCH(B800,'FUNCIONÁRIOS'!$C$4:$C$501,0)),""))</f>
        <v>TÉCNICO DE MONTAGEM DE PAINÉIS DE LED</v>
      </c>
      <c r="E800" s="199" t="str">
        <f t="array" ref="E800">IF(B800="","",IFERROR(INDEX('FUNCIONÁRIOS'!$E$4:$E$501,MATCH(B800,'FUNCIONÁRIOS'!$C$4:$C$501,0)),""))</f>
        <v>NÃO</v>
      </c>
      <c r="F800" s="138">
        <v>46169.0</v>
      </c>
      <c r="G800" s="115" t="str">
        <f t="shared" si="43"/>
        <v>✅ 10:41</v>
      </c>
      <c r="H800" s="174" t="s">
        <v>1908</v>
      </c>
      <c r="I800" s="117" t="str">
        <f t="shared" si="44"/>
        <v>→ Selecione a linha e use o menu ⏱️ Ponto</v>
      </c>
      <c r="J800" s="180"/>
      <c r="K800" s="179"/>
      <c r="L800" s="119" t="str">
        <f t="shared" si="45"/>
        <v>🟢 No Evento</v>
      </c>
    </row>
    <row r="801" ht="15.75" customHeight="1">
      <c r="A801" s="13"/>
      <c r="B801" s="173" t="s">
        <v>638</v>
      </c>
      <c r="C801" s="199" t="str">
        <f t="array" ref="C801">IF(B801="","",IFERROR(INDEX('FUNCIONÁRIOS'!$B$4:$B$501,MATCH(B801,'FUNCIONÁRIOS'!$C$4:$C$501,0)),""))</f>
        <v>STUDIO K MULTI EVENTOS LTDA </v>
      </c>
      <c r="D801" s="199" t="str">
        <f t="array" ref="D801">IF(B801="","",IFERROR(INDEX('FUNCIONÁRIOS'!$D$4:$D$501,MATCH(B801,'FUNCIONÁRIOS'!$C$4:$C$501,0)),""))</f>
        <v>TECNICO EM SONORIZAÇÃO</v>
      </c>
      <c r="E801" s="199" t="str">
        <f t="array" ref="E801">IF(B801="","",IFERROR(INDEX('FUNCIONÁRIOS'!$E$4:$E$501,MATCH(B801,'FUNCIONÁRIOS'!$C$4:$C$501,0)),""))</f>
        <v>NÃO</v>
      </c>
      <c r="F801" s="138">
        <v>46169.0</v>
      </c>
      <c r="G801" s="115" t="str">
        <f t="shared" si="43"/>
        <v>✅ 10:43</v>
      </c>
      <c r="H801" s="174" t="s">
        <v>1909</v>
      </c>
      <c r="I801" s="117" t="str">
        <f t="shared" si="44"/>
        <v>→ Selecione a linha e use o menu ⏱️ Ponto</v>
      </c>
      <c r="J801" s="180"/>
      <c r="K801" s="179"/>
      <c r="L801" s="119" t="str">
        <f t="shared" si="45"/>
        <v>🟢 No Evento</v>
      </c>
    </row>
    <row r="802" ht="15.75" customHeight="1">
      <c r="A802" s="13"/>
      <c r="B802" s="173" t="s">
        <v>150</v>
      </c>
      <c r="C802" s="199" t="str">
        <f t="array" ref="C802">IF(B802="","",IFERROR(INDEX('FUNCIONÁRIOS'!$B$4:$B$501,MATCH(B802,'FUNCIONÁRIOS'!$C$4:$C$501,0)),""))</f>
        <v>NLEDS LOCAÇÃO - PAINEIS DE LED </v>
      </c>
      <c r="D802" s="199" t="str">
        <f t="array" ref="D802">IF(B802="","",IFERROR(INDEX('FUNCIONÁRIOS'!$D$4:$D$501,MATCH(B802,'FUNCIONÁRIOS'!$C$4:$C$501,0)),""))</f>
        <v>AUXILIAR DE MONTAGEM DE PAINÉIS DE LED</v>
      </c>
      <c r="E802" s="199" t="str">
        <f t="array" ref="E802">IF(B802="","",IFERROR(INDEX('FUNCIONÁRIOS'!$E$4:$E$501,MATCH(B802,'FUNCIONÁRIOS'!$C$4:$C$501,0)),""))</f>
        <v>NÃO</v>
      </c>
      <c r="F802" s="138">
        <v>46169.0</v>
      </c>
      <c r="G802" s="115" t="str">
        <f t="shared" si="43"/>
        <v>✅ 10:41</v>
      </c>
      <c r="H802" s="174" t="s">
        <v>1908</v>
      </c>
      <c r="I802" s="117" t="str">
        <f t="shared" si="44"/>
        <v>→ Selecione a linha e use o menu ⏱️ Ponto</v>
      </c>
      <c r="J802" s="180"/>
      <c r="K802" s="179"/>
      <c r="L802" s="119" t="str">
        <f t="shared" si="45"/>
        <v>🟢 No Evento</v>
      </c>
    </row>
    <row r="803" ht="15.75" customHeight="1">
      <c r="A803" s="13"/>
      <c r="B803" s="173" t="s">
        <v>300</v>
      </c>
      <c r="C803" s="199" t="str">
        <f t="array" ref="C803">IF(B803="","",IFERROR(INDEX('FUNCIONÁRIOS'!$B$4:$B$501,MATCH(B803,'FUNCIONÁRIOS'!$C$4:$C$501,0)),""))</f>
        <v>GYNLIGHT</v>
      </c>
      <c r="D803" s="199" t="str">
        <f t="array" ref="D803">IF(B803="","",IFERROR(INDEX('FUNCIONÁRIOS'!$D$4:$D$501,MATCH(B803,'FUNCIONÁRIOS'!$C$4:$C$501,0)),""))</f>
        <v>Motorista</v>
      </c>
      <c r="E803" s="199" t="str">
        <f t="array" ref="E803">IF(B803="","",IFERROR(INDEX('FUNCIONÁRIOS'!$E$4:$E$501,MATCH(B803,'FUNCIONÁRIOS'!$C$4:$C$501,0)),""))</f>
        <v>NÃO</v>
      </c>
      <c r="F803" s="138">
        <v>46169.0</v>
      </c>
      <c r="G803" s="115" t="str">
        <f t="shared" si="43"/>
        <v>✅ 10:42</v>
      </c>
      <c r="H803" s="174" t="s">
        <v>1910</v>
      </c>
      <c r="I803" s="117" t="str">
        <f t="shared" si="44"/>
        <v>→ Selecione a linha e use o menu ⏱️ Ponto</v>
      </c>
      <c r="J803" s="180"/>
      <c r="K803" s="179"/>
      <c r="L803" s="119" t="str">
        <f t="shared" si="45"/>
        <v>🟢 No Evento</v>
      </c>
    </row>
    <row r="804" ht="15.75" customHeight="1">
      <c r="A804" s="13"/>
      <c r="B804" s="173" t="s">
        <v>263</v>
      </c>
      <c r="C804" s="199" t="str">
        <f t="array" ref="C804">IF(B804="","",IFERROR(INDEX('FUNCIONÁRIOS'!$B$4:$B$501,MATCH(B804,'FUNCIONÁRIOS'!$C$4:$C$501,0)),""))</f>
        <v>GYNLIGHT</v>
      </c>
      <c r="D804" s="199" t="str">
        <f t="array" ref="D804">IF(B804="","",IFERROR(INDEX('FUNCIONÁRIOS'!$D$4:$D$501,MATCH(B804,'FUNCIONÁRIOS'!$C$4:$C$501,0)),""))</f>
        <v>Auxiliar Técnico em Iluminação</v>
      </c>
      <c r="E804" s="199" t="str">
        <f t="array" ref="E804">IF(B804="","",IFERROR(INDEX('FUNCIONÁRIOS'!$E$4:$E$501,MATCH(B804,'FUNCIONÁRIOS'!$C$4:$C$501,0)),""))</f>
        <v>NÃO</v>
      </c>
      <c r="F804" s="138">
        <v>46169.0</v>
      </c>
      <c r="G804" s="115" t="str">
        <f t="shared" si="43"/>
        <v>✅ 10:42</v>
      </c>
      <c r="H804" s="174" t="s">
        <v>1910</v>
      </c>
      <c r="I804" s="117" t="str">
        <f t="shared" si="44"/>
        <v>→ Selecione a linha e use o menu ⏱️ Ponto</v>
      </c>
      <c r="J804" s="180"/>
      <c r="K804" s="179"/>
      <c r="L804" s="119" t="str">
        <f t="shared" si="45"/>
        <v>🟢 No Evento</v>
      </c>
    </row>
    <row r="805" ht="15.75" customHeight="1">
      <c r="A805" s="13"/>
      <c r="B805" s="173" t="s">
        <v>148</v>
      </c>
      <c r="C805" s="199" t="str">
        <f t="array" ref="C805">IF(B805="","",IFERROR(INDEX('FUNCIONÁRIOS'!$B$4:$B$501,MATCH(B805,'FUNCIONÁRIOS'!$C$4:$C$501,0)),""))</f>
        <v>NLEDS LOCAÇÃO - PAINEIS DE LED </v>
      </c>
      <c r="D805" s="199" t="str">
        <f t="array" ref="D805">IF(B805="","",IFERROR(INDEX('FUNCIONÁRIOS'!$D$4:$D$501,MATCH(B805,'FUNCIONÁRIOS'!$C$4:$C$501,0)),""))</f>
        <v>TÉCNICO DE MONTAGEM DE PAINÉIS DE LED</v>
      </c>
      <c r="E805" s="199" t="str">
        <f t="array" ref="E805">IF(B805="","",IFERROR(INDEX('FUNCIONÁRIOS'!$E$4:$E$501,MATCH(B805,'FUNCIONÁRIOS'!$C$4:$C$501,0)),""))</f>
        <v>NÃO</v>
      </c>
      <c r="F805" s="138">
        <v>46169.0</v>
      </c>
      <c r="G805" s="115" t="str">
        <f t="shared" si="43"/>
        <v>✅ 10:43</v>
      </c>
      <c r="H805" s="174" t="s">
        <v>1909</v>
      </c>
      <c r="I805" s="117" t="str">
        <f t="shared" si="44"/>
        <v>→ Selecione a linha e use o menu ⏱️ Ponto</v>
      </c>
      <c r="J805" s="180"/>
      <c r="K805" s="179"/>
      <c r="L805" s="119" t="str">
        <f t="shared" si="45"/>
        <v>🟢 No Evento</v>
      </c>
    </row>
    <row r="806" ht="15.75" customHeight="1">
      <c r="A806" s="13"/>
      <c r="B806" s="173" t="s">
        <v>276</v>
      </c>
      <c r="C806" s="199" t="str">
        <f t="array" ref="C806">IF(B806="","",IFERROR(INDEX('FUNCIONÁRIOS'!$B$4:$B$501,MATCH(B806,'FUNCIONÁRIOS'!$C$4:$C$501,0)),""))</f>
        <v>GYNLIGHT</v>
      </c>
      <c r="D806" s="199" t="str">
        <f t="array" ref="D806">IF(B806="","",IFERROR(INDEX('FUNCIONÁRIOS'!$D$4:$D$501,MATCH(B806,'FUNCIONÁRIOS'!$C$4:$C$501,0)),""))</f>
        <v>Técnico em Iluminação</v>
      </c>
      <c r="E806" s="199" t="str">
        <f t="array" ref="E806">IF(B806="","",IFERROR(INDEX('FUNCIONÁRIOS'!$E$4:$E$501,MATCH(B806,'FUNCIONÁRIOS'!$C$4:$C$501,0)),""))</f>
        <v>NÃO</v>
      </c>
      <c r="F806" s="138">
        <v>46169.0</v>
      </c>
      <c r="G806" s="115" t="str">
        <f t="shared" si="43"/>
        <v>✅ 10:43</v>
      </c>
      <c r="H806" s="174" t="s">
        <v>1909</v>
      </c>
      <c r="I806" s="117" t="str">
        <f t="shared" si="44"/>
        <v>→ Selecione a linha e use o menu ⏱️ Ponto</v>
      </c>
      <c r="J806" s="180"/>
      <c r="K806" s="179"/>
      <c r="L806" s="119" t="str">
        <f t="shared" si="45"/>
        <v>🟢 No Evento</v>
      </c>
    </row>
    <row r="807" ht="15.75" customHeight="1">
      <c r="A807" s="13"/>
      <c r="B807" s="173"/>
      <c r="C807" s="199" t="str">
        <f t="array" ref="C807">IF(B807="","",IFERROR(INDEX('FUNCIONÁRIOS'!$B$4:$B$501,MATCH(B807,'FUNCIONÁRIOS'!$C$4:$C$501,0)),""))</f>
        <v/>
      </c>
      <c r="D807" s="199" t="str">
        <f t="array" ref="D807">IF(B807="","",IFERROR(INDEX('FUNCIONÁRIOS'!$D$4:$D$501,MATCH(B807,'FUNCIONÁRIOS'!$C$4:$C$501,0)),""))</f>
        <v/>
      </c>
      <c r="E807" s="199" t="str">
        <f t="array" ref="E807">IF(B807="","",IFERROR(INDEX('FUNCIONÁRIOS'!$E$4:$E$501,MATCH(B807,'FUNCIONÁRIOS'!$C$4:$C$501,0)),""))</f>
        <v/>
      </c>
      <c r="F807" s="138">
        <v>46169.0</v>
      </c>
      <c r="G807" s="115" t="str">
        <f t="shared" si="43"/>
        <v>→ Selecione a linha e use o menu ⏱️ Ponto</v>
      </c>
      <c r="H807" s="174"/>
      <c r="I807" s="117" t="str">
        <f t="shared" si="44"/>
        <v>→ Selecione a linha e use o menu ⏱️ Ponto</v>
      </c>
      <c r="J807" s="180"/>
      <c r="K807" s="179"/>
      <c r="L807" s="119" t="str">
        <f t="shared" si="45"/>
        <v/>
      </c>
    </row>
    <row r="808" ht="15.75" customHeight="1">
      <c r="A808" s="13"/>
      <c r="B808" s="173" t="s">
        <v>153</v>
      </c>
      <c r="C808" s="199" t="str">
        <f t="array" ref="C808">IF(B808="","",IFERROR(INDEX('FUNCIONÁRIOS'!$B$4:$B$501,MATCH(B808,'FUNCIONÁRIOS'!$C$4:$C$501,0)),""))</f>
        <v>NLEDS LOCAÇÃO - PAINEIS DE LED </v>
      </c>
      <c r="D808" s="199" t="str">
        <f t="array" ref="D808">IF(B808="","",IFERROR(INDEX('FUNCIONÁRIOS'!$D$4:$D$501,MATCH(B808,'FUNCIONÁRIOS'!$C$4:$C$501,0)),""))</f>
        <v>AUXILIAR DE MONTAGEM DE PAINÉIS DE LED</v>
      </c>
      <c r="E808" s="199" t="str">
        <f t="array" ref="E808">IF(B808="","",IFERROR(INDEX('FUNCIONÁRIOS'!$E$4:$E$501,MATCH(B808,'FUNCIONÁRIOS'!$C$4:$C$501,0)),""))</f>
        <v>NÃO</v>
      </c>
      <c r="F808" s="138">
        <v>46169.0</v>
      </c>
      <c r="G808" s="115" t="str">
        <f t="shared" si="43"/>
        <v>✅ 10:43</v>
      </c>
      <c r="H808" s="174" t="s">
        <v>1909</v>
      </c>
      <c r="I808" s="117" t="str">
        <f t="shared" si="44"/>
        <v>→ Selecione a linha e use o menu ⏱️ Ponto</v>
      </c>
      <c r="J808" s="180"/>
      <c r="K808" s="179"/>
      <c r="L808" s="119" t="str">
        <f t="shared" si="45"/>
        <v>🟢 No Evento</v>
      </c>
    </row>
    <row r="809" ht="15.75" customHeight="1">
      <c r="A809" s="13"/>
      <c r="B809" s="173" t="s">
        <v>603</v>
      </c>
      <c r="C809" s="199" t="str">
        <f t="array" ref="C809">IF(B809="","",IFERROR(INDEX('FUNCIONÁRIOS'!$B$4:$B$501,MATCH(B809,'FUNCIONÁRIOS'!$C$4:$C$501,0)),""))</f>
        <v>PRIVIEGE EVENTOS </v>
      </c>
      <c r="D809" s="199" t="str">
        <f t="array" ref="D809">IF(B809="","",IFERROR(INDEX('FUNCIONÁRIOS'!$D$4:$D$501,MATCH(B809,'FUNCIONÁRIOS'!$C$4:$C$501,0)),""))</f>
        <v>MONTADOR </v>
      </c>
      <c r="E809" s="199" t="str">
        <f t="array" ref="E809">IF(B809="","",IFERROR(INDEX('FUNCIONÁRIOS'!$E$4:$E$501,MATCH(B809,'FUNCIONÁRIOS'!$C$4:$C$501,0)),""))</f>
        <v>NÃO</v>
      </c>
      <c r="F809" s="138">
        <v>46169.0</v>
      </c>
      <c r="G809" s="115" t="str">
        <f t="shared" si="43"/>
        <v>✅ 10:52</v>
      </c>
      <c r="H809" s="174" t="s">
        <v>1911</v>
      </c>
      <c r="I809" s="117" t="str">
        <f t="shared" si="44"/>
        <v>✅ 18:15</v>
      </c>
      <c r="J809" s="178">
        <v>0.7604166666666666</v>
      </c>
      <c r="K809" s="179"/>
      <c r="L809" s="119" t="str">
        <f t="shared" si="45"/>
        <v>✅ Finalizado</v>
      </c>
    </row>
    <row r="810" ht="15.75" customHeight="1">
      <c r="A810" s="13"/>
      <c r="B810" s="173" t="s">
        <v>157</v>
      </c>
      <c r="C810" s="199" t="str">
        <f t="array" ref="C810">IF(B810="","",IFERROR(INDEX('FUNCIONÁRIOS'!$B$4:$B$501,MATCH(B810,'FUNCIONÁRIOS'!$C$4:$C$501,0)),""))</f>
        <v>NLEDS LOCAÇÃO - PAINEIS DE LED </v>
      </c>
      <c r="D810" s="199" t="str">
        <f t="array" ref="D810">IF(B810="","",IFERROR(INDEX('FUNCIONÁRIOS'!$D$4:$D$501,MATCH(B810,'FUNCIONÁRIOS'!$C$4:$C$501,0)),""))</f>
        <v>AUXILIAR DE MONTAGEM DE PAINÉIS DE LED</v>
      </c>
      <c r="E810" s="199" t="str">
        <f t="array" ref="E810">IF(B810="","",IFERROR(INDEX('FUNCIONÁRIOS'!$E$4:$E$501,MATCH(B810,'FUNCIONÁRIOS'!$C$4:$C$501,0)),""))</f>
        <v>NÃO</v>
      </c>
      <c r="F810" s="138">
        <v>46169.0</v>
      </c>
      <c r="G810" s="115" t="str">
        <f t="shared" si="43"/>
        <v>✅ 10:54</v>
      </c>
      <c r="H810" s="174" t="s">
        <v>1912</v>
      </c>
      <c r="I810" s="117" t="str">
        <f t="shared" si="44"/>
        <v>→ Selecione a linha e use o menu ⏱️ Ponto</v>
      </c>
      <c r="J810" s="180"/>
      <c r="K810" s="179"/>
      <c r="L810" s="119" t="str">
        <f t="shared" si="45"/>
        <v>🟢 No Evento</v>
      </c>
    </row>
    <row r="811" ht="15.75" customHeight="1">
      <c r="A811" s="13"/>
      <c r="B811" s="173" t="s">
        <v>642</v>
      </c>
      <c r="C811" s="199" t="str">
        <f t="array" ref="C811">IF(B811="","",IFERROR(INDEX('FUNCIONÁRIOS'!$B$4:$B$501,MATCH(B811,'FUNCIONÁRIOS'!$C$4:$C$501,0)),""))</f>
        <v>STUDIO K MULTI EVENTOS LTDA </v>
      </c>
      <c r="D811" s="199" t="str">
        <f t="array" ref="D811">IF(B811="","",IFERROR(INDEX('FUNCIONÁRIOS'!$D$4:$D$501,MATCH(B811,'FUNCIONÁRIOS'!$C$4:$C$501,0)),""))</f>
        <v>TECNICO EM SONORIZAÇÃO</v>
      </c>
      <c r="E811" s="199" t="str">
        <f t="array" ref="E811">IF(B811="","",IFERROR(INDEX('FUNCIONÁRIOS'!$E$4:$E$501,MATCH(B811,'FUNCIONÁRIOS'!$C$4:$C$501,0)),""))</f>
        <v>NÃO</v>
      </c>
      <c r="F811" s="138">
        <v>46169.0</v>
      </c>
      <c r="G811" s="115" t="str">
        <f t="shared" si="43"/>
        <v>✅ 11:05</v>
      </c>
      <c r="H811" s="174" t="s">
        <v>1711</v>
      </c>
      <c r="I811" s="117" t="str">
        <f t="shared" si="44"/>
        <v>→ Selecione a linha e use o menu ⏱️ Ponto</v>
      </c>
      <c r="J811" s="180"/>
      <c r="K811" s="179"/>
      <c r="L811" s="119" t="str">
        <f t="shared" si="45"/>
        <v>🟢 No Evento</v>
      </c>
    </row>
    <row r="812" ht="15.75" customHeight="1">
      <c r="A812" s="13"/>
      <c r="B812" s="173" t="s">
        <v>720</v>
      </c>
      <c r="C812" s="199" t="str">
        <f t="array" ref="C812">IF(B812="","",IFERROR(INDEX('FUNCIONÁRIOS'!$B$4:$B$501,MATCH(B812,'FUNCIONÁRIOS'!$C$4:$C$501,0)),""))</f>
        <v>LINQ </v>
      </c>
      <c r="D812" s="199" t="str">
        <f t="array" ref="D812">IF(B812="","",IFERROR(INDEX('FUNCIONÁRIOS'!$D$4:$D$501,MATCH(B812,'FUNCIONÁRIOS'!$C$4:$C$501,0)),""))</f>
        <v>TECNICO DE INTERNET </v>
      </c>
      <c r="E812" s="199" t="str">
        <f t="array" ref="E812">IF(B812="","",IFERROR(INDEX('FUNCIONÁRIOS'!$E$4:$E$501,MATCH(B812,'FUNCIONÁRIOS'!$C$4:$C$501,0)),""))</f>
        <v>NÃO</v>
      </c>
      <c r="F812" s="138">
        <v>46169.0</v>
      </c>
      <c r="G812" s="115" t="str">
        <f t="shared" si="43"/>
        <v>→ Selecione a linha e use o menu ⏱️ Ponto</v>
      </c>
      <c r="H812" s="174"/>
      <c r="I812" s="117" t="str">
        <f t="shared" si="44"/>
        <v>→ Selecione a linha e use o menu ⏱️ Ponto</v>
      </c>
      <c r="J812" s="180"/>
      <c r="K812" s="179"/>
      <c r="L812" s="119" t="str">
        <f t="shared" si="45"/>
        <v>⏳ Não entrou</v>
      </c>
    </row>
    <row r="813" ht="15.75" customHeight="1">
      <c r="A813" s="13"/>
      <c r="B813" s="173" t="s">
        <v>434</v>
      </c>
      <c r="C813" s="199" t="str">
        <f t="array" ref="C813">IF(B813="","",IFERROR(INDEX('FUNCIONÁRIOS'!$B$4:$B$501,MATCH(B813,'FUNCIONÁRIOS'!$C$4:$C$501,0)),""))</f>
        <v>SHOWNEWS</v>
      </c>
      <c r="D813" s="199" t="str">
        <f t="array" ref="D813">IF(B813="","",IFERROR(INDEX('FUNCIONÁRIOS'!$D$4:$D$501,MATCH(B813,'FUNCIONÁRIOS'!$C$4:$C$501,0)),""))</f>
        <v>Montador</v>
      </c>
      <c r="E813" s="199" t="str">
        <f t="array" ref="E813">IF(B813="","",IFERROR(INDEX('FUNCIONÁRIOS'!$E$4:$E$501,MATCH(B813,'FUNCIONÁRIOS'!$C$4:$C$501,0)),""))</f>
        <v>NÃO</v>
      </c>
      <c r="F813" s="138">
        <v>46169.0</v>
      </c>
      <c r="G813" s="115" t="str">
        <f t="shared" si="43"/>
        <v>✅ 11:58</v>
      </c>
      <c r="H813" s="174" t="s">
        <v>1913</v>
      </c>
      <c r="I813" s="117" t="str">
        <f t="shared" si="44"/>
        <v>→ Selecione a linha e use o menu ⏱️ Ponto</v>
      </c>
      <c r="J813" s="180"/>
      <c r="K813" s="179"/>
      <c r="L813" s="119" t="str">
        <f t="shared" si="45"/>
        <v>🟢 No Evento</v>
      </c>
    </row>
    <row r="814" ht="15.75" customHeight="1">
      <c r="A814" s="13"/>
      <c r="B814" s="173" t="s">
        <v>654</v>
      </c>
      <c r="C814" s="199" t="str">
        <f t="array" ref="C814">IF(B814="","",IFERROR(INDEX('FUNCIONÁRIOS'!$B$4:$B$501,MATCH(B814,'FUNCIONÁRIOS'!$C$4:$C$501,0)),""))</f>
        <v>STUDIO K MULTI EVENTOS LTDA </v>
      </c>
      <c r="D814" s="199" t="str">
        <f t="array" ref="D814">IF(B814="","",IFERROR(INDEX('FUNCIONÁRIOS'!$D$4:$D$501,MATCH(B814,'FUNCIONÁRIOS'!$C$4:$C$501,0)),""))</f>
        <v>TECNICO EM SONORIZAÇÃO</v>
      </c>
      <c r="E814" s="199" t="str">
        <f t="array" ref="E814">IF(B814="","",IFERROR(INDEX('FUNCIONÁRIOS'!$E$4:$E$501,MATCH(B814,'FUNCIONÁRIOS'!$C$4:$C$501,0)),""))</f>
        <v>NÃO</v>
      </c>
      <c r="F814" s="138">
        <v>46169.0</v>
      </c>
      <c r="G814" s="115" t="str">
        <f t="shared" si="43"/>
        <v>✅ 11:07</v>
      </c>
      <c r="H814" s="174" t="s">
        <v>1914</v>
      </c>
      <c r="I814" s="117" t="str">
        <f t="shared" si="44"/>
        <v>→ Selecione a linha e use o menu ⏱️ Ponto</v>
      </c>
      <c r="J814" s="180"/>
      <c r="K814" s="179"/>
      <c r="L814" s="119" t="str">
        <f t="shared" si="45"/>
        <v>🟢 No Evento</v>
      </c>
    </row>
    <row r="815" ht="15.75" customHeight="1">
      <c r="A815" s="13"/>
      <c r="B815" s="173" t="s">
        <v>182</v>
      </c>
      <c r="C815" s="199" t="str">
        <f t="array" ref="C815">IF(B815="","",IFERROR(INDEX('FUNCIONÁRIOS'!$B$4:$B$501,MATCH(B815,'FUNCIONÁRIOS'!$C$4:$C$501,0)),""))</f>
        <v>TJ SERVIÇOS</v>
      </c>
      <c r="D815" s="199" t="str">
        <f t="array" ref="D815">IF(B815="","",IFERROR(INDEX('FUNCIONÁRIOS'!$D$4:$D$501,MATCH(B815,'FUNCIONÁRIOS'!$C$4:$C$501,0)),""))</f>
        <v>COORDENADOR/CEO</v>
      </c>
      <c r="E815" s="199" t="str">
        <f t="array" ref="E815">IF(B815="","",IFERROR(INDEX('FUNCIONÁRIOS'!$E$4:$E$501,MATCH(B815,'FUNCIONÁRIOS'!$C$4:$C$501,0)),""))</f>
        <v>SIM</v>
      </c>
      <c r="F815" s="138">
        <v>46169.0</v>
      </c>
      <c r="G815" s="115" t="str">
        <f t="shared" si="43"/>
        <v>✅ 09:00</v>
      </c>
      <c r="H815" s="174" t="s">
        <v>1793</v>
      </c>
      <c r="I815" s="117" t="str">
        <f t="shared" si="44"/>
        <v>✅ 11:10</v>
      </c>
      <c r="J815" s="174" t="s">
        <v>1712</v>
      </c>
      <c r="K815" s="175">
        <v>0.09027777777777779</v>
      </c>
      <c r="L815" s="119" t="str">
        <f t="shared" si="45"/>
        <v>✅ Finalizado</v>
      </c>
    </row>
    <row r="816" ht="15.75" customHeight="1">
      <c r="A816" s="13"/>
      <c r="B816" s="173" t="s">
        <v>460</v>
      </c>
      <c r="C816" s="199" t="str">
        <f t="array" ref="C816">IF(B816="","",IFERROR(INDEX('FUNCIONÁRIOS'!$B$4:$B$501,MATCH(B816,'FUNCIONÁRIOS'!$C$4:$C$501,0)),""))</f>
        <v>PIZZA GYN</v>
      </c>
      <c r="D816" s="199" t="str">
        <f t="array" ref="D816">IF(B816="","",IFERROR(INDEX('FUNCIONÁRIOS'!$D$4:$D$501,MATCH(B816,'FUNCIONÁRIOS'!$C$4:$C$501,0)),""))</f>
        <v>Cordenador Técnico</v>
      </c>
      <c r="E816" s="199" t="str">
        <f t="array" ref="E816">IF(B816="","",IFERROR(INDEX('FUNCIONÁRIOS'!$E$4:$E$501,MATCH(B816,'FUNCIONÁRIOS'!$C$4:$C$501,0)),""))</f>
        <v>SIM</v>
      </c>
      <c r="F816" s="138">
        <v>46169.0</v>
      </c>
      <c r="G816" s="115" t="str">
        <f t="shared" si="43"/>
        <v>✅ 11:17</v>
      </c>
      <c r="H816" s="174" t="s">
        <v>1915</v>
      </c>
      <c r="I816" s="117" t="str">
        <f t="shared" si="44"/>
        <v>→ Selecione a linha e use o menu ⏱️ Ponto</v>
      </c>
      <c r="J816" s="180"/>
      <c r="K816" s="179"/>
      <c r="L816" s="119" t="str">
        <f t="shared" si="45"/>
        <v>🟢 No Evento</v>
      </c>
    </row>
    <row r="817" ht="15.75" customHeight="1">
      <c r="A817" s="13"/>
      <c r="B817" s="173" t="s">
        <v>736</v>
      </c>
      <c r="C817" s="199" t="str">
        <f t="array" ref="C817">IF(B817="","",IFERROR(INDEX('FUNCIONÁRIOS'!$B$4:$B$501,MATCH(B817,'FUNCIONÁRIOS'!$C$4:$C$501,0)),""))</f>
        <v>LATINO </v>
      </c>
      <c r="D817" s="199" t="str">
        <f t="array" ref="D817">IF(B817="","",IFERROR(INDEX('FUNCIONÁRIOS'!$D$4:$D$501,MATCH(B817,'FUNCIONÁRIOS'!$C$4:$C$501,0)),""))</f>
        <v>CARREGADOR </v>
      </c>
      <c r="E817" s="199" t="str">
        <f t="array" ref="E817">IF(B817="","",IFERROR(INDEX('FUNCIONÁRIOS'!$E$4:$E$501,MATCH(B817,'FUNCIONÁRIOS'!$C$4:$C$501,0)),""))</f>
        <v>NÃO</v>
      </c>
      <c r="F817" s="138">
        <v>46169.0</v>
      </c>
      <c r="G817" s="115" t="str">
        <f t="shared" si="43"/>
        <v>✅ 11:26</v>
      </c>
      <c r="H817" s="174" t="s">
        <v>1722</v>
      </c>
      <c r="I817" s="117" t="str">
        <f t="shared" si="44"/>
        <v>✅ 18:35</v>
      </c>
      <c r="J817" s="174" t="s">
        <v>1916</v>
      </c>
      <c r="K817" s="175">
        <v>0.2979166666666667</v>
      </c>
      <c r="L817" s="119" t="str">
        <f t="shared" si="45"/>
        <v>✅ Finalizado</v>
      </c>
    </row>
    <row r="818" ht="15.75" customHeight="1">
      <c r="A818" s="13"/>
      <c r="B818" s="187" t="s">
        <v>234</v>
      </c>
      <c r="C818" s="199" t="str">
        <f t="array" ref="C818">IF(B818="","",IFERROR(INDEX('FUNCIONÁRIOS'!$B$4:$B$501,MATCH(B818,'FUNCIONÁRIOS'!$C$4:$C$501,0)),""))</f>
        <v>EL SHADDAI</v>
      </c>
      <c r="D818" s="199" t="str">
        <f t="array" ref="D818">IF(B818="","",IFERROR(INDEX('FUNCIONÁRIOS'!$D$4:$D$501,MATCH(B818,'FUNCIONÁRIOS'!$C$4:$C$501,0)),""))</f>
        <v>ENGENHARIA DE PRODUÇÃO </v>
      </c>
      <c r="E818" s="199" t="str">
        <f t="array" ref="E818">IF(B818="","",IFERROR(INDEX('FUNCIONÁRIOS'!$E$4:$E$501,MATCH(B818,'FUNCIONÁRIOS'!$C$4:$C$501,0)),""))</f>
        <v>NÃO</v>
      </c>
      <c r="F818" s="138">
        <v>46169.0</v>
      </c>
      <c r="G818" s="115" t="str">
        <f t="shared" si="43"/>
        <v>✅ 11:39</v>
      </c>
      <c r="H818" s="174" t="s">
        <v>1732</v>
      </c>
      <c r="I818" s="117" t="str">
        <f t="shared" si="44"/>
        <v>✅ 17:30</v>
      </c>
      <c r="J818" s="174" t="s">
        <v>1917</v>
      </c>
      <c r="K818" s="175">
        <v>0.24374999999999997</v>
      </c>
      <c r="L818" s="119" t="str">
        <f t="shared" si="45"/>
        <v>✅ Finalizado</v>
      </c>
    </row>
    <row r="819" ht="15.75" customHeight="1">
      <c r="A819" s="13"/>
      <c r="B819" s="223" t="s">
        <v>757</v>
      </c>
      <c r="C819" s="206" t="str">
        <f t="array" ref="C819">IF(B819="","",IFERROR(INDEX('FUNCIONÁRIOS'!$B$4:$B$501,MATCH(B819,'FUNCIONÁRIOS'!$C$4:$C$501,0)),""))</f>
        <v>YES </v>
      </c>
      <c r="D819" s="199" t="str">
        <f t="array" ref="D819">IF(B819="","",IFERROR(INDEX('FUNCIONÁRIOS'!$D$4:$D$501,MATCH(B819,'FUNCIONÁRIOS'!$C$4:$C$501,0)),""))</f>
        <v/>
      </c>
      <c r="E819" s="199" t="str">
        <f t="array" ref="E819">IF(B819="","",IFERROR(INDEX('FUNCIONÁRIOS'!$E$4:$E$501,MATCH(B819,'FUNCIONÁRIOS'!$C$4:$C$501,0)),""))</f>
        <v>NÃO</v>
      </c>
      <c r="F819" s="138">
        <v>46169.0</v>
      </c>
      <c r="G819" s="115" t="str">
        <f t="shared" si="43"/>
        <v>→ Selecione a linha e use o menu ⏱️ Ponto</v>
      </c>
      <c r="H819" s="174"/>
      <c r="I819" s="117" t="str">
        <f t="shared" si="44"/>
        <v>✅ 19:33</v>
      </c>
      <c r="J819" s="178">
        <v>0.8145833333333333</v>
      </c>
      <c r="K819" s="179"/>
      <c r="L819" s="119" t="str">
        <f t="shared" si="45"/>
        <v>⏳ Não entrou</v>
      </c>
    </row>
    <row r="820" ht="15.75" customHeight="1">
      <c r="A820" s="13"/>
      <c r="B820" s="224" t="s">
        <v>734</v>
      </c>
      <c r="C820" s="206" t="str">
        <f t="array" ref="C820">IF(B820="","",IFERROR(INDEX('FUNCIONÁRIOS'!$B$4:$B$501,MATCH(B820,'FUNCIONÁRIOS'!$C$4:$C$501,0)),""))</f>
        <v>SHOWNEWS</v>
      </c>
      <c r="D820" s="199" t="str">
        <f t="array" ref="D820">IF(B820="","",IFERROR(INDEX('FUNCIONÁRIOS'!$D$4:$D$501,MATCH(B820,'FUNCIONÁRIOS'!$C$4:$C$501,0)),""))</f>
        <v>MONTADOR </v>
      </c>
      <c r="E820" s="199" t="str">
        <f t="array" ref="E820">IF(B820="","",IFERROR(INDEX('FUNCIONÁRIOS'!$E$4:$E$501,MATCH(B820,'FUNCIONÁRIOS'!$C$4:$C$501,0)),""))</f>
        <v>NÃO</v>
      </c>
      <c r="F820" s="138">
        <v>46169.0</v>
      </c>
      <c r="G820" s="115" t="str">
        <f t="shared" si="43"/>
        <v>✅ 11:56</v>
      </c>
      <c r="H820" s="174" t="s">
        <v>1736</v>
      </c>
      <c r="I820" s="117" t="str">
        <f t="shared" si="44"/>
        <v>→ Selecione a linha e use o menu ⏱️ Ponto</v>
      </c>
      <c r="J820" s="180"/>
      <c r="K820" s="179"/>
      <c r="L820" s="119" t="str">
        <f t="shared" si="45"/>
        <v>🟢 No Evento</v>
      </c>
    </row>
    <row r="821" ht="15.75" customHeight="1">
      <c r="A821" s="13"/>
      <c r="B821" s="224" t="s">
        <v>189</v>
      </c>
      <c r="C821" s="206" t="str">
        <f t="array" ref="C821">IF(B821="","",IFERROR(INDEX('FUNCIONÁRIOS'!$B$4:$B$501,MATCH(B821,'FUNCIONÁRIOS'!$C$4:$C$501,0)),""))</f>
        <v>MONTE EVENTOS </v>
      </c>
      <c r="D821" s="199" t="str">
        <f t="array" ref="D821">IF(B821="","",IFERROR(INDEX('FUNCIONÁRIOS'!$D$4:$D$501,MATCH(B821,'FUNCIONÁRIOS'!$C$4:$C$501,0)),""))</f>
        <v>DIRETOR </v>
      </c>
      <c r="E821" s="199" t="str">
        <f t="array" ref="E821">IF(B821="","",IFERROR(INDEX('FUNCIONÁRIOS'!$E$4:$E$501,MATCH(B821,'FUNCIONÁRIOS'!$C$4:$C$501,0)),""))</f>
        <v>SIM</v>
      </c>
      <c r="F821" s="138">
        <v>46169.0</v>
      </c>
      <c r="G821" s="115" t="str">
        <f t="shared" si="43"/>
        <v>✅ 12:17</v>
      </c>
      <c r="H821" s="174" t="s">
        <v>1918</v>
      </c>
      <c r="I821" s="117" t="str">
        <f t="shared" si="44"/>
        <v>→ Selecione a linha e use o menu ⏱️ Ponto</v>
      </c>
      <c r="J821" s="180"/>
      <c r="K821" s="179"/>
      <c r="L821" s="119" t="str">
        <f t="shared" si="45"/>
        <v>🟢 No Evento</v>
      </c>
    </row>
    <row r="822" ht="15.75" customHeight="1">
      <c r="A822" s="13"/>
      <c r="B822" s="224" t="s">
        <v>344</v>
      </c>
      <c r="C822" s="206" t="str">
        <f t="array" ref="C822">IF(B822="","",IFERROR(INDEX('FUNCIONÁRIOS'!$B$4:$B$501,MATCH(B822,'FUNCIONÁRIOS'!$C$4:$C$501,0)),""))</f>
        <v>GO TO </v>
      </c>
      <c r="D822" s="199" t="str">
        <f t="array" ref="D822">IF(B822="","",IFERROR(INDEX('FUNCIONÁRIOS'!$D$4:$D$501,MATCH(B822,'FUNCIONÁRIOS'!$C$4:$C$501,0)),""))</f>
        <v>MONTADOR</v>
      </c>
      <c r="E822" s="199" t="str">
        <f t="array" ref="E822">IF(B822="","",IFERROR(INDEX('FUNCIONÁRIOS'!$E$4:$E$501,MATCH(B822,'FUNCIONÁRIOS'!$C$4:$C$501,0)),""))</f>
        <v>NÃO</v>
      </c>
      <c r="F822" s="138">
        <v>46169.0</v>
      </c>
      <c r="G822" s="115" t="str">
        <f t="shared" si="43"/>
        <v>✅ 12:10</v>
      </c>
      <c r="H822" s="174" t="s">
        <v>1919</v>
      </c>
      <c r="I822" s="117" t="str">
        <f t="shared" si="44"/>
        <v>✅ 22:54</v>
      </c>
      <c r="J822" s="178">
        <v>0.9541666666666667</v>
      </c>
      <c r="K822" s="179"/>
      <c r="L822" s="119" t="str">
        <f t="shared" si="45"/>
        <v>✅ Finalizado</v>
      </c>
    </row>
    <row r="823" ht="15.75" customHeight="1">
      <c r="A823" s="13"/>
      <c r="B823" s="222" t="s">
        <v>242</v>
      </c>
      <c r="C823" s="199" t="str">
        <f t="array" ref="C823">IF(B823="","",IFERROR(INDEX('FUNCIONÁRIOS'!$B$4:$B$501,MATCH(B823,'FUNCIONÁRIOS'!$C$4:$C$501,0)),""))</f>
        <v>REISFORT</v>
      </c>
      <c r="D823" s="199" t="str">
        <f t="array" ref="D823">IF(B823="","",IFERROR(INDEX('FUNCIONÁRIOS'!$D$4:$D$501,MATCH(B823,'FUNCIONÁRIOS'!$C$4:$C$501,0)),""))</f>
        <v>MONTADOR </v>
      </c>
      <c r="E823" s="199" t="str">
        <f t="array" ref="E823">IF(B823="","",IFERROR(INDEX('FUNCIONÁRIOS'!$E$4:$E$501,MATCH(B823,'FUNCIONÁRIOS'!$C$4:$C$501,0)),""))</f>
        <v>NÃO</v>
      </c>
      <c r="F823" s="138">
        <v>46169.0</v>
      </c>
      <c r="G823" s="115" t="str">
        <f t="shared" si="43"/>
        <v>✅ 12:18</v>
      </c>
      <c r="H823" s="174" t="s">
        <v>1920</v>
      </c>
      <c r="I823" s="117" t="str">
        <f t="shared" si="44"/>
        <v>→ Selecione a linha e use o menu ⏱️ Ponto</v>
      </c>
      <c r="J823" s="180"/>
      <c r="K823" s="179"/>
      <c r="L823" s="119" t="str">
        <f t="shared" si="45"/>
        <v>🟢 No Evento</v>
      </c>
    </row>
    <row r="824" ht="15.75" customHeight="1">
      <c r="A824" s="13"/>
      <c r="B824" s="173" t="s">
        <v>196</v>
      </c>
      <c r="C824" s="199" t="str">
        <f t="array" ref="C824">IF(B824="","",IFERROR(INDEX('FUNCIONÁRIOS'!$B$4:$B$501,MATCH(B824,'FUNCIONÁRIOS'!$C$4:$C$501,0)),""))</f>
        <v>ASSOCIAÇÃO ASSUNÇÃO </v>
      </c>
      <c r="D824" s="199" t="str">
        <f t="array" ref="D824">IF(B824="","",IFERROR(INDEX('FUNCIONÁRIOS'!$D$4:$D$501,MATCH(B824,'FUNCIONÁRIOS'!$C$4:$C$501,0)),""))</f>
        <v>ADMINISTRATIVO </v>
      </c>
      <c r="E824" s="199" t="str">
        <f t="array" ref="E824">IF(B824="","",IFERROR(INDEX('FUNCIONÁRIOS'!$E$4:$E$501,MATCH(B824,'FUNCIONÁRIOS'!$C$4:$C$501,0)),""))</f>
        <v>SIM</v>
      </c>
      <c r="F824" s="138">
        <v>46169.0</v>
      </c>
      <c r="G824" s="115" t="str">
        <f t="shared" si="43"/>
        <v>✅ 12:41</v>
      </c>
      <c r="H824" s="174" t="s">
        <v>1921</v>
      </c>
      <c r="I824" s="117" t="str">
        <f t="shared" si="44"/>
        <v>→ Selecione a linha e use o menu ⏱️ Ponto</v>
      </c>
      <c r="J824" s="180"/>
      <c r="K824" s="179"/>
      <c r="L824" s="119" t="str">
        <f t="shared" si="45"/>
        <v>🟢 No Evento</v>
      </c>
    </row>
    <row r="825" ht="15.75" customHeight="1">
      <c r="A825" s="13"/>
      <c r="B825" s="173" t="s">
        <v>169</v>
      </c>
      <c r="C825" s="199" t="str">
        <f t="array" ref="C825">IF(B825="","",IFERROR(INDEX('FUNCIONÁRIOS'!$B$4:$B$501,MATCH(B825,'FUNCIONÁRIOS'!$C$4:$C$501,0)),""))</f>
        <v>NLEDS LOCAÇÃO - PAINEIS DE LED </v>
      </c>
      <c r="D825" s="199" t="str">
        <f t="array" ref="D825">IF(B825="","",IFERROR(INDEX('FUNCIONÁRIOS'!$D$4:$D$501,MATCH(B825,'FUNCIONÁRIOS'!$C$4:$C$501,0)),""))</f>
        <v>MOTORISTA</v>
      </c>
      <c r="E825" s="199" t="str">
        <f t="array" ref="E825">IF(B825="","",IFERROR(INDEX('FUNCIONÁRIOS'!$E$4:$E$501,MATCH(B825,'FUNCIONÁRIOS'!$C$4:$C$501,0)),""))</f>
        <v>NÃO</v>
      </c>
      <c r="F825" s="138">
        <v>46169.0</v>
      </c>
      <c r="G825" s="115" t="str">
        <f t="shared" si="43"/>
        <v>✅ 13:20</v>
      </c>
      <c r="H825" s="174" t="s">
        <v>1815</v>
      </c>
      <c r="I825" s="117" t="str">
        <f t="shared" si="44"/>
        <v>→ Selecione a linha e use o menu ⏱️ Ponto</v>
      </c>
      <c r="J825" s="180"/>
      <c r="K825" s="179"/>
      <c r="L825" s="119" t="str">
        <f t="shared" si="45"/>
        <v>🟢 No Evento</v>
      </c>
    </row>
    <row r="826" ht="15.75" customHeight="1">
      <c r="A826" s="13"/>
      <c r="B826" s="173" t="s">
        <v>567</v>
      </c>
      <c r="C826" s="199" t="str">
        <f t="array" ref="C826">IF(B826="","",IFERROR(INDEX('FUNCIONÁRIOS'!$B$4:$B$501,MATCH(B826,'FUNCIONÁRIOS'!$C$4:$C$501,0)),""))</f>
        <v>VISUAL LIVE </v>
      </c>
      <c r="D826" s="199" t="str">
        <f t="array" ref="D826">IF(B826="","",IFERROR(INDEX('FUNCIONÁRIOS'!$D$4:$D$501,MATCH(B826,'FUNCIONÁRIOS'!$C$4:$C$501,0)),""))</f>
        <v>MONTADOR </v>
      </c>
      <c r="E826" s="199" t="str">
        <f t="array" ref="E826">IF(B826="","",IFERROR(INDEX('FUNCIONÁRIOS'!$E$4:$E$501,MATCH(B826,'FUNCIONÁRIOS'!$C$4:$C$501,0)),""))</f>
        <v>SIM</v>
      </c>
      <c r="F826" s="138">
        <v>46169.0</v>
      </c>
      <c r="G826" s="115" t="str">
        <f t="shared" si="43"/>
        <v>✅ 13:23</v>
      </c>
      <c r="H826" s="174" t="s">
        <v>1922</v>
      </c>
      <c r="I826" s="117" t="str">
        <f t="shared" si="44"/>
        <v>→ Selecione a linha e use o menu ⏱️ Ponto</v>
      </c>
      <c r="J826" s="180"/>
      <c r="K826" s="179"/>
      <c r="L826" s="119" t="str">
        <f t="shared" si="45"/>
        <v>🟢 No Evento</v>
      </c>
    </row>
    <row r="827" ht="15.75" customHeight="1">
      <c r="A827" s="13"/>
      <c r="B827" s="173" t="s">
        <v>442</v>
      </c>
      <c r="C827" s="199" t="str">
        <f t="array" ref="C827">IF(B827="","",IFERROR(INDEX('FUNCIONÁRIOS'!$B$4:$B$501,MATCH(B827,'FUNCIONÁRIOS'!$C$4:$C$501,0)),""))</f>
        <v>SHOWNEWS</v>
      </c>
      <c r="D827" s="199" t="str">
        <f t="array" ref="D827">IF(B827="","",IFERROR(INDEX('FUNCIONÁRIOS'!$D$4:$D$501,MATCH(B827,'FUNCIONÁRIOS'!$C$4:$C$501,0)),""))</f>
        <v>Montador</v>
      </c>
      <c r="E827" s="199" t="str">
        <f t="array" ref="E827">IF(B827="","",IFERROR(INDEX('FUNCIONÁRIOS'!$E$4:$E$501,MATCH(B827,'FUNCIONÁRIOS'!$C$4:$C$501,0)),""))</f>
        <v>NÃO</v>
      </c>
      <c r="F827" s="138">
        <v>46169.0</v>
      </c>
      <c r="G827" s="115" t="str">
        <f t="shared" si="43"/>
        <v>✅ 14:09</v>
      </c>
      <c r="H827" s="174" t="s">
        <v>1923</v>
      </c>
      <c r="I827" s="117" t="str">
        <f t="shared" si="44"/>
        <v>✅ 15:53</v>
      </c>
      <c r="J827" s="174" t="s">
        <v>1924</v>
      </c>
      <c r="K827" s="175">
        <v>0.07222222222222219</v>
      </c>
      <c r="L827" s="119" t="str">
        <f t="shared" si="45"/>
        <v>✅ Finalizado</v>
      </c>
    </row>
    <row r="828" ht="15.75" customHeight="1">
      <c r="A828" s="13"/>
      <c r="B828" s="173" t="s">
        <v>234</v>
      </c>
      <c r="C828" s="199" t="str">
        <f t="array" ref="C828">IF(B828="","",IFERROR(INDEX('FUNCIONÁRIOS'!$B$4:$B$501,MATCH(B828,'FUNCIONÁRIOS'!$C$4:$C$501,0)),""))</f>
        <v>EL SHADDAI</v>
      </c>
      <c r="D828" s="199" t="str">
        <f t="array" ref="D828">IF(B828="","",IFERROR(INDEX('FUNCIONÁRIOS'!$D$4:$D$501,MATCH(B828,'FUNCIONÁRIOS'!$C$4:$C$501,0)),""))</f>
        <v>ENGENHARIA DE PRODUÇÃO </v>
      </c>
      <c r="E828" s="199" t="str">
        <f t="array" ref="E828">IF(B828="","",IFERROR(INDEX('FUNCIONÁRIOS'!$E$4:$E$501,MATCH(B828,'FUNCIONÁRIOS'!$C$4:$C$501,0)),""))</f>
        <v>NÃO</v>
      </c>
      <c r="F828" s="138">
        <v>46169.0</v>
      </c>
      <c r="G828" s="115" t="str">
        <f t="shared" si="43"/>
        <v>✅ 14:34</v>
      </c>
      <c r="H828" s="174" t="s">
        <v>1642</v>
      </c>
      <c r="I828" s="117" t="str">
        <f t="shared" si="44"/>
        <v>→ Selecione a linha e use o menu ⏱️ Ponto</v>
      </c>
      <c r="J828" s="180"/>
      <c r="K828" s="179"/>
      <c r="L828" s="119" t="str">
        <f t="shared" si="45"/>
        <v>🟢 No Evento</v>
      </c>
    </row>
    <row r="829" ht="15.75" customHeight="1">
      <c r="A829" s="13"/>
      <c r="B829" s="173" t="s">
        <v>554</v>
      </c>
      <c r="C829" s="199" t="str">
        <f t="array" ref="C829">IF(B829="","",IFERROR(INDEX('FUNCIONÁRIOS'!$B$4:$B$501,MATCH(B829,'FUNCIONÁRIOS'!$C$4:$C$501,0)),""))</f>
        <v>FABINHO EVENTOS </v>
      </c>
      <c r="D829" s="199" t="str">
        <f t="array" ref="D829">IF(B829="","",IFERROR(INDEX('FUNCIONÁRIOS'!$D$4:$D$501,MATCH(B829,'FUNCIONÁRIOS'!$C$4:$C$501,0)),""))</f>
        <v>COORDENADOR DOS AMBULANTES </v>
      </c>
      <c r="E829" s="199" t="str">
        <f t="array" ref="E829">IF(B829="","",IFERROR(INDEX('FUNCIONÁRIOS'!$E$4:$E$501,MATCH(B829,'FUNCIONÁRIOS'!$C$4:$C$501,0)),""))</f>
        <v>SIM</v>
      </c>
      <c r="F829" s="138">
        <v>46169.0</v>
      </c>
      <c r="G829" s="115" t="str">
        <f t="shared" si="43"/>
        <v>✅ 15:07</v>
      </c>
      <c r="H829" s="174" t="s">
        <v>1925</v>
      </c>
      <c r="I829" s="117" t="str">
        <f t="shared" si="44"/>
        <v>→ Selecione a linha e use o menu ⏱️ Ponto</v>
      </c>
      <c r="J829" s="180"/>
      <c r="K829" s="179"/>
      <c r="L829" s="119" t="str">
        <f t="shared" si="45"/>
        <v>🟢 No Evento</v>
      </c>
    </row>
    <row r="830" ht="15.75" customHeight="1">
      <c r="A830" s="13"/>
      <c r="B830" s="173" t="s">
        <v>556</v>
      </c>
      <c r="C830" s="199" t="str">
        <f t="array" ref="C830">IF(B830="","",IFERROR(INDEX('FUNCIONÁRIOS'!$B$4:$B$501,MATCH(B830,'FUNCIONÁRIOS'!$C$4:$C$501,0)),""))</f>
        <v>FABINHO EVENTOS </v>
      </c>
      <c r="D830" s="199" t="str">
        <f t="array" ref="D830">IF(B830="","",IFERROR(INDEX('FUNCIONÁRIOS'!$D$4:$D$501,MATCH(B830,'FUNCIONÁRIOS'!$C$4:$C$501,0)),""))</f>
        <v>AMBULANTE </v>
      </c>
      <c r="E830" s="199" t="str">
        <f t="array" ref="E830">IF(B830="","",IFERROR(INDEX('FUNCIONÁRIOS'!$E$4:$E$501,MATCH(B830,'FUNCIONÁRIOS'!$C$4:$C$501,0)),""))</f>
        <v>NÃO</v>
      </c>
      <c r="F830" s="138">
        <v>46169.0</v>
      </c>
      <c r="G830" s="115" t="str">
        <f t="shared" si="43"/>
        <v>✅ 15:08</v>
      </c>
      <c r="H830" s="174" t="s">
        <v>1926</v>
      </c>
      <c r="I830" s="117" t="str">
        <f t="shared" si="44"/>
        <v>→ Selecione a linha e use o menu ⏱️ Ponto</v>
      </c>
      <c r="J830" s="180"/>
      <c r="K830" s="179"/>
      <c r="L830" s="119" t="str">
        <f t="shared" si="45"/>
        <v>🟢 No Evento</v>
      </c>
    </row>
    <row r="831" ht="15.75" customHeight="1">
      <c r="A831" s="13"/>
      <c r="B831" s="173" t="s">
        <v>790</v>
      </c>
      <c r="C831" s="199" t="str">
        <f t="array" ref="C831">IF(B831="","",IFERROR(INDEX('FUNCIONÁRIOS'!$B$4:$B$501,MATCH(B831,'FUNCIONÁRIOS'!$C$4:$C$501,0)),""))</f>
        <v>REISFORT</v>
      </c>
      <c r="D831" s="199" t="str">
        <f t="array" ref="D831">IF(B831="","",IFERROR(INDEX('FUNCIONÁRIOS'!$D$4:$D$501,MATCH(B831,'FUNCIONÁRIOS'!$C$4:$C$501,0)),""))</f>
        <v>MONTADOR </v>
      </c>
      <c r="E831" s="199" t="str">
        <f t="array" ref="E831">IF(B831="","",IFERROR(INDEX('FUNCIONÁRIOS'!$E$4:$E$501,MATCH(B831,'FUNCIONÁRIOS'!$C$4:$C$501,0)),""))</f>
        <v>NÃO</v>
      </c>
      <c r="F831" s="138">
        <v>46169.0</v>
      </c>
      <c r="G831" s="115" t="str">
        <f t="shared" si="43"/>
        <v>✅ 15:27</v>
      </c>
      <c r="H831" s="174" t="s">
        <v>1927</v>
      </c>
      <c r="I831" s="117" t="str">
        <f t="shared" si="44"/>
        <v>→ Selecione a linha e use o menu ⏱️ Ponto</v>
      </c>
      <c r="J831" s="180"/>
      <c r="K831" s="179"/>
      <c r="L831" s="119" t="str">
        <f t="shared" si="45"/>
        <v>🟢 No Evento</v>
      </c>
    </row>
    <row r="832" ht="15.75" customHeight="1">
      <c r="A832" s="13"/>
      <c r="B832" s="173" t="s">
        <v>192</v>
      </c>
      <c r="C832" s="199" t="str">
        <f t="array" ref="C832">IF(B832="","",IFERROR(INDEX('FUNCIONÁRIOS'!$B$4:$B$501,MATCH(B832,'FUNCIONÁRIOS'!$C$4:$C$501,0)),""))</f>
        <v>ASSOCIAÇÃO ASSUNÇÃO </v>
      </c>
      <c r="D832" s="199" t="str">
        <f t="array" ref="D832">IF(B832="","",IFERROR(INDEX('FUNCIONÁRIOS'!$D$4:$D$501,MATCH(B832,'FUNCIONÁRIOS'!$C$4:$C$501,0)),""))</f>
        <v>ADVOGADO </v>
      </c>
      <c r="E832" s="199" t="str">
        <f t="array" ref="E832">IF(B832="","",IFERROR(INDEX('FUNCIONÁRIOS'!$E$4:$E$501,MATCH(B832,'FUNCIONÁRIOS'!$C$4:$C$501,0)),""))</f>
        <v>NÃO</v>
      </c>
      <c r="F832" s="138">
        <v>46169.0</v>
      </c>
      <c r="G832" s="115" t="str">
        <f t="shared" si="43"/>
        <v>✅ 15:34</v>
      </c>
      <c r="H832" s="174" t="s">
        <v>1619</v>
      </c>
      <c r="I832" s="117" t="str">
        <f t="shared" si="44"/>
        <v>✅ 16:50</v>
      </c>
      <c r="J832" s="178">
        <v>0.7013888888888888</v>
      </c>
      <c r="K832" s="179"/>
      <c r="L832" s="119" t="str">
        <f t="shared" si="45"/>
        <v>✅ Finalizado</v>
      </c>
    </row>
    <row r="833" ht="15.75" customHeight="1">
      <c r="A833" s="13"/>
      <c r="B833" s="173" t="s">
        <v>838</v>
      </c>
      <c r="C833" s="199" t="str">
        <f t="array" ref="C833">IF(B833="","",IFERROR(INDEX('FUNCIONÁRIOS'!$B$4:$B$501,MATCH(B833,'FUNCIONÁRIOS'!$C$4:$C$501,0)),""))</f>
        <v>ASSESSORIA DE IMPRENSA</v>
      </c>
      <c r="D833" s="199" t="str">
        <f t="array" ref="D833">IF(B833="","",IFERROR(INDEX('FUNCIONÁRIOS'!$D$4:$D$501,MATCH(B833,'FUNCIONÁRIOS'!$C$4:$C$501,0)),""))</f>
        <v>MARKETING</v>
      </c>
      <c r="E833" s="199" t="str">
        <f t="array" ref="E833">IF(B833="","",IFERROR(INDEX('FUNCIONÁRIOS'!$E$4:$E$501,MATCH(B833,'FUNCIONÁRIOS'!$C$4:$C$501,0)),""))</f>
        <v>NÃO</v>
      </c>
      <c r="F833" s="138">
        <v>46169.0</v>
      </c>
      <c r="G833" s="115" t="str">
        <f t="shared" si="43"/>
        <v>✅ 17:20</v>
      </c>
      <c r="H833" s="174" t="s">
        <v>1928</v>
      </c>
      <c r="I833" s="117" t="str">
        <f t="shared" si="44"/>
        <v>→ Selecione a linha e use o menu ⏱️ Ponto</v>
      </c>
      <c r="J833" s="180"/>
      <c r="K833" s="179"/>
      <c r="L833" s="119" t="str">
        <f t="shared" si="45"/>
        <v>🟢 No Evento</v>
      </c>
    </row>
    <row r="834" ht="15.75" customHeight="1">
      <c r="A834" s="13"/>
      <c r="B834" s="173" t="s">
        <v>517</v>
      </c>
      <c r="C834" s="199" t="str">
        <f t="array" ref="C834">IF(B834="","",IFERROR(INDEX('FUNCIONÁRIOS'!$B$4:$B$501,MATCH(B834,'FUNCIONÁRIOS'!$C$4:$C$501,0)),""))</f>
        <v>DORORÔ</v>
      </c>
      <c r="D834" s="199" t="str">
        <f t="array" ref="D834">IF(B834="","",IFERROR(INDEX('FUNCIONÁRIOS'!$D$4:$D$501,MATCH(B834,'FUNCIONÁRIOS'!$C$4:$C$501,0)),""))</f>
        <v>cordenador</v>
      </c>
      <c r="E834" s="199" t="str">
        <f t="array" ref="E834">IF(B834="","",IFERROR(INDEX('FUNCIONÁRIOS'!$E$4:$E$501,MATCH(B834,'FUNCIONÁRIOS'!$C$4:$C$501,0)),""))</f>
        <v>SIM</v>
      </c>
      <c r="F834" s="138">
        <v>46169.0</v>
      </c>
      <c r="G834" s="115" t="str">
        <f t="shared" si="43"/>
        <v>✅ 17:22</v>
      </c>
      <c r="H834" s="174" t="s">
        <v>1929</v>
      </c>
      <c r="I834" s="117" t="str">
        <f t="shared" si="44"/>
        <v>→ Selecione a linha e use o menu ⏱️ Ponto</v>
      </c>
      <c r="J834" s="180"/>
      <c r="K834" s="179"/>
      <c r="L834" s="119" t="str">
        <f t="shared" si="45"/>
        <v>🟢 No Evento</v>
      </c>
    </row>
    <row r="835" ht="15.75" customHeight="1">
      <c r="A835" s="13"/>
      <c r="B835" s="173" t="s">
        <v>96</v>
      </c>
      <c r="C835" s="199" t="str">
        <f t="array" ref="C835">IF(B835="","",IFERROR(INDEX('FUNCIONÁRIOS'!$B$4:$B$501,MATCH(B835,'FUNCIONÁRIOS'!$C$4:$C$501,0)),""))</f>
        <v>PONCIANO SOLUÇÕES </v>
      </c>
      <c r="D835" s="199" t="str">
        <f t="array" ref="D835">IF(B835="","",IFERROR(INDEX('FUNCIONÁRIOS'!$D$4:$D$501,MATCH(B835,'FUNCIONÁRIOS'!$C$4:$C$501,0)),""))</f>
        <v>CREDENCIAMENTO</v>
      </c>
      <c r="E835" s="199" t="str">
        <f t="array" ref="E835">IF(B835="","",IFERROR(INDEX('FUNCIONÁRIOS'!$E$4:$E$501,MATCH(B835,'FUNCIONÁRIOS'!$C$4:$C$501,0)),""))</f>
        <v>NÃO</v>
      </c>
      <c r="F835" s="138">
        <v>46169.0</v>
      </c>
      <c r="G835" s="115" t="str">
        <f t="shared" si="43"/>
        <v>→ Selecione a linha e use o menu ⏱️ Ponto</v>
      </c>
      <c r="H835" s="174"/>
      <c r="I835" s="117" t="str">
        <f t="shared" si="44"/>
        <v>→ Selecione a linha e use o menu ⏱️ Ponto</v>
      </c>
      <c r="J835" s="180"/>
      <c r="K835" s="179"/>
      <c r="L835" s="119" t="str">
        <f t="shared" si="45"/>
        <v>⏳ Não entrou</v>
      </c>
    </row>
    <row r="836" ht="15.75" customHeight="1">
      <c r="A836" s="13"/>
      <c r="B836" s="173" t="s">
        <v>778</v>
      </c>
      <c r="C836" s="199" t="str">
        <f t="array" ref="C836">IF(B836="","",IFERROR(INDEX('FUNCIONÁRIOS'!$B$4:$B$501,MATCH(B836,'FUNCIONÁRIOS'!$C$4:$C$501,0)),""))</f>
        <v>PRIVILEGE EVENTOS </v>
      </c>
      <c r="D836" s="199" t="str">
        <f t="array" ref="D836">IF(B836="","",IFERROR(INDEX('FUNCIONÁRIOS'!$D$4:$D$501,MATCH(B836,'FUNCIONÁRIOS'!$C$4:$C$501,0)),""))</f>
        <v>MOTORISTA </v>
      </c>
      <c r="E836" s="199" t="str">
        <f t="array" ref="E836">IF(B836="","",IFERROR(INDEX('FUNCIONÁRIOS'!$E$4:$E$501,MATCH(B836,'FUNCIONÁRIOS'!$C$4:$C$501,0)),""))</f>
        <v>NÃO</v>
      </c>
      <c r="F836" s="138">
        <v>46169.0</v>
      </c>
      <c r="G836" s="115" t="str">
        <f t="shared" si="43"/>
        <v>✅ 17:33</v>
      </c>
      <c r="H836" s="174" t="s">
        <v>1930</v>
      </c>
      <c r="I836" s="117" t="str">
        <f t="shared" si="44"/>
        <v>→ Selecione a linha e use o menu ⏱️ Ponto</v>
      </c>
      <c r="J836" s="180"/>
      <c r="K836" s="179"/>
      <c r="L836" s="119" t="str">
        <f t="shared" si="45"/>
        <v>🟢 No Evento</v>
      </c>
    </row>
    <row r="837" ht="15.75" customHeight="1">
      <c r="A837" s="13"/>
      <c r="B837" s="173" t="s">
        <v>785</v>
      </c>
      <c r="C837" s="199" t="str">
        <f t="array" ref="C837">IF(B837="","",IFERROR(INDEX('FUNCIONÁRIOS'!$B$4:$B$501,MATCH(B837,'FUNCIONÁRIOS'!$C$4:$C$501,0)),""))</f>
        <v>PRIVILEGE EVENTOS </v>
      </c>
      <c r="D837" s="199" t="str">
        <f t="array" ref="D837">IF(B837="","",IFERROR(INDEX('FUNCIONÁRIOS'!$D$4:$D$501,MATCH(B837,'FUNCIONÁRIOS'!$C$4:$C$501,0)),""))</f>
        <v>MONTADOR </v>
      </c>
      <c r="E837" s="199" t="str">
        <f t="array" ref="E837">IF(B837="","",IFERROR(INDEX('FUNCIONÁRIOS'!$E$4:$E$501,MATCH(B837,'FUNCIONÁRIOS'!$C$4:$C$501,0)),""))</f>
        <v>NÃO</v>
      </c>
      <c r="F837" s="138">
        <v>46169.0</v>
      </c>
      <c r="G837" s="115" t="str">
        <f t="shared" si="43"/>
        <v>✅ 17:47</v>
      </c>
      <c r="H837" s="174" t="s">
        <v>1663</v>
      </c>
      <c r="I837" s="117" t="str">
        <f t="shared" si="44"/>
        <v>→ Selecione a linha e use o menu ⏱️ Ponto</v>
      </c>
      <c r="J837" s="180"/>
      <c r="K837" s="179"/>
      <c r="L837" s="119" t="str">
        <f t="shared" si="45"/>
        <v>🟢 No Evento</v>
      </c>
    </row>
    <row r="838" ht="15.75" customHeight="1">
      <c r="A838" s="13"/>
      <c r="B838" s="173" t="s">
        <v>786</v>
      </c>
      <c r="C838" s="199" t="str">
        <f t="array" ref="C838">IF(B838="","",IFERROR(INDEX('FUNCIONÁRIOS'!$B$4:$B$501,MATCH(B838,'FUNCIONÁRIOS'!$C$4:$C$501,0)),""))</f>
        <v>PRIVILEGE EVENTOS </v>
      </c>
      <c r="D838" s="199" t="str">
        <f t="array" ref="D838">IF(B838="","",IFERROR(INDEX('FUNCIONÁRIOS'!$D$4:$D$501,MATCH(B838,'FUNCIONÁRIOS'!$C$4:$C$501,0)),""))</f>
        <v>MONTADOR </v>
      </c>
      <c r="E838" s="199" t="str">
        <f t="array" ref="E838">IF(B838="","",IFERROR(INDEX('FUNCIONÁRIOS'!$E$4:$E$501,MATCH(B838,'FUNCIONÁRIOS'!$C$4:$C$501,0)),""))</f>
        <v>NÃO</v>
      </c>
      <c r="F838" s="138">
        <v>46169.0</v>
      </c>
      <c r="G838" s="115" t="str">
        <f t="shared" si="43"/>
        <v>✅ 17:47</v>
      </c>
      <c r="H838" s="174" t="s">
        <v>1663</v>
      </c>
      <c r="I838" s="117" t="str">
        <f t="shared" si="44"/>
        <v>→ Selecione a linha e use o menu ⏱️ Ponto</v>
      </c>
      <c r="J838" s="180"/>
      <c r="K838" s="179"/>
      <c r="L838" s="119" t="str">
        <f t="shared" si="45"/>
        <v>🟢 No Evento</v>
      </c>
    </row>
    <row r="839" ht="15.75" customHeight="1">
      <c r="A839" s="13"/>
      <c r="B839" s="173"/>
      <c r="C839" s="199" t="str">
        <f t="array" ref="C839">IF(B839="","",IFERROR(INDEX('FUNCIONÁRIOS'!$B$4:$B$501,MATCH(B839,'FUNCIONÁRIOS'!$C$4:$C$501,0)),""))</f>
        <v/>
      </c>
      <c r="D839" s="199" t="str">
        <f t="array" ref="D839">IF(B839="","",IFERROR(INDEX('FUNCIONÁRIOS'!$D$4:$D$501,MATCH(B839,'FUNCIONÁRIOS'!$C$4:$C$501,0)),""))</f>
        <v/>
      </c>
      <c r="E839" s="199" t="str">
        <f t="array" ref="E839">IF(B839="","",IFERROR(INDEX('FUNCIONÁRIOS'!$E$4:$E$501,MATCH(B839,'FUNCIONÁRIOS'!$C$4:$C$501,0)),""))</f>
        <v/>
      </c>
      <c r="F839" s="138">
        <v>46169.0</v>
      </c>
      <c r="G839" s="115" t="str">
        <f t="shared" si="43"/>
        <v>→ Selecione a linha e use o menu ⏱️ Ponto</v>
      </c>
      <c r="H839" s="174"/>
      <c r="I839" s="117" t="str">
        <f t="shared" si="44"/>
        <v>→ Selecione a linha e use o menu ⏱️ Ponto</v>
      </c>
      <c r="J839" s="180"/>
      <c r="K839" s="179"/>
      <c r="L839" s="119" t="str">
        <f t="shared" si="45"/>
        <v/>
      </c>
    </row>
    <row r="840" ht="15.75" customHeight="1">
      <c r="A840" s="13"/>
      <c r="B840" s="173" t="s">
        <v>1389</v>
      </c>
      <c r="C840" s="199" t="str">
        <f t="array" ref="C840">IF(B840="","",IFERROR(INDEX('FUNCIONÁRIOS'!$B$4:$B$501,MATCH(B840,'FUNCIONÁRIOS'!$C$4:$C$501,0)),""))</f>
        <v/>
      </c>
      <c r="D840" s="199" t="str">
        <f t="array" ref="D840">IF(B840="","",IFERROR(INDEX('FUNCIONÁRIOS'!$D$4:$D$501,MATCH(B840,'FUNCIONÁRIOS'!$C$4:$C$501,0)),""))</f>
        <v/>
      </c>
      <c r="E840" s="199" t="str">
        <f t="array" ref="E840">IF(B840="","",IFERROR(INDEX('FUNCIONÁRIOS'!$E$4:$E$501,MATCH(B840,'FUNCIONÁRIOS'!$C$4:$C$501,0)),""))</f>
        <v/>
      </c>
      <c r="F840" s="138">
        <v>46169.0</v>
      </c>
      <c r="G840" s="115" t="str">
        <f t="shared" si="43"/>
        <v>✅ 17:45</v>
      </c>
      <c r="H840" s="174" t="s">
        <v>1667</v>
      </c>
      <c r="I840" s="117" t="str">
        <f t="shared" si="44"/>
        <v>→ Selecione a linha e use o menu ⏱️ Ponto</v>
      </c>
      <c r="J840" s="180"/>
      <c r="K840" s="179"/>
      <c r="L840" s="119" t="str">
        <f t="shared" si="45"/>
        <v>🟢 No Evento</v>
      </c>
    </row>
    <row r="841" ht="15.75" customHeight="1">
      <c r="A841" s="13"/>
      <c r="B841" s="173" t="s">
        <v>1400</v>
      </c>
      <c r="C841" s="199" t="str">
        <f t="array" ref="C841">IF(B841="","",IFERROR(INDEX('FUNCIONÁRIOS'!$B$4:$B$501,MATCH(B841,'FUNCIONÁRIOS'!$C$4:$C$501,0)),""))</f>
        <v/>
      </c>
      <c r="D841" s="199" t="str">
        <f t="array" ref="D841">IF(B841="","",IFERROR(INDEX('FUNCIONÁRIOS'!$D$4:$D$501,MATCH(B841,'FUNCIONÁRIOS'!$C$4:$C$501,0)),""))</f>
        <v/>
      </c>
      <c r="E841" s="199" t="str">
        <f t="array" ref="E841">IF(B841="","",IFERROR(INDEX('FUNCIONÁRIOS'!$E$4:$E$501,MATCH(B841,'FUNCIONÁRIOS'!$C$4:$C$501,0)),""))</f>
        <v/>
      </c>
      <c r="F841" s="138">
        <v>46169.0</v>
      </c>
      <c r="G841" s="115" t="str">
        <f t="shared" si="43"/>
        <v>✅ 17:53</v>
      </c>
      <c r="H841" s="174" t="s">
        <v>1869</v>
      </c>
      <c r="I841" s="117" t="str">
        <f t="shared" si="44"/>
        <v>→ Selecione a linha e use o menu ⏱️ Ponto</v>
      </c>
      <c r="J841" s="180"/>
      <c r="K841" s="179"/>
      <c r="L841" s="119" t="str">
        <f t="shared" si="45"/>
        <v>🟢 No Evento</v>
      </c>
    </row>
    <row r="842" ht="15.75" customHeight="1">
      <c r="A842" s="13"/>
      <c r="B842" s="173" t="s">
        <v>519</v>
      </c>
      <c r="C842" s="199" t="str">
        <f t="array" ref="C842">IF(B842="","",IFERROR(INDEX('FUNCIONÁRIOS'!$B$4:$B$501,MATCH(B842,'FUNCIONÁRIOS'!$C$4:$C$501,0)),""))</f>
        <v>DORORÔ</v>
      </c>
      <c r="D842" s="199" t="str">
        <f t="array" ref="D842">IF(B842="","",IFERROR(INDEX('FUNCIONÁRIOS'!$D$4:$D$501,MATCH(B842,'FUNCIONÁRIOS'!$C$4:$C$501,0)),""))</f>
        <v>cordenador</v>
      </c>
      <c r="E842" s="199" t="str">
        <f t="array" ref="E842">IF(B842="","",IFERROR(INDEX('FUNCIONÁRIOS'!$E$4:$E$501,MATCH(B842,'FUNCIONÁRIOS'!$C$4:$C$501,0)),""))</f>
        <v>SIM</v>
      </c>
      <c r="F842" s="138"/>
      <c r="G842" s="115" t="str">
        <f t="shared" si="43"/>
        <v>✅ 18:13</v>
      </c>
      <c r="H842" s="174" t="s">
        <v>1875</v>
      </c>
      <c r="I842" s="117" t="str">
        <f t="shared" si="44"/>
        <v>→ Selecione a linha e use o menu ⏱️ Ponto</v>
      </c>
      <c r="J842" s="180"/>
      <c r="K842" s="179"/>
      <c r="L842" s="119" t="str">
        <f t="shared" si="45"/>
        <v>🟢 No Evento</v>
      </c>
    </row>
    <row r="843" ht="15.75" customHeight="1">
      <c r="A843" s="13"/>
      <c r="B843" s="173" t="s">
        <v>384</v>
      </c>
      <c r="C843" s="199" t="str">
        <f t="array" ref="C843">IF(B843="","",IFERROR(INDEX('FUNCIONÁRIOS'!$B$4:$B$501,MATCH(B843,'FUNCIONÁRIOS'!$C$4:$C$501,0)),""))</f>
        <v>GO TO </v>
      </c>
      <c r="D843" s="199" t="str">
        <f t="array" ref="D843">IF(B843="","",IFERROR(INDEX('FUNCIONÁRIOS'!$D$4:$D$501,MATCH(B843,'FUNCIONÁRIOS'!$C$4:$C$501,0)),""))</f>
        <v>MONTADOR</v>
      </c>
      <c r="E843" s="199" t="str">
        <f t="array" ref="E843">IF(B843="","",IFERROR(INDEX('FUNCIONÁRIOS'!$E$4:$E$501,MATCH(B843,'FUNCIONÁRIOS'!$C$4:$C$501,0)),""))</f>
        <v>NÃO</v>
      </c>
      <c r="F843" s="138"/>
      <c r="G843" s="115" t="str">
        <f t="shared" si="43"/>
        <v>✅ 18:19</v>
      </c>
      <c r="H843" s="174" t="s">
        <v>1931</v>
      </c>
      <c r="I843" s="117" t="str">
        <f t="shared" si="44"/>
        <v>✅ 22:52</v>
      </c>
      <c r="J843" s="178">
        <v>0.9527777777777777</v>
      </c>
      <c r="K843" s="179"/>
      <c r="L843" s="119" t="str">
        <f t="shared" si="45"/>
        <v>✅ Finalizado</v>
      </c>
    </row>
    <row r="844" ht="15.75" customHeight="1">
      <c r="A844" s="13"/>
      <c r="B844" s="173" t="s">
        <v>840</v>
      </c>
      <c r="C844" s="199" t="str">
        <f t="array" ref="C844">IF(B844="","",IFERROR(INDEX('FUNCIONÁRIOS'!$B$4:$B$501,MATCH(B844,'FUNCIONÁRIOS'!$C$4:$C$501,0)),""))</f>
        <v>VALADARES EVENTOS </v>
      </c>
      <c r="D844" s="199" t="str">
        <f t="array" ref="D844">IF(B844="","",IFERROR(INDEX('FUNCIONÁRIOS'!$D$4:$D$501,MATCH(B844,'FUNCIONÁRIOS'!$C$4:$C$501,0)),""))</f>
        <v>MONTADOR </v>
      </c>
      <c r="E844" s="199" t="str">
        <f t="array" ref="E844">IF(B844="","",IFERROR(INDEX('FUNCIONÁRIOS'!$E$4:$E$501,MATCH(B844,'FUNCIONÁRIOS'!$C$4:$C$501,0)),""))</f>
        <v>NÃO</v>
      </c>
      <c r="F844" s="138"/>
      <c r="G844" s="115" t="str">
        <f t="shared" si="43"/>
        <v>✅ 18:24</v>
      </c>
      <c r="H844" s="174" t="s">
        <v>1932</v>
      </c>
      <c r="I844" s="117" t="str">
        <f t="shared" si="44"/>
        <v>→ Selecione a linha e use o menu ⏱️ Ponto</v>
      </c>
      <c r="J844" s="180"/>
      <c r="K844" s="179"/>
      <c r="L844" s="119" t="str">
        <f t="shared" si="45"/>
        <v>🟢 No Evento</v>
      </c>
    </row>
    <row r="845" ht="15.75" customHeight="1">
      <c r="A845" s="13"/>
      <c r="B845" s="173" t="s">
        <v>360</v>
      </c>
      <c r="C845" s="199" t="str">
        <f t="array" ref="C845">IF(B845="","",IFERROR(INDEX('FUNCIONÁRIOS'!$B$4:$B$501,MATCH(B845,'FUNCIONÁRIOS'!$C$4:$C$501,0)),""))</f>
        <v>GO TO </v>
      </c>
      <c r="D845" s="199" t="str">
        <f t="array" ref="D845">IF(B845="","",IFERROR(INDEX('FUNCIONÁRIOS'!$D$4:$D$501,MATCH(B845,'FUNCIONÁRIOS'!$C$4:$C$501,0)),""))</f>
        <v>MONTADOR</v>
      </c>
      <c r="E845" s="199" t="str">
        <f t="array" ref="E845">IF(B845="","",IFERROR(INDEX('FUNCIONÁRIOS'!$E$4:$E$501,MATCH(B845,'FUNCIONÁRIOS'!$C$4:$C$501,0)),""))</f>
        <v>NÃO</v>
      </c>
      <c r="F845" s="138"/>
      <c r="G845" s="115" t="str">
        <f t="shared" si="43"/>
        <v>✅ 18:41</v>
      </c>
      <c r="H845" s="174" t="s">
        <v>1608</v>
      </c>
      <c r="I845" s="117" t="str">
        <f t="shared" si="44"/>
        <v>✅ 22:57</v>
      </c>
      <c r="J845" s="178">
        <v>0.95625</v>
      </c>
      <c r="K845" s="179"/>
      <c r="L845" s="119" t="str">
        <f t="shared" si="45"/>
        <v>✅ Finalizado</v>
      </c>
    </row>
    <row r="846" ht="15.75" customHeight="1">
      <c r="A846" s="13"/>
      <c r="B846" s="173" t="s">
        <v>356</v>
      </c>
      <c r="C846" s="199" t="str">
        <f t="array" ref="C846">IF(B846="","",IFERROR(INDEX('FUNCIONÁRIOS'!$B$4:$B$501,MATCH(B846,'FUNCIONÁRIOS'!$C$4:$C$501,0)),""))</f>
        <v>GO TO </v>
      </c>
      <c r="D846" s="199" t="str">
        <f t="array" ref="D846">IF(B846="","",IFERROR(INDEX('FUNCIONÁRIOS'!$D$4:$D$501,MATCH(B846,'FUNCIONÁRIOS'!$C$4:$C$501,0)),""))</f>
        <v>MONTADOR</v>
      </c>
      <c r="E846" s="199" t="str">
        <f t="array" ref="E846">IF(B846="","",IFERROR(INDEX('FUNCIONÁRIOS'!$E$4:$E$501,MATCH(B846,'FUNCIONÁRIOS'!$C$4:$C$501,0)),""))</f>
        <v>NÃO</v>
      </c>
      <c r="F846" s="138"/>
      <c r="G846" s="115" t="str">
        <f t="shared" si="43"/>
        <v>✅ 18:42</v>
      </c>
      <c r="H846" s="174" t="s">
        <v>1607</v>
      </c>
      <c r="I846" s="117" t="str">
        <f t="shared" si="44"/>
        <v>✅ 23:01</v>
      </c>
      <c r="J846" s="178">
        <v>0.9590277777777778</v>
      </c>
      <c r="K846" s="179"/>
      <c r="L846" s="119" t="str">
        <f t="shared" si="45"/>
        <v>✅ Finalizado</v>
      </c>
    </row>
    <row r="847" ht="15.75" customHeight="1">
      <c r="A847" s="13"/>
      <c r="B847" s="173"/>
      <c r="C847" s="199"/>
      <c r="D847" s="199"/>
      <c r="E847" s="199"/>
      <c r="F847" s="138"/>
      <c r="G847" s="115" t="str">
        <f t="shared" si="43"/>
        <v>→ Selecione a linha e use o menu ⏱️ Ponto</v>
      </c>
      <c r="H847" s="174"/>
      <c r="I847" s="117" t="str">
        <f t="shared" si="44"/>
        <v>→ Selecione a linha e use o menu ⏱️ Ponto</v>
      </c>
      <c r="J847" s="180"/>
      <c r="K847" s="179"/>
      <c r="L847" s="119" t="str">
        <f t="shared" si="45"/>
        <v/>
      </c>
    </row>
    <row r="848" ht="15.75" customHeight="1">
      <c r="A848" s="13"/>
      <c r="B848" s="173" t="s">
        <v>569</v>
      </c>
      <c r="C848" s="199" t="str">
        <f t="array" ref="C848">IF(B848="","",IFERROR(INDEX('FUNCIONÁRIOS'!$B$4:$B$501,MATCH(B848,'FUNCIONÁRIOS'!$C$4:$C$501,0)),""))</f>
        <v>VISUAL LIVE </v>
      </c>
      <c r="D848" s="199" t="str">
        <f t="array" ref="D848">IF(B848="","",IFERROR(INDEX('FUNCIONÁRIOS'!$D$4:$D$501,MATCH(B848,'FUNCIONÁRIOS'!$C$4:$C$501,0)),""))</f>
        <v>MONTADOR </v>
      </c>
      <c r="E848" s="199" t="str">
        <f t="array" ref="E848">IF(B848="","",IFERROR(INDEX('FUNCIONÁRIOS'!$E$4:$E$501,MATCH(B848,'FUNCIONÁRIOS'!$C$4:$C$501,0)),""))</f>
        <v>NÃO</v>
      </c>
      <c r="F848" s="138">
        <v>46169.0</v>
      </c>
      <c r="G848" s="115" t="str">
        <f t="shared" si="43"/>
        <v>✅ 08:16</v>
      </c>
      <c r="H848" s="174" t="s">
        <v>1633</v>
      </c>
      <c r="I848" s="117" t="str">
        <f t="shared" si="44"/>
        <v>✅ 18:45</v>
      </c>
      <c r="J848" s="174" t="s">
        <v>1604</v>
      </c>
      <c r="K848" s="175">
        <v>0.43680555555555556</v>
      </c>
      <c r="L848" s="119" t="str">
        <f t="shared" si="45"/>
        <v>✅ Finalizado</v>
      </c>
    </row>
    <row r="849" ht="15.75" customHeight="1">
      <c r="A849" s="13"/>
      <c r="B849" s="173" t="s">
        <v>1433</v>
      </c>
      <c r="C849" s="199" t="str">
        <f t="array" ref="C849">IF(B849="","",IFERROR(INDEX('FUNCIONÁRIOS'!$B$4:$B$501,MATCH(B849,'FUNCIONÁRIOS'!$C$4:$C$501,0)),""))</f>
        <v/>
      </c>
      <c r="D849" s="199" t="str">
        <f t="array" ref="D849">IF(B849="","",IFERROR(INDEX('FUNCIONÁRIOS'!$D$4:$D$501,MATCH(B849,'FUNCIONÁRIOS'!$C$4:$C$501,0)),""))</f>
        <v/>
      </c>
      <c r="E849" s="199" t="str">
        <f t="array" ref="E849">IF(B849="","",IFERROR(INDEX('FUNCIONÁRIOS'!$E$4:$E$501,MATCH(B849,'FUNCIONÁRIOS'!$C$4:$C$501,0)),""))</f>
        <v/>
      </c>
      <c r="F849" s="138"/>
      <c r="G849" s="115" t="str">
        <f t="shared" si="43"/>
        <v>✅ 18:56</v>
      </c>
      <c r="H849" s="174" t="s">
        <v>1933</v>
      </c>
      <c r="I849" s="117" t="str">
        <f t="shared" si="44"/>
        <v>→ Selecione a linha e use o menu ⏱️ Ponto</v>
      </c>
      <c r="J849" s="180"/>
      <c r="K849" s="179"/>
      <c r="L849" s="119" t="str">
        <f t="shared" si="45"/>
        <v>🟢 No Evento</v>
      </c>
    </row>
    <row r="850" ht="15.75" customHeight="1">
      <c r="A850" s="13"/>
      <c r="B850" s="173" t="s">
        <v>125</v>
      </c>
      <c r="C850" s="199" t="str">
        <f t="array" ref="C850">IF(B850="","",IFERROR(INDEX('FUNCIONÁRIOS'!$B$4:$B$501,MATCH(B850,'FUNCIONÁRIOS'!$C$4:$C$501,0)),""))</f>
        <v>MONTE EVENTOS </v>
      </c>
      <c r="D850" s="199" t="str">
        <f t="array" ref="D850">IF(B850="","",IFERROR(INDEX('FUNCIONÁRIOS'!$D$4:$D$501,MATCH(B850,'FUNCIONÁRIOS'!$C$4:$C$501,0)),""))</f>
        <v>MONTADOR</v>
      </c>
      <c r="E850" s="199" t="str">
        <f t="array" ref="E850">IF(B850="","",IFERROR(INDEX('FUNCIONÁRIOS'!$E$4:$E$501,MATCH(B850,'FUNCIONÁRIOS'!$C$4:$C$501,0)),""))</f>
        <v>NÃO</v>
      </c>
      <c r="F850" s="138"/>
      <c r="G850" s="115" t="str">
        <f t="shared" si="43"/>
        <v>✅ 09:30</v>
      </c>
      <c r="H850" s="174" t="s">
        <v>1807</v>
      </c>
      <c r="I850" s="117" t="str">
        <f t="shared" si="44"/>
        <v>✅ 19:01</v>
      </c>
      <c r="J850" s="174" t="s">
        <v>1934</v>
      </c>
      <c r="K850" s="175">
        <v>0.39652777777777776</v>
      </c>
      <c r="L850" s="119" t="str">
        <f t="shared" si="45"/>
        <v>✅ Finalizado</v>
      </c>
    </row>
    <row r="851" ht="15.75" customHeight="1">
      <c r="A851" s="13"/>
      <c r="B851" s="173" t="s">
        <v>118</v>
      </c>
      <c r="C851" s="199" t="str">
        <f t="array" ref="C851">IF(B851="","",IFERROR(INDEX('FUNCIONÁRIOS'!$B$4:$B$501,MATCH(B851,'FUNCIONÁRIOS'!$C$4:$C$501,0)),""))</f>
        <v>MONTE EVENTOS </v>
      </c>
      <c r="D851" s="199" t="str">
        <f t="array" ref="D851">IF(B851="","",IFERROR(INDEX('FUNCIONÁRIOS'!$D$4:$D$501,MATCH(B851,'FUNCIONÁRIOS'!$C$4:$C$501,0)),""))</f>
        <v>MONTADOR</v>
      </c>
      <c r="E851" s="199" t="str">
        <f t="array" ref="E851">IF(B851="","",IFERROR(INDEX('FUNCIONÁRIOS'!$E$4:$E$501,MATCH(B851,'FUNCIONÁRIOS'!$C$4:$C$501,0)),""))</f>
        <v>NÃO</v>
      </c>
      <c r="F851" s="138"/>
      <c r="G851" s="115" t="str">
        <f t="shared" si="43"/>
        <v>→ Selecione a linha e use o menu ⏱️ Ponto</v>
      </c>
      <c r="H851" s="174"/>
      <c r="I851" s="117" t="str">
        <f t="shared" si="44"/>
        <v>✅ 19:09</v>
      </c>
      <c r="J851" s="178">
        <v>0.7979166666666667</v>
      </c>
      <c r="K851" s="179"/>
      <c r="L851" s="119" t="str">
        <f t="shared" si="45"/>
        <v>⏳ Não entrou</v>
      </c>
    </row>
    <row r="852" ht="15.75" customHeight="1">
      <c r="A852" s="13"/>
      <c r="B852" s="173" t="s">
        <v>123</v>
      </c>
      <c r="C852" s="199" t="str">
        <f t="array" ref="C852">IF(B852="","",IFERROR(INDEX('FUNCIONÁRIOS'!$B$4:$B$501,MATCH(B852,'FUNCIONÁRIOS'!$C$4:$C$501,0)),""))</f>
        <v>MONTE EVENTOS </v>
      </c>
      <c r="D852" s="199" t="str">
        <f t="array" ref="D852">IF(B852="","",IFERROR(INDEX('FUNCIONÁRIOS'!$D$4:$D$501,MATCH(B852,'FUNCIONÁRIOS'!$C$4:$C$501,0)),""))</f>
        <v>MONTADOR</v>
      </c>
      <c r="E852" s="199" t="str">
        <f t="array" ref="E852">IF(B852="","",IFERROR(INDEX('FUNCIONÁRIOS'!$E$4:$E$501,MATCH(B852,'FUNCIONÁRIOS'!$C$4:$C$501,0)),""))</f>
        <v>NÃO</v>
      </c>
      <c r="F852" s="138"/>
      <c r="G852" s="115" t="str">
        <f t="shared" si="43"/>
        <v>→ Selecione a linha e use o menu ⏱️ Ponto</v>
      </c>
      <c r="H852" s="174"/>
      <c r="I852" s="117" t="str">
        <f t="shared" si="44"/>
        <v>✅ 19:09</v>
      </c>
      <c r="J852" s="178">
        <v>0.7979166666666667</v>
      </c>
      <c r="K852" s="179"/>
      <c r="L852" s="119" t="str">
        <f t="shared" si="45"/>
        <v>⏳ Não entrou</v>
      </c>
    </row>
    <row r="853" ht="15.75" customHeight="1">
      <c r="A853" s="13"/>
      <c r="B853" s="173" t="s">
        <v>111</v>
      </c>
      <c r="C853" s="199" t="str">
        <f t="array" ref="C853">IF(B853="","",IFERROR(INDEX('FUNCIONÁRIOS'!$B$4:$B$501,MATCH(B853,'FUNCIONÁRIOS'!$C$4:$C$501,0)),""))</f>
        <v>MONTE EVENTOS </v>
      </c>
      <c r="D853" s="199" t="str">
        <f t="array" ref="D853">IF(B853="","",IFERROR(INDEX('FUNCIONÁRIOS'!$D$4:$D$501,MATCH(B853,'FUNCIONÁRIOS'!$C$4:$C$501,0)),""))</f>
        <v>MONTADOR</v>
      </c>
      <c r="E853" s="199" t="str">
        <f t="array" ref="E853">IF(B853="","",IFERROR(INDEX('FUNCIONÁRIOS'!$E$4:$E$501,MATCH(B853,'FUNCIONÁRIOS'!$C$4:$C$501,0)),""))</f>
        <v>NÃO</v>
      </c>
      <c r="F853" s="138"/>
      <c r="G853" s="115" t="str">
        <f t="shared" si="43"/>
        <v>→ Selecione a linha e use o menu ⏱️ Ponto</v>
      </c>
      <c r="H853" s="174"/>
      <c r="I853" s="117" t="str">
        <f t="shared" si="44"/>
        <v>✅ 19:10</v>
      </c>
      <c r="J853" s="178">
        <v>0.7986111111111112</v>
      </c>
      <c r="K853" s="179"/>
      <c r="L853" s="119" t="str">
        <f t="shared" si="45"/>
        <v>⏳ Não entrou</v>
      </c>
    </row>
    <row r="854" ht="15.75" customHeight="1">
      <c r="A854" s="13"/>
      <c r="B854" s="173" t="s">
        <v>112</v>
      </c>
      <c r="C854" s="199" t="str">
        <f t="array" ref="C854">IF(B854="","",IFERROR(INDEX('FUNCIONÁRIOS'!$B$4:$B$501,MATCH(B854,'FUNCIONÁRIOS'!$C$4:$C$501,0)),""))</f>
        <v>MONTE EVENTOS </v>
      </c>
      <c r="D854" s="199" t="str">
        <f t="array" ref="D854">IF(B854="","",IFERROR(INDEX('FUNCIONÁRIOS'!$D$4:$D$501,MATCH(B854,'FUNCIONÁRIOS'!$C$4:$C$501,0)),""))</f>
        <v>MONTADOR</v>
      </c>
      <c r="E854" s="199" t="str">
        <f t="array" ref="E854">IF(B854="","",IFERROR(INDEX('FUNCIONÁRIOS'!$E$4:$E$501,MATCH(B854,'FUNCIONÁRIOS'!$C$4:$C$501,0)),""))</f>
        <v>NÃO</v>
      </c>
      <c r="F854" s="138"/>
      <c r="G854" s="115" t="str">
        <f t="shared" si="43"/>
        <v>→ Selecione a linha e use o menu ⏱️ Ponto</v>
      </c>
      <c r="H854" s="174"/>
      <c r="I854" s="117" t="str">
        <f t="shared" si="44"/>
        <v>✅ 19:10</v>
      </c>
      <c r="J854" s="178">
        <v>0.7986111111111112</v>
      </c>
      <c r="K854" s="179"/>
      <c r="L854" s="119" t="str">
        <f t="shared" si="45"/>
        <v>⏳ Não entrou</v>
      </c>
    </row>
    <row r="855" ht="15.75" customHeight="1">
      <c r="A855" s="13"/>
      <c r="B855" s="173" t="s">
        <v>1435</v>
      </c>
      <c r="C855" s="199" t="str">
        <f t="array" ref="C855">IF(B855="","",IFERROR(INDEX('FUNCIONÁRIOS'!$B$4:$B$501,MATCH(B855,'FUNCIONÁRIOS'!$C$4:$C$501,0)),""))</f>
        <v/>
      </c>
      <c r="D855" s="199" t="str">
        <f t="array" ref="D855">IF(B855="","",IFERROR(INDEX('FUNCIONÁRIOS'!$D$4:$D$501,MATCH(B855,'FUNCIONÁRIOS'!$C$4:$C$501,0)),""))</f>
        <v/>
      </c>
      <c r="E855" s="199" t="str">
        <f t="array" ref="E855">IF(B855="","",IFERROR(INDEX('FUNCIONÁRIOS'!$E$4:$E$501,MATCH(B855,'FUNCIONÁRIOS'!$C$4:$C$501,0)),""))</f>
        <v/>
      </c>
      <c r="F855" s="138"/>
      <c r="G855" s="115" t="str">
        <f t="shared" si="43"/>
        <v>✅ 19:13</v>
      </c>
      <c r="H855" s="174" t="s">
        <v>1935</v>
      </c>
      <c r="I855" s="117" t="str">
        <f t="shared" si="44"/>
        <v>→ Selecione a linha e use o menu ⏱️ Ponto</v>
      </c>
      <c r="J855" s="180"/>
      <c r="K855" s="179"/>
      <c r="L855" s="119" t="str">
        <f t="shared" si="45"/>
        <v>🟢 No Evento</v>
      </c>
    </row>
    <row r="856" ht="15.75" customHeight="1">
      <c r="A856" s="13"/>
      <c r="B856" s="173" t="s">
        <v>1437</v>
      </c>
      <c r="C856" s="199" t="str">
        <f t="array" ref="C856">IF(B856="","",IFERROR(INDEX('FUNCIONÁRIOS'!$B$4:$B$501,MATCH(B856,'FUNCIONÁRIOS'!$C$4:$C$501,0)),""))</f>
        <v/>
      </c>
      <c r="D856" s="199" t="str">
        <f t="array" ref="D856">IF(B856="","",IFERROR(INDEX('FUNCIONÁRIOS'!$D$4:$D$501,MATCH(B856,'FUNCIONÁRIOS'!$C$4:$C$501,0)),""))</f>
        <v/>
      </c>
      <c r="E856" s="199" t="str">
        <f t="array" ref="E856">IF(B856="","",IFERROR(INDEX('FUNCIONÁRIOS'!$E$4:$E$501,MATCH(B856,'FUNCIONÁRIOS'!$C$4:$C$501,0)),""))</f>
        <v/>
      </c>
      <c r="F856" s="138"/>
      <c r="H856" s="174" t="s">
        <v>1936</v>
      </c>
      <c r="I856" s="117" t="str">
        <f t="shared" si="44"/>
        <v>→ Selecione a linha e use o menu ⏱️ Ponto</v>
      </c>
      <c r="J856" s="180"/>
      <c r="K856" s="179"/>
      <c r="L856" s="119" t="str">
        <f t="shared" si="45"/>
        <v>🟢 No Evento</v>
      </c>
    </row>
    <row r="857" ht="15.75" customHeight="1">
      <c r="A857" s="13"/>
      <c r="B857" s="173" t="s">
        <v>1438</v>
      </c>
      <c r="C857" s="199" t="str">
        <f t="array" ref="C857">IF(B857="","",IFERROR(INDEX('FUNCIONÁRIOS'!$B$4:$B$501,MATCH(B857,'FUNCIONÁRIOS'!$C$4:$C$501,0)),""))</f>
        <v/>
      </c>
      <c r="D857" s="199" t="str">
        <f t="array" ref="D857">IF(B857="","",IFERROR(INDEX('FUNCIONÁRIOS'!$D$4:$D$501,MATCH(B857,'FUNCIONÁRIOS'!$C$4:$C$501,0)),""))</f>
        <v/>
      </c>
      <c r="E857" s="199" t="str">
        <f t="array" ref="E857">IF(B857="","",IFERROR(INDEX('FUNCIONÁRIOS'!$E$4:$E$501,MATCH(B857,'FUNCIONÁRIOS'!$C$4:$C$501,0)),""))</f>
        <v/>
      </c>
      <c r="F857" s="138"/>
      <c r="G857" s="115" t="str">
        <f>IF(H857&lt;&gt;"","✅ "&amp;TEXT(H857,"HH:MM"),"→ Selecione a linha e use o menu ⏱️ Ponto")</f>
        <v>✅ 19:15</v>
      </c>
      <c r="H857" s="174" t="s">
        <v>1936</v>
      </c>
      <c r="I857" s="117" t="str">
        <f t="shared" si="44"/>
        <v>→ Selecione a linha e use o menu ⏱️ Ponto</v>
      </c>
      <c r="J857" s="180"/>
      <c r="K857" s="179"/>
      <c r="L857" s="119" t="str">
        <f t="shared" si="45"/>
        <v>🟢 No Evento</v>
      </c>
    </row>
    <row r="858" ht="15.75" customHeight="1">
      <c r="A858" s="13"/>
      <c r="B858" s="173" t="s">
        <v>1439</v>
      </c>
      <c r="C858" s="199" t="str">
        <f t="array" ref="C858">IF(B858="","",IFERROR(INDEX('FUNCIONÁRIOS'!$B$4:$B$501,MATCH(B858,'FUNCIONÁRIOS'!$C$4:$C$501,0)),""))</f>
        <v/>
      </c>
      <c r="D858" s="199" t="str">
        <f t="array" ref="D858">IF(B858="","",IFERROR(INDEX('FUNCIONÁRIOS'!$D$4:$D$501,MATCH(B858,'FUNCIONÁRIOS'!$C$4:$C$501,0)),""))</f>
        <v/>
      </c>
      <c r="E858" s="199" t="str">
        <f t="array" ref="E858">IF(B858="","",IFERROR(INDEX('FUNCIONÁRIOS'!$E$4:$E$501,MATCH(B858,'FUNCIONÁRIOS'!$C$4:$C$501,0)),""))</f>
        <v/>
      </c>
      <c r="F858" s="138"/>
      <c r="G858" s="115"/>
      <c r="H858" s="174" t="s">
        <v>1723</v>
      </c>
      <c r="I858" s="117" t="str">
        <f t="shared" si="44"/>
        <v>→ Selecione a linha e use o menu ⏱️ Ponto</v>
      </c>
      <c r="J858" s="180"/>
      <c r="K858" s="179"/>
      <c r="L858" s="119" t="str">
        <f t="shared" si="45"/>
        <v>🟢 No Evento</v>
      </c>
    </row>
    <row r="859" ht="15.75" customHeight="1">
      <c r="A859" s="13"/>
      <c r="B859" s="173" t="s">
        <v>1441</v>
      </c>
      <c r="C859" s="199" t="str">
        <f t="array" ref="C859">IF(B859="","",IFERROR(INDEX('FUNCIONÁRIOS'!$B$4:$B$501,MATCH(B859,'FUNCIONÁRIOS'!$C$4:$C$501,0)),""))</f>
        <v/>
      </c>
      <c r="D859" s="199" t="str">
        <f t="array" ref="D859">IF(B859="","",IFERROR(INDEX('FUNCIONÁRIOS'!$D$4:$D$501,MATCH(B859,'FUNCIONÁRIOS'!$C$4:$C$501,0)),""))</f>
        <v/>
      </c>
      <c r="E859" s="199" t="str">
        <f t="array" ref="E859">IF(B859="","",IFERROR(INDEX('FUNCIONÁRIOS'!$E$4:$E$501,MATCH(B859,'FUNCIONÁRIOS'!$C$4:$C$501,0)),""))</f>
        <v/>
      </c>
      <c r="F859" s="138"/>
      <c r="G859" s="115" t="str">
        <f t="shared" ref="G859:G871" si="46">IF(H859&lt;&gt;"","✅ "&amp;TEXT(H859,"HH:MM"),"→ Selecione a linha e use o menu ⏱️ Ponto")</f>
        <v>✅ 19:35</v>
      </c>
      <c r="H859" s="174" t="s">
        <v>1937</v>
      </c>
      <c r="I859" s="117" t="str">
        <f t="shared" si="44"/>
        <v>→ Selecione a linha e use o menu ⏱️ Ponto</v>
      </c>
      <c r="J859" s="180"/>
      <c r="K859" s="179"/>
      <c r="L859" s="119" t="str">
        <f t="shared" si="45"/>
        <v>🟢 No Evento</v>
      </c>
    </row>
    <row r="860" ht="15.75" customHeight="1">
      <c r="A860" s="13"/>
      <c r="B860" s="173" t="s">
        <v>1443</v>
      </c>
      <c r="C860" s="199" t="str">
        <f t="array" ref="C860">IF(B860="","",IFERROR(INDEX('FUNCIONÁRIOS'!$B$4:$B$501,MATCH(B860,'FUNCIONÁRIOS'!$C$4:$C$501,0)),""))</f>
        <v/>
      </c>
      <c r="D860" s="199" t="str">
        <f t="array" ref="D860">IF(B860="","",IFERROR(INDEX('FUNCIONÁRIOS'!$D$4:$D$501,MATCH(B860,'FUNCIONÁRIOS'!$C$4:$C$501,0)),""))</f>
        <v/>
      </c>
      <c r="E860" s="199" t="str">
        <f t="array" ref="E860">IF(B860="","",IFERROR(INDEX('FUNCIONÁRIOS'!$E$4:$E$501,MATCH(B860,'FUNCIONÁRIOS'!$C$4:$C$501,0)),""))</f>
        <v/>
      </c>
      <c r="F860" s="138"/>
      <c r="G860" s="115" t="str">
        <f t="shared" si="46"/>
        <v>✅ 19:50</v>
      </c>
      <c r="H860" s="174" t="s">
        <v>1938</v>
      </c>
      <c r="I860" s="117" t="str">
        <f t="shared" si="44"/>
        <v>→ Selecione a linha e use o menu ⏱️ Ponto</v>
      </c>
      <c r="J860" s="178"/>
      <c r="K860" s="179"/>
      <c r="L860" s="119" t="str">
        <f t="shared" si="45"/>
        <v>🟢 No Evento</v>
      </c>
    </row>
    <row r="861" ht="15.75" customHeight="1">
      <c r="A861" s="13"/>
      <c r="B861" s="173" t="s">
        <v>1445</v>
      </c>
      <c r="C861" s="199" t="str">
        <f t="array" ref="C861">IF(B861="","",IFERROR(INDEX('FUNCIONÁRIOS'!$B$4:$B$501,MATCH(B861,'FUNCIONÁRIOS'!$C$4:$C$501,0)),""))</f>
        <v/>
      </c>
      <c r="D861" s="199" t="str">
        <f t="array" ref="D861">IF(B861="","",IFERROR(INDEX('FUNCIONÁRIOS'!$D$4:$D$501,MATCH(B861,'FUNCIONÁRIOS'!$C$4:$C$501,0)),""))</f>
        <v/>
      </c>
      <c r="E861" s="199" t="str">
        <f t="array" ref="E861">IF(B861="","",IFERROR(INDEX('FUNCIONÁRIOS'!$E$4:$E$501,MATCH(B861,'FUNCIONÁRIOS'!$C$4:$C$501,0)),""))</f>
        <v/>
      </c>
      <c r="F861" s="138"/>
      <c r="G861" s="115" t="str">
        <f t="shared" si="46"/>
        <v>✅ 19:50</v>
      </c>
      <c r="H861" s="174" t="s">
        <v>1938</v>
      </c>
      <c r="I861" s="117" t="str">
        <f t="shared" si="44"/>
        <v>→ Selecione a linha e use o menu ⏱️ Ponto</v>
      </c>
      <c r="J861" s="178"/>
      <c r="K861" s="179"/>
      <c r="L861" s="119" t="str">
        <f t="shared" si="45"/>
        <v>🟢 No Evento</v>
      </c>
    </row>
    <row r="862" ht="15.75" customHeight="1">
      <c r="A862" s="13"/>
      <c r="B862" s="173" t="s">
        <v>1446</v>
      </c>
      <c r="C862" s="199" t="str">
        <f t="array" ref="C862">IF(B862="","",IFERROR(INDEX('FUNCIONÁRIOS'!$B$4:$B$501,MATCH(B862,'FUNCIONÁRIOS'!$C$4:$C$501,0)),""))</f>
        <v/>
      </c>
      <c r="D862" s="199" t="str">
        <f t="array" ref="D862">IF(B862="","",IFERROR(INDEX('FUNCIONÁRIOS'!$D$4:$D$501,MATCH(B862,'FUNCIONÁRIOS'!$C$4:$C$501,0)),""))</f>
        <v/>
      </c>
      <c r="E862" s="199" t="str">
        <f t="array" ref="E862">IF(B862="","",IFERROR(INDEX('FUNCIONÁRIOS'!$E$4:$E$501,MATCH(B862,'FUNCIONÁRIOS'!$C$4:$C$501,0)),""))</f>
        <v/>
      </c>
      <c r="F862" s="138"/>
      <c r="G862" s="115" t="str">
        <f t="shared" si="46"/>
        <v>✅ 20;00</v>
      </c>
      <c r="H862" s="174" t="s">
        <v>1939</v>
      </c>
      <c r="I862" s="117" t="str">
        <f t="shared" si="44"/>
        <v>✅ 09:20</v>
      </c>
      <c r="J862" s="174" t="s">
        <v>1801</v>
      </c>
      <c r="K862" s="179"/>
      <c r="L862" s="119" t="str">
        <f t="shared" si="45"/>
        <v>✅ Finalizado</v>
      </c>
    </row>
    <row r="863" ht="15.75" customHeight="1">
      <c r="A863" s="13"/>
      <c r="B863" s="173" t="s">
        <v>1089</v>
      </c>
      <c r="C863" s="199" t="str">
        <f t="array" ref="C863">IF(B863="","",IFERROR(INDEX('FUNCIONÁRIOS'!$B$4:$B$501,MATCH(B863,'FUNCIONÁRIOS'!$C$4:$C$501,0)),""))</f>
        <v/>
      </c>
      <c r="D863" s="199" t="str">
        <f t="array" ref="D863">IF(B863="","",IFERROR(INDEX('FUNCIONÁRIOS'!$D$4:$D$501,MATCH(B863,'FUNCIONÁRIOS'!$C$4:$C$501,0)),""))</f>
        <v/>
      </c>
      <c r="E863" s="199" t="str">
        <f t="array" ref="E863">IF(B863="","",IFERROR(INDEX('FUNCIONÁRIOS'!$E$4:$E$501,MATCH(B863,'FUNCIONÁRIOS'!$C$4:$C$501,0)),""))</f>
        <v/>
      </c>
      <c r="F863" s="138"/>
      <c r="G863" s="115" t="str">
        <f t="shared" si="46"/>
        <v>✅ 20:04</v>
      </c>
      <c r="H863" s="174" t="s">
        <v>1940</v>
      </c>
      <c r="I863" s="117" t="str">
        <f t="shared" si="44"/>
        <v>→ Selecione a linha e use o menu ⏱️ Ponto</v>
      </c>
      <c r="J863" s="180"/>
      <c r="K863" s="179"/>
      <c r="L863" s="119" t="str">
        <f t="shared" si="45"/>
        <v>🟢 No Evento</v>
      </c>
    </row>
    <row r="864" ht="15.75" customHeight="1">
      <c r="A864" s="13"/>
      <c r="B864" s="173" t="s">
        <v>1449</v>
      </c>
      <c r="C864" s="199" t="str">
        <f t="array" ref="C864">IF(B864="","",IFERROR(INDEX('FUNCIONÁRIOS'!$B$4:$B$501,MATCH(B864,'FUNCIONÁRIOS'!$C$4:$C$501,0)),""))</f>
        <v/>
      </c>
      <c r="D864" s="199" t="str">
        <f t="array" ref="D864">IF(B864="","",IFERROR(INDEX('FUNCIONÁRIOS'!$D$4:$D$501,MATCH(B864,'FUNCIONÁRIOS'!$C$4:$C$501,0)),""))</f>
        <v/>
      </c>
      <c r="E864" s="199" t="str">
        <f t="array" ref="E864">IF(B864="","",IFERROR(INDEX('FUNCIONÁRIOS'!$E$4:$E$501,MATCH(B864,'FUNCIONÁRIOS'!$C$4:$C$501,0)),""))</f>
        <v/>
      </c>
      <c r="F864" s="138"/>
      <c r="G864" s="115" t="str">
        <f t="shared" si="46"/>
        <v>✅ 20:05</v>
      </c>
      <c r="H864" s="174" t="s">
        <v>1941</v>
      </c>
      <c r="I864" s="117" t="str">
        <f t="shared" si="44"/>
        <v>→ Selecione a linha e use o menu ⏱️ Ponto</v>
      </c>
      <c r="J864" s="180"/>
      <c r="K864" s="179"/>
      <c r="L864" s="119" t="str">
        <f t="shared" si="45"/>
        <v>🟢 No Evento</v>
      </c>
    </row>
    <row r="865" ht="15.75" customHeight="1">
      <c r="A865" s="13"/>
      <c r="B865" s="173" t="s">
        <v>1451</v>
      </c>
      <c r="C865" s="199" t="str">
        <f t="array" ref="C865">IF(B865="","",IFERROR(INDEX('FUNCIONÁRIOS'!$B$4:$B$501,MATCH(B865,'FUNCIONÁRIOS'!$C$4:$C$501,0)),""))</f>
        <v/>
      </c>
      <c r="D865" s="199" t="str">
        <f t="array" ref="D865">IF(B865="","",IFERROR(INDEX('FUNCIONÁRIOS'!$D$4:$D$501,MATCH(B865,'FUNCIONÁRIOS'!$C$4:$C$501,0)),""))</f>
        <v/>
      </c>
      <c r="E865" s="199" t="str">
        <f t="array" ref="E865">IF(B865="","",IFERROR(INDEX('FUNCIONÁRIOS'!$E$4:$E$501,MATCH(B865,'FUNCIONÁRIOS'!$C$4:$C$501,0)),""))</f>
        <v/>
      </c>
      <c r="F865" s="138"/>
      <c r="G865" s="115" t="str">
        <f t="shared" si="46"/>
        <v>✅ 20;33</v>
      </c>
      <c r="H865" s="174" t="s">
        <v>1942</v>
      </c>
      <c r="I865" s="117" t="str">
        <f t="shared" si="44"/>
        <v>→ Selecione a linha e use o menu ⏱️ Ponto</v>
      </c>
      <c r="J865" s="180"/>
      <c r="K865" s="179"/>
      <c r="L865" s="119" t="str">
        <f t="shared" si="45"/>
        <v>🟢 No Evento</v>
      </c>
    </row>
    <row r="866" ht="15.75" customHeight="1">
      <c r="A866" s="13"/>
      <c r="B866" s="173" t="s">
        <v>182</v>
      </c>
      <c r="C866" s="199" t="str">
        <f t="array" ref="C866">IF(B866="","",IFERROR(INDEX('FUNCIONÁRIOS'!$B$4:$B$501,MATCH(B866,'FUNCIONÁRIOS'!$C$4:$C$501,0)),""))</f>
        <v>TJ SERVIÇOS</v>
      </c>
      <c r="D866" s="199" t="str">
        <f t="array" ref="D866">IF(B866="","",IFERROR(INDEX('FUNCIONÁRIOS'!$D$4:$D$501,MATCH(B866,'FUNCIONÁRIOS'!$C$4:$C$501,0)),""))</f>
        <v>COORDENADOR/CEO</v>
      </c>
      <c r="E866" s="199" t="str">
        <f t="array" ref="E866">IF(B866="","",IFERROR(INDEX('FUNCIONÁRIOS'!$E$4:$E$501,MATCH(B866,'FUNCIONÁRIOS'!$C$4:$C$501,0)),""))</f>
        <v>SIM</v>
      </c>
      <c r="F866" s="138"/>
      <c r="G866" s="115" t="str">
        <f t="shared" si="46"/>
        <v>✅ 21;03</v>
      </c>
      <c r="H866" s="174" t="s">
        <v>1943</v>
      </c>
      <c r="I866" s="117" t="str">
        <f t="shared" si="44"/>
        <v>✅ 23:07</v>
      </c>
      <c r="J866" s="178">
        <v>0.9631944444444445</v>
      </c>
      <c r="K866" s="179"/>
      <c r="L866" s="119" t="str">
        <f t="shared" si="45"/>
        <v>✅ Finalizado</v>
      </c>
    </row>
    <row r="867" ht="15.75" customHeight="1">
      <c r="A867" s="13"/>
      <c r="B867" s="173" t="s">
        <v>1452</v>
      </c>
      <c r="C867" s="199" t="str">
        <f t="array" ref="C867">IF(B867="","",IFERROR(INDEX('FUNCIONÁRIOS'!$B$4:$B$501,MATCH(B867,'FUNCIONÁRIOS'!$C$4:$C$501,0)),""))</f>
        <v/>
      </c>
      <c r="D867" s="199" t="str">
        <f t="array" ref="D867">IF(B867="","",IFERROR(INDEX('FUNCIONÁRIOS'!$D$4:$D$501,MATCH(B867,'FUNCIONÁRIOS'!$C$4:$C$501,0)),""))</f>
        <v/>
      </c>
      <c r="E867" s="199" t="str">
        <f t="array" ref="E867">IF(B867="","",IFERROR(INDEX('FUNCIONÁRIOS'!$E$4:$E$501,MATCH(B867,'FUNCIONÁRIOS'!$C$4:$C$501,0)),""))</f>
        <v/>
      </c>
      <c r="F867" s="138"/>
      <c r="G867" s="115" t="str">
        <f t="shared" si="46"/>
        <v>✅ 21:05</v>
      </c>
      <c r="H867" s="174" t="s">
        <v>1944</v>
      </c>
      <c r="I867" s="117" t="str">
        <f t="shared" si="44"/>
        <v>→ Selecione a linha e use o menu ⏱️ Ponto</v>
      </c>
      <c r="J867" s="180"/>
      <c r="K867" s="179"/>
      <c r="L867" s="119" t="str">
        <f t="shared" si="45"/>
        <v>🟢 No Evento</v>
      </c>
    </row>
    <row r="868" ht="15.75" customHeight="1">
      <c r="A868" s="13"/>
      <c r="B868" s="173" t="s">
        <v>1454</v>
      </c>
      <c r="C868" s="199" t="str">
        <f t="array" ref="C868">IF(B868="","",IFERROR(INDEX('FUNCIONÁRIOS'!$B$4:$B$501,MATCH(B868,'FUNCIONÁRIOS'!$C$4:$C$501,0)),""))</f>
        <v/>
      </c>
      <c r="D868" s="199" t="str">
        <f t="array" ref="D868">IF(B868="","",IFERROR(INDEX('FUNCIONÁRIOS'!$D$4:$D$501,MATCH(B868,'FUNCIONÁRIOS'!$C$4:$C$501,0)),""))</f>
        <v/>
      </c>
      <c r="E868" s="199" t="str">
        <f t="array" ref="E868">IF(B868="","",IFERROR(INDEX('FUNCIONÁRIOS'!$E$4:$E$501,MATCH(B868,'FUNCIONÁRIOS'!$C$4:$C$501,0)),""))</f>
        <v/>
      </c>
      <c r="F868" s="138"/>
      <c r="G868" s="115" t="str">
        <f t="shared" si="46"/>
        <v>✅ 21;05</v>
      </c>
      <c r="H868" s="174" t="s">
        <v>1945</v>
      </c>
      <c r="I868" s="117" t="str">
        <f t="shared" si="44"/>
        <v>→ Selecione a linha e use o menu ⏱️ Ponto</v>
      </c>
      <c r="J868" s="180"/>
      <c r="K868" s="179"/>
      <c r="L868" s="119" t="str">
        <f t="shared" si="45"/>
        <v>🟢 No Evento</v>
      </c>
    </row>
    <row r="869" ht="15.75" customHeight="1">
      <c r="A869" s="13"/>
      <c r="B869" s="173" t="s">
        <v>1455</v>
      </c>
      <c r="C869" s="199" t="str">
        <f t="array" ref="C869">IF(B869="","",IFERROR(INDEX('FUNCIONÁRIOS'!$B$4:$B$501,MATCH(B869,'FUNCIONÁRIOS'!$C$4:$C$501,0)),""))</f>
        <v/>
      </c>
      <c r="D869" s="199" t="str">
        <f t="array" ref="D869">IF(B869="","",IFERROR(INDEX('FUNCIONÁRIOS'!$D$4:$D$501,MATCH(B869,'FUNCIONÁRIOS'!$C$4:$C$501,0)),""))</f>
        <v/>
      </c>
      <c r="E869" s="199" t="str">
        <f t="array" ref="E869">IF(B869="","",IFERROR(INDEX('FUNCIONÁRIOS'!$E$4:$E$501,MATCH(B869,'FUNCIONÁRIOS'!$C$4:$C$501,0)),""))</f>
        <v/>
      </c>
      <c r="F869" s="138"/>
      <c r="G869" s="115" t="str">
        <f t="shared" si="46"/>
        <v>✅ 21:11</v>
      </c>
      <c r="H869" s="174" t="s">
        <v>1946</v>
      </c>
      <c r="I869" s="117" t="str">
        <f t="shared" si="44"/>
        <v>→ Selecione a linha e use o menu ⏱️ Ponto</v>
      </c>
      <c r="J869" s="180"/>
      <c r="K869" s="179"/>
      <c r="L869" s="119" t="str">
        <f t="shared" si="45"/>
        <v>🟢 No Evento</v>
      </c>
    </row>
    <row r="870" ht="15.75" customHeight="1">
      <c r="A870" s="13"/>
      <c r="B870" s="173"/>
      <c r="C870" s="199" t="str">
        <f t="array" ref="C870">IF(B870="","",IFERROR(INDEX('FUNCIONÁRIOS'!$B$4:$B$501,MATCH(B870,'FUNCIONÁRIOS'!$C$4:$C$501,0)),""))</f>
        <v/>
      </c>
      <c r="D870" s="199" t="str">
        <f t="array" ref="D870">IF(B870="","",IFERROR(INDEX('FUNCIONÁRIOS'!$D$4:$D$501,MATCH(B870,'FUNCIONÁRIOS'!$C$4:$C$501,0)),""))</f>
        <v/>
      </c>
      <c r="E870" s="199" t="str">
        <f t="array" ref="E870">IF(B870="","",IFERROR(INDEX('FUNCIONÁRIOS'!$E$4:$E$501,MATCH(B870,'FUNCIONÁRIOS'!$C$4:$C$501,0)),""))</f>
        <v/>
      </c>
      <c r="F870" s="138"/>
      <c r="G870" s="115" t="str">
        <f t="shared" si="46"/>
        <v>→ Selecione a linha e use o menu ⏱️ Ponto</v>
      </c>
      <c r="H870" s="174"/>
      <c r="I870" s="117" t="str">
        <f t="shared" si="44"/>
        <v>→ Selecione a linha e use o menu ⏱️ Ponto</v>
      </c>
      <c r="J870" s="180"/>
      <c r="K870" s="179"/>
      <c r="L870" s="119" t="str">
        <f t="shared" si="45"/>
        <v/>
      </c>
    </row>
    <row r="871" ht="15.75" customHeight="1">
      <c r="A871" s="13"/>
      <c r="B871" s="173"/>
      <c r="C871" s="199" t="str">
        <f t="array" ref="C871">IF(B871="","",IFERROR(INDEX('FUNCIONÁRIOS'!$B$4:$B$501,MATCH(B871,'FUNCIONÁRIOS'!$C$4:$C$501,0)),""))</f>
        <v/>
      </c>
      <c r="D871" s="199" t="str">
        <f t="array" ref="D871">IF(B871="","",IFERROR(INDEX('FUNCIONÁRIOS'!$D$4:$D$501,MATCH(B871,'FUNCIONÁRIOS'!$C$4:$C$501,0)),""))</f>
        <v/>
      </c>
      <c r="E871" s="199" t="str">
        <f t="array" ref="E871">IF(B871="","",IFERROR(INDEX('FUNCIONÁRIOS'!$E$4:$E$501,MATCH(B871,'FUNCIONÁRIOS'!$C$4:$C$501,0)),""))</f>
        <v/>
      </c>
      <c r="F871" s="138"/>
      <c r="G871" s="115" t="str">
        <f t="shared" si="46"/>
        <v>→ Selecione a linha e use o menu ⏱️ Ponto</v>
      </c>
      <c r="H871" s="174"/>
      <c r="I871" s="117" t="str">
        <f t="shared" si="44"/>
        <v>→ Selecione a linha e use o menu ⏱️ Ponto</v>
      </c>
      <c r="J871" s="180"/>
      <c r="K871" s="179"/>
      <c r="L871" s="119" t="str">
        <f t="shared" si="45"/>
        <v/>
      </c>
    </row>
    <row r="872" ht="15.75" customHeight="1">
      <c r="A872" s="13"/>
      <c r="B872" s="157"/>
      <c r="C872" s="217"/>
      <c r="D872" s="217"/>
      <c r="E872" s="217"/>
      <c r="F872" s="160"/>
      <c r="G872" s="161"/>
      <c r="H872" s="218"/>
      <c r="I872" s="163"/>
      <c r="J872" s="219"/>
      <c r="K872" s="179"/>
      <c r="L872" s="119"/>
    </row>
    <row r="873" ht="15.75" customHeight="1">
      <c r="A873" s="13"/>
      <c r="B873" s="173"/>
      <c r="C873" s="199" t="str">
        <f t="array" ref="C873">IF(B873="","",IFERROR(INDEX('FUNCIONÁRIOS'!$B$4:$B$501,MATCH(B873,'FUNCIONÁRIOS'!$C$4:$C$501,0)),""))</f>
        <v/>
      </c>
      <c r="D873" s="199" t="str">
        <f t="array" ref="D873">IF(B873="","",IFERROR(INDEX('FUNCIONÁRIOS'!$D$4:$D$501,MATCH(B873,'FUNCIONÁRIOS'!$C$4:$C$501,0)),""))</f>
        <v/>
      </c>
      <c r="E873" s="199" t="str">
        <f t="array" ref="E873">IF(B873="","",IFERROR(INDEX('FUNCIONÁRIOS'!$E$4:$E$501,MATCH(B873,'FUNCIONÁRIOS'!$C$4:$C$501,0)),""))</f>
        <v/>
      </c>
      <c r="F873" s="138">
        <v>46170.0</v>
      </c>
      <c r="G873" s="115" t="str">
        <f t="shared" ref="G873:G886" si="47">IF(H873&lt;&gt;"","✅ "&amp;TEXT(H873,"HH:MM"),"→ Selecione a linha e use o menu ⏱️ Ponto")</f>
        <v>→ Selecione a linha e use o menu ⏱️ Ponto</v>
      </c>
      <c r="H873" s="174"/>
      <c r="I873" s="117" t="str">
        <f t="shared" ref="I873:I1134" si="48">IF(J873&lt;&gt;"","✅ "&amp;TEXT(J873,"HH:MM"),"→ Selecione a linha e use o menu ⏱️ Ponto")</f>
        <v>→ Selecione a linha e use o menu ⏱️ Ponto</v>
      </c>
      <c r="J873" s="180"/>
      <c r="K873" s="179"/>
      <c r="L873" s="119" t="str">
        <f t="shared" ref="L873:L1134" si="49">IF(AND(H873&lt;&gt;"",J873=""),"🟢 No Evento",IF(AND(H873&lt;&gt;"",J873&lt;&gt;""),"✅ Finalizado",IF(B873&lt;&gt;"","⏳ Não entrou","")))</f>
        <v/>
      </c>
    </row>
    <row r="874" ht="15.75" customHeight="1">
      <c r="A874" s="13"/>
      <c r="B874" s="173" t="s">
        <v>1309</v>
      </c>
      <c r="C874" s="199" t="str">
        <f t="array" ref="C874">IF(B874="","",IFERROR(INDEX('FUNCIONÁRIOS'!$B$4:$B$501,MATCH(B874,'FUNCIONÁRIOS'!$C$4:$C$501,0)),""))</f>
        <v/>
      </c>
      <c r="D874" s="199" t="str">
        <f t="array" ref="D874">IF(B874="","",IFERROR(INDEX('FUNCIONÁRIOS'!$D$4:$D$501,MATCH(B874,'FUNCIONÁRIOS'!$C$4:$C$501,0)),""))</f>
        <v/>
      </c>
      <c r="E874" s="199" t="str">
        <f t="array" ref="E874">IF(B874="","",IFERROR(INDEX('FUNCIONÁRIOS'!$E$4:$E$501,MATCH(B874,'FUNCIONÁRIOS'!$C$4:$C$501,0)),""))</f>
        <v/>
      </c>
      <c r="F874" s="138">
        <v>46170.0</v>
      </c>
      <c r="G874" s="115" t="str">
        <f t="shared" si="47"/>
        <v>✅ 07:51</v>
      </c>
      <c r="H874" s="174" t="s">
        <v>1947</v>
      </c>
      <c r="I874" s="117" t="str">
        <f t="shared" si="48"/>
        <v>→ Selecione a linha e use o menu ⏱️ Ponto</v>
      </c>
      <c r="J874" s="180"/>
      <c r="K874" s="179"/>
      <c r="L874" s="119" t="str">
        <f t="shared" si="49"/>
        <v>🟢 No Evento</v>
      </c>
    </row>
    <row r="875" ht="15.75" customHeight="1">
      <c r="A875" s="13"/>
      <c r="B875" s="173" t="s">
        <v>125</v>
      </c>
      <c r="C875" s="199" t="str">
        <f t="array" ref="C875">IF(B875="","",IFERROR(INDEX('FUNCIONÁRIOS'!$B$4:$B$501,MATCH(B875,'FUNCIONÁRIOS'!$C$4:$C$501,0)),""))</f>
        <v>MONTE EVENTOS </v>
      </c>
      <c r="D875" s="199" t="str">
        <f t="array" ref="D875">IF(B875="","",IFERROR(INDEX('FUNCIONÁRIOS'!$D$4:$D$501,MATCH(B875,'FUNCIONÁRIOS'!$C$4:$C$501,0)),""))</f>
        <v>MONTADOR</v>
      </c>
      <c r="E875" s="199" t="str">
        <f t="array" ref="E875">IF(B875="","",IFERROR(INDEX('FUNCIONÁRIOS'!$E$4:$E$501,MATCH(B875,'FUNCIONÁRIOS'!$C$4:$C$501,0)),""))</f>
        <v>NÃO</v>
      </c>
      <c r="F875" s="138">
        <v>46170.0</v>
      </c>
      <c r="G875" s="115" t="str">
        <f t="shared" si="47"/>
        <v>✅ 07:52</v>
      </c>
      <c r="H875" s="174" t="s">
        <v>1948</v>
      </c>
      <c r="I875" s="117" t="str">
        <f t="shared" si="48"/>
        <v>→ Selecione a linha e use o menu ⏱️ Ponto</v>
      </c>
      <c r="J875" s="180"/>
      <c r="K875" s="179"/>
      <c r="L875" s="119" t="str">
        <f t="shared" si="49"/>
        <v>🟢 No Evento</v>
      </c>
    </row>
    <row r="876" ht="15.75" customHeight="1">
      <c r="A876" s="13"/>
      <c r="B876" s="173" t="s">
        <v>123</v>
      </c>
      <c r="C876" s="199" t="str">
        <f t="array" ref="C876">IF(B876="","",IFERROR(INDEX('FUNCIONÁRIOS'!$B$4:$B$501,MATCH(B876,'FUNCIONÁRIOS'!$C$4:$C$501,0)),""))</f>
        <v>MONTE EVENTOS </v>
      </c>
      <c r="D876" s="199" t="str">
        <f t="array" ref="D876">IF(B876="","",IFERROR(INDEX('FUNCIONÁRIOS'!$D$4:$D$501,MATCH(B876,'FUNCIONÁRIOS'!$C$4:$C$501,0)),""))</f>
        <v>MONTADOR</v>
      </c>
      <c r="E876" s="199" t="str">
        <f t="array" ref="E876">IF(B876="","",IFERROR(INDEX('FUNCIONÁRIOS'!$E$4:$E$501,MATCH(B876,'FUNCIONÁRIOS'!$C$4:$C$501,0)),""))</f>
        <v>NÃO</v>
      </c>
      <c r="F876" s="138">
        <v>46170.0</v>
      </c>
      <c r="G876" s="115" t="str">
        <f t="shared" si="47"/>
        <v>✅ 07:53</v>
      </c>
      <c r="H876" s="174" t="s">
        <v>1949</v>
      </c>
      <c r="I876" s="117" t="str">
        <f t="shared" si="48"/>
        <v>→ Selecione a linha e use o menu ⏱️ Ponto</v>
      </c>
      <c r="J876" s="180"/>
      <c r="K876" s="179"/>
      <c r="L876" s="119" t="str">
        <f t="shared" si="49"/>
        <v>🟢 No Evento</v>
      </c>
    </row>
    <row r="877" ht="15.75" customHeight="1">
      <c r="A877" s="13"/>
      <c r="B877" s="173" t="s">
        <v>96</v>
      </c>
      <c r="C877" s="199" t="str">
        <f t="array" ref="C877">IF(B877="","",IFERROR(INDEX('FUNCIONÁRIOS'!$B$4:$B$501,MATCH(B877,'FUNCIONÁRIOS'!$C$4:$C$501,0)),""))</f>
        <v>PONCIANO SOLUÇÕES </v>
      </c>
      <c r="D877" s="199" t="str">
        <f t="array" ref="D877">IF(B877="","",IFERROR(INDEX('FUNCIONÁRIOS'!$D$4:$D$501,MATCH(B877,'FUNCIONÁRIOS'!$C$4:$C$501,0)),""))</f>
        <v>CREDENCIAMENTO</v>
      </c>
      <c r="E877" s="199" t="str">
        <f t="array" ref="E877">IF(B877="","",IFERROR(INDEX('FUNCIONÁRIOS'!$E$4:$E$501,MATCH(B877,'FUNCIONÁRIOS'!$C$4:$C$501,0)),""))</f>
        <v>NÃO</v>
      </c>
      <c r="F877" s="138">
        <v>46170.0</v>
      </c>
      <c r="G877" s="115" t="str">
        <f t="shared" si="47"/>
        <v>✅ 07:56</v>
      </c>
      <c r="H877" s="174" t="s">
        <v>1950</v>
      </c>
      <c r="I877" s="117" t="str">
        <f t="shared" si="48"/>
        <v>→ Selecione a linha e use o menu ⏱️ Ponto</v>
      </c>
      <c r="J877" s="180"/>
      <c r="K877" s="179"/>
      <c r="L877" s="119" t="str">
        <f t="shared" si="49"/>
        <v>🟢 No Evento</v>
      </c>
    </row>
    <row r="878" ht="15.75" customHeight="1">
      <c r="A878" s="13"/>
      <c r="B878" s="173" t="s">
        <v>903</v>
      </c>
      <c r="C878" s="199" t="str">
        <f t="array" ref="C878">IF(B878="","",IFERROR(INDEX('FUNCIONÁRIOS'!$B$4:$B$501,MATCH(B878,'FUNCIONÁRIOS'!$C$4:$C$501,0)),""))</f>
        <v>SHOWNEWS</v>
      </c>
      <c r="D878" s="199" t="str">
        <f t="array" ref="D878">IF(B878="","",IFERROR(INDEX('FUNCIONÁRIOS'!$D$4:$D$501,MATCH(B878,'FUNCIONÁRIOS'!$C$4:$C$501,0)),""))</f>
        <v>LIMPEZA </v>
      </c>
      <c r="E878" s="199" t="str">
        <f t="array" ref="E878">IF(B878="","",IFERROR(INDEX('FUNCIONÁRIOS'!$E$4:$E$501,MATCH(B878,'FUNCIONÁRIOS'!$C$4:$C$501,0)),""))</f>
        <v/>
      </c>
      <c r="F878" s="138">
        <v>46170.0</v>
      </c>
      <c r="G878" s="115" t="str">
        <f t="shared" si="47"/>
        <v>✅ 07:56</v>
      </c>
      <c r="H878" s="174" t="s">
        <v>1950</v>
      </c>
      <c r="I878" s="117" t="str">
        <f t="shared" si="48"/>
        <v>→ Selecione a linha e use o menu ⏱️ Ponto</v>
      </c>
      <c r="J878" s="180"/>
      <c r="K878" s="179"/>
      <c r="L878" s="119" t="str">
        <f t="shared" si="49"/>
        <v>🟢 No Evento</v>
      </c>
    </row>
    <row r="879" ht="15.75" customHeight="1">
      <c r="A879" s="13"/>
      <c r="B879" s="173" t="s">
        <v>548</v>
      </c>
      <c r="C879" s="199" t="str">
        <f t="array" ref="C879">IF(B879="","",IFERROR(INDEX('FUNCIONÁRIOS'!$B$4:$B$501,MATCH(B879,'FUNCIONÁRIOS'!$C$4:$C$501,0)),""))</f>
        <v>GO TO </v>
      </c>
      <c r="D879" s="199" t="str">
        <f t="array" ref="D879">IF(B879="","",IFERROR(INDEX('FUNCIONÁRIOS'!$D$4:$D$501,MATCH(B879,'FUNCIONÁRIOS'!$C$4:$C$501,0)),""))</f>
        <v>CENOGRAFIA </v>
      </c>
      <c r="E879" s="199" t="str">
        <f t="array" ref="E879">IF(B879="","",IFERROR(INDEX('FUNCIONÁRIOS'!$E$4:$E$501,MATCH(B879,'FUNCIONÁRIOS'!$C$4:$C$501,0)),""))</f>
        <v>NÃO</v>
      </c>
      <c r="F879" s="138">
        <v>46170.0</v>
      </c>
      <c r="G879" s="115" t="str">
        <f t="shared" si="47"/>
        <v>✅ 07:57</v>
      </c>
      <c r="H879" s="174" t="s">
        <v>1870</v>
      </c>
      <c r="I879" s="117" t="str">
        <f t="shared" si="48"/>
        <v>→ Selecione a linha e use o menu ⏱️ Ponto</v>
      </c>
      <c r="J879" s="180"/>
      <c r="K879" s="179"/>
      <c r="L879" s="119" t="str">
        <f t="shared" si="49"/>
        <v>🟢 No Evento</v>
      </c>
    </row>
    <row r="880" ht="15.75" customHeight="1">
      <c r="A880" s="13"/>
      <c r="B880" s="173" t="s">
        <v>1457</v>
      </c>
      <c r="C880" s="199" t="str">
        <f t="array" ref="C880">IF(B880="","",IFERROR(INDEX('FUNCIONÁRIOS'!$B$4:$B$501,MATCH(B880,'FUNCIONÁRIOS'!$C$4:$C$501,0)),""))</f>
        <v/>
      </c>
      <c r="D880" s="199" t="str">
        <f t="array" ref="D880">IF(B880="","",IFERROR(INDEX('FUNCIONÁRIOS'!$D$4:$D$501,MATCH(B880,'FUNCIONÁRIOS'!$C$4:$C$501,0)),""))</f>
        <v/>
      </c>
      <c r="E880" s="199" t="str">
        <f t="array" ref="E880">IF(B880="","",IFERROR(INDEX('FUNCIONÁRIOS'!$E$4:$E$501,MATCH(B880,'FUNCIONÁRIOS'!$C$4:$C$501,0)),""))</f>
        <v/>
      </c>
      <c r="F880" s="138">
        <v>46170.0</v>
      </c>
      <c r="G880" s="115" t="str">
        <f t="shared" si="47"/>
        <v>✅ 07:57</v>
      </c>
      <c r="H880" s="174" t="s">
        <v>1870</v>
      </c>
      <c r="I880" s="117" t="str">
        <f t="shared" si="48"/>
        <v>→ Selecione a linha e use o menu ⏱️ Ponto</v>
      </c>
      <c r="J880" s="180"/>
      <c r="K880" s="179"/>
      <c r="L880" s="119" t="str">
        <f t="shared" si="49"/>
        <v>🟢 No Evento</v>
      </c>
    </row>
    <row r="881" ht="15.75" customHeight="1">
      <c r="A881" s="13"/>
      <c r="B881" s="173" t="s">
        <v>352</v>
      </c>
      <c r="C881" s="199" t="str">
        <f t="array" ref="C881">IF(B881="","",IFERROR(INDEX('FUNCIONÁRIOS'!$B$4:$B$501,MATCH(B881,'FUNCIONÁRIOS'!$C$4:$C$501,0)),""))</f>
        <v>GO TO </v>
      </c>
      <c r="D881" s="199" t="str">
        <f t="array" ref="D881">IF(B881="","",IFERROR(INDEX('FUNCIONÁRIOS'!$D$4:$D$501,MATCH(B881,'FUNCIONÁRIOS'!$C$4:$C$501,0)),""))</f>
        <v>MONTADOR</v>
      </c>
      <c r="E881" s="199" t="str">
        <f t="array" ref="E881">IF(B881="","",IFERROR(INDEX('FUNCIONÁRIOS'!$E$4:$E$501,MATCH(B881,'FUNCIONÁRIOS'!$C$4:$C$501,0)),""))</f>
        <v>NÃO</v>
      </c>
      <c r="F881" s="138">
        <v>46170.0</v>
      </c>
      <c r="G881" s="115" t="str">
        <f t="shared" si="47"/>
        <v>✅ 07:57</v>
      </c>
      <c r="H881" s="174" t="s">
        <v>1870</v>
      </c>
      <c r="I881" s="117" t="str">
        <f t="shared" si="48"/>
        <v>→ Selecione a linha e use o menu ⏱️ Ponto</v>
      </c>
      <c r="J881" s="180"/>
      <c r="K881" s="179"/>
      <c r="L881" s="119" t="str">
        <f t="shared" si="49"/>
        <v>🟢 No Evento</v>
      </c>
    </row>
    <row r="882" ht="15.75" customHeight="1">
      <c r="A882" s="13"/>
      <c r="B882" s="173" t="s">
        <v>118</v>
      </c>
      <c r="C882" s="199" t="str">
        <f t="array" ref="C882">IF(B882="","",IFERROR(INDEX('FUNCIONÁRIOS'!$B$4:$B$501,MATCH(B882,'FUNCIONÁRIOS'!$C$4:$C$501,0)),""))</f>
        <v>MONTE EVENTOS </v>
      </c>
      <c r="D882" s="199" t="str">
        <f t="array" ref="D882">IF(B882="","",IFERROR(INDEX('FUNCIONÁRIOS'!$D$4:$D$501,MATCH(B882,'FUNCIONÁRIOS'!$C$4:$C$501,0)),""))</f>
        <v>MONTADOR</v>
      </c>
      <c r="E882" s="199" t="str">
        <f t="array" ref="E882">IF(B882="","",IFERROR(INDEX('FUNCIONÁRIOS'!$E$4:$E$501,MATCH(B882,'FUNCIONÁRIOS'!$C$4:$C$501,0)),""))</f>
        <v>NÃO</v>
      </c>
      <c r="F882" s="138">
        <v>46170.0</v>
      </c>
      <c r="G882" s="115" t="str">
        <f t="shared" si="47"/>
        <v>✅ 07:57</v>
      </c>
      <c r="H882" s="174" t="s">
        <v>1870</v>
      </c>
      <c r="I882" s="117" t="str">
        <f t="shared" si="48"/>
        <v>→ Selecione a linha e use o menu ⏱️ Ponto</v>
      </c>
      <c r="J882" s="180"/>
      <c r="K882" s="179"/>
      <c r="L882" s="119" t="str">
        <f t="shared" si="49"/>
        <v>🟢 No Evento</v>
      </c>
    </row>
    <row r="883" ht="15.75" customHeight="1">
      <c r="A883" s="13"/>
      <c r="B883" s="173" t="s">
        <v>350</v>
      </c>
      <c r="C883" s="199" t="str">
        <f t="array" ref="C883">IF(B883="","",IFERROR(INDEX('FUNCIONÁRIOS'!$B$4:$B$501,MATCH(B883,'FUNCIONÁRIOS'!$C$4:$C$501,0)),""))</f>
        <v>GO TO </v>
      </c>
      <c r="D883" s="199" t="str">
        <f t="array" ref="D883">IF(B883="","",IFERROR(INDEX('FUNCIONÁRIOS'!$D$4:$D$501,MATCH(B883,'FUNCIONÁRIOS'!$C$4:$C$501,0)),""))</f>
        <v>MONTADOR</v>
      </c>
      <c r="E883" s="199" t="str">
        <f t="array" ref="E883">IF(B883="","",IFERROR(INDEX('FUNCIONÁRIOS'!$E$4:$E$501,MATCH(B883,'FUNCIONÁRIOS'!$C$4:$C$501,0)),""))</f>
        <v>NÃO</v>
      </c>
      <c r="F883" s="138">
        <v>46170.0</v>
      </c>
      <c r="G883" s="115" t="str">
        <f t="shared" si="47"/>
        <v>✅ 07:58</v>
      </c>
      <c r="H883" s="174" t="s">
        <v>1872</v>
      </c>
      <c r="I883" s="117" t="str">
        <f t="shared" si="48"/>
        <v>→ Selecione a linha e use o menu ⏱️ Ponto</v>
      </c>
      <c r="J883" s="180"/>
      <c r="K883" s="179"/>
      <c r="L883" s="119" t="str">
        <f t="shared" si="49"/>
        <v>🟢 No Evento</v>
      </c>
    </row>
    <row r="884" ht="15.75" customHeight="1">
      <c r="A884" s="13"/>
      <c r="B884" s="173" t="s">
        <v>140</v>
      </c>
      <c r="C884" s="199" t="str">
        <f t="array" ref="C884">IF(B884="","",IFERROR(INDEX('FUNCIONÁRIOS'!$B$4:$B$501,MATCH(B884,'FUNCIONÁRIOS'!$C$4:$C$501,0)),""))</f>
        <v>BIGODE </v>
      </c>
      <c r="D884" s="199" t="str">
        <f t="array" ref="D884">IF(B884="","",IFERROR(INDEX('FUNCIONÁRIOS'!$D$4:$D$501,MATCH(B884,'FUNCIONÁRIOS'!$C$4:$C$501,0)),""))</f>
        <v>CONTROLE DE ACESSO</v>
      </c>
      <c r="E884" s="199" t="str">
        <f t="array" ref="E884">IF(B884="","",IFERROR(INDEX('FUNCIONÁRIOS'!$E$4:$E$501,MATCH(B884,'FUNCIONÁRIOS'!$C$4:$C$501,0)),""))</f>
        <v>NÃO</v>
      </c>
      <c r="F884" s="138">
        <v>46170.0</v>
      </c>
      <c r="G884" s="115" t="str">
        <f t="shared" si="47"/>
        <v>✅ 07:09</v>
      </c>
      <c r="H884" s="174" t="s">
        <v>1951</v>
      </c>
      <c r="I884" s="117" t="str">
        <f t="shared" si="48"/>
        <v>→ Selecione a linha e use o menu ⏱️ Ponto</v>
      </c>
      <c r="J884" s="180"/>
      <c r="K884" s="179"/>
      <c r="L884" s="119" t="str">
        <f t="shared" si="49"/>
        <v>🟢 No Evento</v>
      </c>
    </row>
    <row r="885" ht="15.75" customHeight="1">
      <c r="A885" s="13"/>
      <c r="B885" s="173" t="s">
        <v>142</v>
      </c>
      <c r="C885" s="199" t="str">
        <f t="array" ref="C885">IF(B885="","",IFERROR(INDEX('FUNCIONÁRIOS'!$B$4:$B$501,MATCH(B885,'FUNCIONÁRIOS'!$C$4:$C$501,0)),""))</f>
        <v>BIGODE </v>
      </c>
      <c r="D885" s="199" t="str">
        <f t="array" ref="D885">IF(B885="","",IFERROR(INDEX('FUNCIONÁRIOS'!$D$4:$D$501,MATCH(B885,'FUNCIONÁRIOS'!$C$4:$C$501,0)),""))</f>
        <v>CONTROLE DE ACESSO</v>
      </c>
      <c r="E885" s="199" t="str">
        <f t="array" ref="E885">IF(B885="","",IFERROR(INDEX('FUNCIONÁRIOS'!$E$4:$E$501,MATCH(B885,'FUNCIONÁRIOS'!$C$4:$C$501,0)),""))</f>
        <v>NÃO</v>
      </c>
      <c r="F885" s="138">
        <v>46170.0</v>
      </c>
      <c r="G885" s="115" t="str">
        <f t="shared" si="47"/>
        <v>✅ 07:09</v>
      </c>
      <c r="H885" s="174" t="s">
        <v>1951</v>
      </c>
      <c r="I885" s="117" t="str">
        <f t="shared" si="48"/>
        <v>→ Selecione a linha e use o menu ⏱️ Ponto</v>
      </c>
      <c r="J885" s="180"/>
      <c r="K885" s="179"/>
      <c r="L885" s="119" t="str">
        <f t="shared" si="49"/>
        <v>🟢 No Evento</v>
      </c>
    </row>
    <row r="886" ht="15.75" customHeight="1">
      <c r="A886" s="13"/>
      <c r="B886" s="173" t="s">
        <v>253</v>
      </c>
      <c r="C886" s="199" t="str">
        <f t="array" ref="C886">IF(B886="","",IFERROR(INDEX('FUNCIONÁRIOS'!$B$4:$B$501,MATCH(B886,'FUNCIONÁRIOS'!$C$4:$C$501,0)),""))</f>
        <v>BIGODE </v>
      </c>
      <c r="D886" s="199" t="str">
        <f t="array" ref="D886">IF(B886="","",IFERROR(INDEX('FUNCIONÁRIOS'!$D$4:$D$501,MATCH(B886,'FUNCIONÁRIOS'!$C$4:$C$501,0)),""))</f>
        <v>CONTROLE DE ACESSO</v>
      </c>
      <c r="E886" s="199" t="str">
        <f t="array" ref="E886">IF(B886="","",IFERROR(INDEX('FUNCIONÁRIOS'!$E$4:$E$501,MATCH(B886,'FUNCIONÁRIOS'!$C$4:$C$501,0)),""))</f>
        <v>NÃO</v>
      </c>
      <c r="F886" s="138">
        <v>46170.0</v>
      </c>
      <c r="G886" s="115" t="str">
        <f t="shared" si="47"/>
        <v>✅ 07:09</v>
      </c>
      <c r="H886" s="174" t="s">
        <v>1951</v>
      </c>
      <c r="I886" s="117" t="str">
        <f t="shared" si="48"/>
        <v>→ Selecione a linha e use o menu ⏱️ Ponto</v>
      </c>
      <c r="J886" s="180"/>
      <c r="K886" s="179"/>
      <c r="L886" s="119" t="str">
        <f t="shared" si="49"/>
        <v>🟢 No Evento</v>
      </c>
    </row>
    <row r="887" ht="15.75" customHeight="1">
      <c r="A887" s="13"/>
      <c r="B887" s="173" t="s">
        <v>1305</v>
      </c>
      <c r="C887" s="199" t="str">
        <f t="array" ref="C887">IF(B887="","",IFERROR(INDEX('FUNCIONÁRIOS'!$B$4:$B$501,MATCH(B887,'FUNCIONÁRIOS'!$C$4:$C$501,0)),""))</f>
        <v/>
      </c>
      <c r="D887" s="199" t="str">
        <f t="array" ref="D887">IF(B887="","",IFERROR(INDEX('FUNCIONÁRIOS'!$D$4:$D$501,MATCH(B887,'FUNCIONÁRIOS'!$C$4:$C$501,0)),""))</f>
        <v/>
      </c>
      <c r="E887" s="199" t="str">
        <f t="array" ref="E887">IF(B887="","",IFERROR(INDEX('FUNCIONÁRIOS'!$E$4:$E$501,MATCH(B887,'FUNCIONÁRIOS'!$C$4:$C$501,0)),""))</f>
        <v/>
      </c>
      <c r="F887" s="138">
        <v>46170.0</v>
      </c>
      <c r="G887" s="115"/>
      <c r="H887" s="174" t="s">
        <v>1872</v>
      </c>
      <c r="I887" s="117" t="str">
        <f t="shared" si="48"/>
        <v>→ Selecione a linha e use o menu ⏱️ Ponto</v>
      </c>
      <c r="J887" s="180"/>
      <c r="K887" s="179"/>
      <c r="L887" s="119" t="str">
        <f t="shared" si="49"/>
        <v>🟢 No Evento</v>
      </c>
    </row>
    <row r="888" ht="15.75" customHeight="1">
      <c r="A888" s="13"/>
      <c r="B888" s="173" t="s">
        <v>895</v>
      </c>
      <c r="C888" s="199" t="str">
        <f t="array" ref="C888">IF(B888="","",IFERROR(INDEX('FUNCIONÁRIOS'!$B$4:$B$501,MATCH(B888,'FUNCIONÁRIOS'!$C$4:$C$501,0)),""))</f>
        <v/>
      </c>
      <c r="D888" s="199" t="str">
        <f t="array" ref="D888">IF(B888="","",IFERROR(INDEX('FUNCIONÁRIOS'!$D$4:$D$501,MATCH(B888,'FUNCIONÁRIOS'!$C$4:$C$501,0)),""))</f>
        <v>montador </v>
      </c>
      <c r="E888" s="199" t="str">
        <f t="array" ref="E888">IF(B888="","",IFERROR(INDEX('FUNCIONÁRIOS'!$E$4:$E$501,MATCH(B888,'FUNCIONÁRIOS'!$C$4:$C$501,0)),""))</f>
        <v/>
      </c>
      <c r="F888" s="138">
        <v>46170.0</v>
      </c>
      <c r="G888" s="115" t="str">
        <f t="shared" ref="G888:G896" si="50">IF(H888&lt;&gt;"","✅ "&amp;TEXT(H888,"HH:MM"),"→ Selecione a linha e use o menu ⏱️ Ponto")</f>
        <v>✅ 08:05</v>
      </c>
      <c r="H888" s="174" t="s">
        <v>1874</v>
      </c>
      <c r="I888" s="117" t="str">
        <f t="shared" si="48"/>
        <v>→ Selecione a linha e use o menu ⏱️ Ponto</v>
      </c>
      <c r="J888" s="180"/>
      <c r="K888" s="179"/>
      <c r="L888" s="119" t="str">
        <f t="shared" si="49"/>
        <v>🟢 No Evento</v>
      </c>
    </row>
    <row r="889" ht="15.75" customHeight="1">
      <c r="A889" s="13"/>
      <c r="B889" s="173" t="s">
        <v>524</v>
      </c>
      <c r="C889" s="199" t="str">
        <f t="array" ref="C889">IF(B889="","",IFERROR(INDEX('FUNCIONÁRIOS'!$B$4:$B$501,MATCH(B889,'FUNCIONÁRIOS'!$C$4:$C$501,0)),""))</f>
        <v>TJ SERVIÇOS</v>
      </c>
      <c r="D889" s="199" t="str">
        <f t="array" ref="D889">IF(B889="","",IFERROR(INDEX('FUNCIONÁRIOS'!$D$4:$D$501,MATCH(B889,'FUNCIONÁRIOS'!$C$4:$C$501,0)),""))</f>
        <v>Brigadista</v>
      </c>
      <c r="E889" s="199" t="str">
        <f t="array" ref="E889">IF(B889="","",IFERROR(INDEX('FUNCIONÁRIOS'!$E$4:$E$501,MATCH(B889,'FUNCIONÁRIOS'!$C$4:$C$501,0)),""))</f>
        <v>NÃO</v>
      </c>
      <c r="F889" s="138">
        <v>46170.0</v>
      </c>
      <c r="G889" s="115" t="str">
        <f t="shared" si="50"/>
        <v>✅ 07:59</v>
      </c>
      <c r="H889" s="174" t="s">
        <v>1873</v>
      </c>
      <c r="I889" s="117" t="str">
        <f t="shared" si="48"/>
        <v>→ Selecione a linha e use o menu ⏱️ Ponto</v>
      </c>
      <c r="J889" s="180"/>
      <c r="K889" s="179"/>
      <c r="L889" s="119" t="str">
        <f t="shared" si="49"/>
        <v>🟢 No Evento</v>
      </c>
    </row>
    <row r="890" ht="15.75" customHeight="1">
      <c r="A890" s="13"/>
      <c r="B890" s="173" t="s">
        <v>336</v>
      </c>
      <c r="C890" s="199" t="str">
        <f t="array" ref="C890">IF(B890="","",IFERROR(INDEX('FUNCIONÁRIOS'!$B$4:$B$501,MATCH(B890,'FUNCIONÁRIOS'!$C$4:$C$501,0)),""))</f>
        <v>GO TO </v>
      </c>
      <c r="D890" s="199" t="str">
        <f t="array" ref="D890">IF(B890="","",IFERROR(INDEX('FUNCIONÁRIOS'!$D$4:$D$501,MATCH(B890,'FUNCIONÁRIOS'!$C$4:$C$501,0)),""))</f>
        <v>MONTADOR</v>
      </c>
      <c r="E890" s="199" t="str">
        <f t="array" ref="E890">IF(B890="","",IFERROR(INDEX('FUNCIONÁRIOS'!$E$4:$E$501,MATCH(B890,'FUNCIONÁRIOS'!$C$4:$C$501,0)),""))</f>
        <v>NÃO</v>
      </c>
      <c r="F890" s="138">
        <v>46170.0</v>
      </c>
      <c r="G890" s="115" t="str">
        <f t="shared" si="50"/>
        <v>✅ 08:05</v>
      </c>
      <c r="H890" s="174" t="s">
        <v>1874</v>
      </c>
      <c r="I890" s="117" t="str">
        <f t="shared" si="48"/>
        <v>→ Selecione a linha e use o menu ⏱️ Ponto</v>
      </c>
      <c r="J890" s="180"/>
      <c r="K890" s="179"/>
      <c r="L890" s="119" t="str">
        <f t="shared" si="49"/>
        <v>🟢 No Evento</v>
      </c>
    </row>
    <row r="891" ht="15.75" customHeight="1">
      <c r="A891" s="13"/>
      <c r="B891" s="173" t="s">
        <v>547</v>
      </c>
      <c r="C891" s="199" t="str">
        <f t="array" ref="C891">IF(B891="","",IFERROR(INDEX('FUNCIONÁRIOS'!$B$4:$B$501,MATCH(B891,'FUNCIONÁRIOS'!$C$4:$C$501,0)),""))</f>
        <v>GO TO </v>
      </c>
      <c r="D891" s="199" t="str">
        <f t="array" ref="D891">IF(B891="","",IFERROR(INDEX('FUNCIONÁRIOS'!$D$4:$D$501,MATCH(B891,'FUNCIONÁRIOS'!$C$4:$C$501,0)),""))</f>
        <v>CENOGRAFIA </v>
      </c>
      <c r="E891" s="199" t="str">
        <f t="array" ref="E891">IF(B891="","",IFERROR(INDEX('FUNCIONÁRIOS'!$E$4:$E$501,MATCH(B891,'FUNCIONÁRIOS'!$C$4:$C$501,0)),""))</f>
        <v>NÃO</v>
      </c>
      <c r="F891" s="138">
        <v>46170.0</v>
      </c>
      <c r="G891" s="115" t="str">
        <f t="shared" si="50"/>
        <v>✅ 08:01</v>
      </c>
      <c r="H891" s="174" t="s">
        <v>1952</v>
      </c>
      <c r="I891" s="117" t="str">
        <f t="shared" si="48"/>
        <v>→ Selecione a linha e use o menu ⏱️ Ponto</v>
      </c>
      <c r="J891" s="180"/>
      <c r="K891" s="179"/>
      <c r="L891" s="119" t="str">
        <f t="shared" si="49"/>
        <v>🟢 No Evento</v>
      </c>
    </row>
    <row r="892" ht="15.75" customHeight="1">
      <c r="A892" s="13"/>
      <c r="B892" s="173" t="s">
        <v>899</v>
      </c>
      <c r="C892" s="199" t="str">
        <f t="array" ref="C892">IF(B892="","",IFERROR(INDEX('FUNCIONÁRIOS'!$B$4:$B$501,MATCH(B892,'FUNCIONÁRIOS'!$C$4:$C$501,0)),""))</f>
        <v>GYN EVENTS</v>
      </c>
      <c r="D892" s="199" t="str">
        <f t="array" ref="D892">IF(B892="","",IFERROR(INDEX('FUNCIONÁRIOS'!$D$4:$D$501,MATCH(B892,'FUNCIONÁRIOS'!$C$4:$C$501,0)),""))</f>
        <v>CARREGADOR </v>
      </c>
      <c r="E892" s="199" t="str">
        <f t="array" ref="E892">IF(B892="","",IFERROR(INDEX('FUNCIONÁRIOS'!$E$4:$E$501,MATCH(B892,'FUNCIONÁRIOS'!$C$4:$C$501,0)),""))</f>
        <v/>
      </c>
      <c r="F892" s="138">
        <v>46170.0</v>
      </c>
      <c r="G892" s="115" t="str">
        <f t="shared" si="50"/>
        <v>✅ 08:04</v>
      </c>
      <c r="H892" s="174" t="s">
        <v>1953</v>
      </c>
      <c r="I892" s="117" t="str">
        <f t="shared" si="48"/>
        <v>→ Selecione a linha e use o menu ⏱️ Ponto</v>
      </c>
      <c r="J892" s="180"/>
      <c r="K892" s="179"/>
      <c r="L892" s="119" t="str">
        <f t="shared" si="49"/>
        <v>🟢 No Evento</v>
      </c>
    </row>
    <row r="893" ht="15.75" customHeight="1">
      <c r="A893" s="13"/>
      <c r="B893" s="173" t="s">
        <v>1458</v>
      </c>
      <c r="C893" s="199" t="str">
        <f t="array" ref="C893">IF(B893="","",IFERROR(INDEX('FUNCIONÁRIOS'!$B$4:$B$501,MATCH(B893,'FUNCIONÁRIOS'!$C$4:$C$501,0)),""))</f>
        <v/>
      </c>
      <c r="D893" s="199" t="str">
        <f t="array" ref="D893">IF(B893="","",IFERROR(INDEX('FUNCIONÁRIOS'!$D$4:$D$501,MATCH(B893,'FUNCIONÁRIOS'!$C$4:$C$501,0)),""))</f>
        <v/>
      </c>
      <c r="E893" s="199" t="str">
        <f t="array" ref="E893">IF(B893="","",IFERROR(INDEX('FUNCIONÁRIOS'!$E$4:$E$501,MATCH(B893,'FUNCIONÁRIOS'!$C$4:$C$501,0)),""))</f>
        <v/>
      </c>
      <c r="F893" s="138">
        <v>46170.0</v>
      </c>
      <c r="G893" s="115" t="str">
        <f t="shared" si="50"/>
        <v>→ Selecione a linha e use o menu ⏱️ Ponto</v>
      </c>
      <c r="H893" s="174"/>
      <c r="I893" s="117" t="str">
        <f t="shared" si="48"/>
        <v>→ Selecione a linha e use o menu ⏱️ Ponto</v>
      </c>
      <c r="J893" s="180"/>
      <c r="K893" s="179"/>
      <c r="L893" s="119" t="str">
        <f t="shared" si="49"/>
        <v>⏳ Não entrou</v>
      </c>
    </row>
    <row r="894" ht="15.75" customHeight="1">
      <c r="A894" s="13"/>
      <c r="B894" s="173" t="s">
        <v>187</v>
      </c>
      <c r="C894" s="199" t="str">
        <f t="array" ref="C894">IF(B894="","",IFERROR(INDEX('FUNCIONÁRIOS'!$B$4:$B$501,MATCH(B894,'FUNCIONÁRIOS'!$C$4:$C$501,0)),""))</f>
        <v>FLASH MED</v>
      </c>
      <c r="D894" s="199" t="str">
        <f t="array" ref="D894">IF(B894="","",IFERROR(INDEX('FUNCIONÁRIOS'!$D$4:$D$501,MATCH(B894,'FUNCIONÁRIOS'!$C$4:$C$501,0)),""))</f>
        <v>Socorrista </v>
      </c>
      <c r="E894" s="199" t="str">
        <f t="array" ref="E894">IF(B894="","",IFERROR(INDEX('FUNCIONÁRIOS'!$E$4:$E$501,MATCH(B894,'FUNCIONÁRIOS'!$C$4:$C$501,0)),""))</f>
        <v>NÃO</v>
      </c>
      <c r="F894" s="138">
        <v>46170.0</v>
      </c>
      <c r="G894" s="115" t="str">
        <f t="shared" si="50"/>
        <v>✅ 08:03</v>
      </c>
      <c r="H894" s="174" t="s">
        <v>1621</v>
      </c>
      <c r="I894" s="117" t="str">
        <f t="shared" si="48"/>
        <v>→ Selecione a linha e use o menu ⏱️ Ponto</v>
      </c>
      <c r="J894" s="180"/>
      <c r="K894" s="179"/>
      <c r="L894" s="119" t="str">
        <f t="shared" si="49"/>
        <v>🟢 No Evento</v>
      </c>
    </row>
    <row r="895" ht="15.75" customHeight="1">
      <c r="A895" s="13"/>
      <c r="B895" s="173" t="s">
        <v>1460</v>
      </c>
      <c r="C895" s="199" t="str">
        <f t="array" ref="C895">IF(B895="","",IFERROR(INDEX('FUNCIONÁRIOS'!$B$4:$B$501,MATCH(B895,'FUNCIONÁRIOS'!$C$4:$C$501,0)),""))</f>
        <v/>
      </c>
      <c r="D895" s="199" t="str">
        <f t="array" ref="D895">IF(B895="","",IFERROR(INDEX('FUNCIONÁRIOS'!$D$4:$D$501,MATCH(B895,'FUNCIONÁRIOS'!$C$4:$C$501,0)),""))</f>
        <v/>
      </c>
      <c r="E895" s="199" t="str">
        <f t="array" ref="E895">IF(B895="","",IFERROR(INDEX('FUNCIONÁRIOS'!$E$4:$E$501,MATCH(B895,'FUNCIONÁRIOS'!$C$4:$C$501,0)),""))</f>
        <v/>
      </c>
      <c r="F895" s="138">
        <v>46170.0</v>
      </c>
      <c r="G895" s="115" t="str">
        <f t="shared" si="50"/>
        <v>✅ 08:05</v>
      </c>
      <c r="H895" s="174" t="s">
        <v>1874</v>
      </c>
      <c r="I895" s="117" t="str">
        <f t="shared" si="48"/>
        <v>→ Selecione a linha e use o menu ⏱️ Ponto</v>
      </c>
      <c r="J895" s="180"/>
      <c r="K895" s="179"/>
      <c r="L895" s="119" t="str">
        <f t="shared" si="49"/>
        <v>🟢 No Evento</v>
      </c>
    </row>
    <row r="896" ht="15.75" customHeight="1">
      <c r="A896" s="13"/>
      <c r="B896" s="173" t="s">
        <v>121</v>
      </c>
      <c r="C896" s="199" t="str">
        <f t="array" ref="C896">IF(B896="","",IFERROR(INDEX('FUNCIONÁRIOS'!$B$4:$B$501,MATCH(B896,'FUNCIONÁRIOS'!$C$4:$C$501,0)),""))</f>
        <v>MONTE EVENTOS </v>
      </c>
      <c r="D896" s="199" t="str">
        <f t="array" ref="D896">IF(B896="","",IFERROR(INDEX('FUNCIONÁRIOS'!$D$4:$D$501,MATCH(B896,'FUNCIONÁRIOS'!$C$4:$C$501,0)),""))</f>
        <v>MONTADOR</v>
      </c>
      <c r="E896" s="199" t="str">
        <f t="array" ref="E896">IF(B896="","",IFERROR(INDEX('FUNCIONÁRIOS'!$E$4:$E$501,MATCH(B896,'FUNCIONÁRIOS'!$C$4:$C$501,0)),""))</f>
        <v>NÃO</v>
      </c>
      <c r="F896" s="138">
        <v>46170.0</v>
      </c>
      <c r="G896" s="115" t="str">
        <f t="shared" si="50"/>
        <v>✅ 08:06</v>
      </c>
      <c r="H896" s="174" t="s">
        <v>1622</v>
      </c>
      <c r="I896" s="117" t="str">
        <f t="shared" si="48"/>
        <v>→ Selecione a linha e use o menu ⏱️ Ponto</v>
      </c>
      <c r="J896" s="180"/>
      <c r="K896" s="179"/>
      <c r="L896" s="119" t="str">
        <f t="shared" si="49"/>
        <v>🟢 No Evento</v>
      </c>
    </row>
    <row r="897" ht="15.75" customHeight="1">
      <c r="A897" s="13"/>
      <c r="B897" s="173" t="s">
        <v>122</v>
      </c>
      <c r="C897" s="199" t="str">
        <f t="array" ref="C897">IF(B897="","",IFERROR(INDEX('FUNCIONÁRIOS'!$B$4:$B$501,MATCH(B897,'FUNCIONÁRIOS'!$C$4:$C$501,0)),""))</f>
        <v>MONTE EVENTOS </v>
      </c>
      <c r="D897" s="199" t="str">
        <f t="array" ref="D897">IF(B897="","",IFERROR(INDEX('FUNCIONÁRIOS'!$D$4:$D$501,MATCH(B897,'FUNCIONÁRIOS'!$C$4:$C$501,0)),""))</f>
        <v>MONTADOR</v>
      </c>
      <c r="E897" s="199" t="str">
        <f t="array" ref="E897">IF(B897="","",IFERROR(INDEX('FUNCIONÁRIOS'!$E$4:$E$501,MATCH(B897,'FUNCIONÁRIOS'!$C$4:$C$501,0)),""))</f>
        <v>NÃO</v>
      </c>
      <c r="F897" s="138">
        <v>46170.0</v>
      </c>
      <c r="G897" s="225" t="s">
        <v>1954</v>
      </c>
      <c r="H897" s="174" t="s">
        <v>1623</v>
      </c>
      <c r="I897" s="117" t="str">
        <f t="shared" si="48"/>
        <v>→ Selecione a linha e use o menu ⏱️ Ponto</v>
      </c>
      <c r="J897" s="180"/>
      <c r="K897" s="179"/>
      <c r="L897" s="119" t="str">
        <f t="shared" si="49"/>
        <v>🟢 No Evento</v>
      </c>
    </row>
    <row r="898" ht="15.75" customHeight="1">
      <c r="A898" s="13"/>
      <c r="B898" s="173" t="s">
        <v>1461</v>
      </c>
      <c r="C898" s="199" t="str">
        <f t="array" ref="C898">IF(B898="","",IFERROR(INDEX('FUNCIONÁRIOS'!$B$4:$B$501,MATCH(B898,'FUNCIONÁRIOS'!$C$4:$C$501,0)),""))</f>
        <v/>
      </c>
      <c r="D898" s="199" t="str">
        <f t="array" ref="D898">IF(B898="","",IFERROR(INDEX('FUNCIONÁRIOS'!$D$4:$D$501,MATCH(B898,'FUNCIONÁRIOS'!$C$4:$C$501,0)),""))</f>
        <v/>
      </c>
      <c r="E898" s="199" t="str">
        <f t="array" ref="E898">IF(B898="","",IFERROR(INDEX('FUNCIONÁRIOS'!$E$4:$E$501,MATCH(B898,'FUNCIONÁRIOS'!$C$4:$C$501,0)),""))</f>
        <v/>
      </c>
      <c r="F898" s="138">
        <v>46170.0</v>
      </c>
      <c r="G898" s="115" t="str">
        <f t="shared" ref="G898:G901" si="51">IF(H898&lt;&gt;"","✅ "&amp;TEXT(H898,"HH:MM"),"→ Selecione a linha e use o menu ⏱️ Ponto")</f>
        <v>✅ 08:07</v>
      </c>
      <c r="H898" s="174" t="s">
        <v>1623</v>
      </c>
      <c r="I898" s="117" t="str">
        <f t="shared" si="48"/>
        <v>→ Selecione a linha e use o menu ⏱️ Ponto</v>
      </c>
      <c r="J898" s="180"/>
      <c r="K898" s="179"/>
      <c r="L898" s="119" t="str">
        <f t="shared" si="49"/>
        <v>🟢 No Evento</v>
      </c>
    </row>
    <row r="899" ht="15.75" customHeight="1">
      <c r="A899" s="13"/>
      <c r="B899" s="173" t="s">
        <v>111</v>
      </c>
      <c r="C899" s="199" t="str">
        <f t="array" ref="C899">IF(B899="","",IFERROR(INDEX('FUNCIONÁRIOS'!$B$4:$B$501,MATCH(B899,'FUNCIONÁRIOS'!$C$4:$C$501,0)),""))</f>
        <v>MONTE EVENTOS </v>
      </c>
      <c r="D899" s="199" t="str">
        <f t="array" ref="D899">IF(B899="","",IFERROR(INDEX('FUNCIONÁRIOS'!$D$4:$D$501,MATCH(B899,'FUNCIONÁRIOS'!$C$4:$C$501,0)),""))</f>
        <v>MONTADOR</v>
      </c>
      <c r="E899" s="199" t="str">
        <f t="array" ref="E899">IF(B899="","",IFERROR(INDEX('FUNCIONÁRIOS'!$E$4:$E$501,MATCH(B899,'FUNCIONÁRIOS'!$C$4:$C$501,0)),""))</f>
        <v>NÃO</v>
      </c>
      <c r="F899" s="138">
        <v>46170.0</v>
      </c>
      <c r="G899" s="115" t="str">
        <f t="shared" si="51"/>
        <v>✅ 08:07</v>
      </c>
      <c r="H899" s="174" t="s">
        <v>1623</v>
      </c>
      <c r="I899" s="117" t="str">
        <f t="shared" si="48"/>
        <v>→ Selecione a linha e use o menu ⏱️ Ponto</v>
      </c>
      <c r="J899" s="180"/>
      <c r="K899" s="179"/>
      <c r="L899" s="119" t="str">
        <f t="shared" si="49"/>
        <v>🟢 No Evento</v>
      </c>
    </row>
    <row r="900" ht="15.75" customHeight="1">
      <c r="A900" s="13"/>
      <c r="B900" s="173" t="s">
        <v>552</v>
      </c>
      <c r="C900" s="199" t="str">
        <f t="array" ref="C900">IF(B900="","",IFERROR(INDEX('FUNCIONÁRIOS'!$B$4:$B$501,MATCH(B900,'FUNCIONÁRIOS'!$C$4:$C$501,0)),""))</f>
        <v>LATINO </v>
      </c>
      <c r="D900" s="199" t="str">
        <f t="array" ref="D900">IF(B900="","",IFERROR(INDEX('FUNCIONÁRIOS'!$D$4:$D$501,MATCH(B900,'FUNCIONÁRIOS'!$C$4:$C$501,0)),""))</f>
        <v>CARREGADOR </v>
      </c>
      <c r="E900" s="199" t="str">
        <f t="array" ref="E900">IF(B900="","",IFERROR(INDEX('FUNCIONÁRIOS'!$E$4:$E$501,MATCH(B900,'FUNCIONÁRIOS'!$C$4:$C$501,0)),""))</f>
        <v/>
      </c>
      <c r="F900" s="138">
        <v>46170.0</v>
      </c>
      <c r="G900" s="115" t="str">
        <f t="shared" si="51"/>
        <v>✅ 08:08</v>
      </c>
      <c r="H900" s="174" t="s">
        <v>1624</v>
      </c>
      <c r="I900" s="117" t="str">
        <f t="shared" si="48"/>
        <v>→ Selecione a linha e use o menu ⏱️ Ponto</v>
      </c>
      <c r="J900" s="180"/>
      <c r="K900" s="179"/>
      <c r="L900" s="119" t="str">
        <f t="shared" si="49"/>
        <v>🟢 No Evento</v>
      </c>
    </row>
    <row r="901" ht="15.75" customHeight="1">
      <c r="A901" s="13"/>
      <c r="B901" s="173" t="s">
        <v>436</v>
      </c>
      <c r="C901" s="199" t="str">
        <f t="array" ref="C901">IF(B901="","",IFERROR(INDEX('FUNCIONÁRIOS'!$B$4:$B$501,MATCH(B901,'FUNCIONÁRIOS'!$C$4:$C$501,0)),""))</f>
        <v>SHOWNEWS</v>
      </c>
      <c r="D901" s="199" t="str">
        <f t="array" ref="D901">IF(B901="","",IFERROR(INDEX('FUNCIONÁRIOS'!$D$4:$D$501,MATCH(B901,'FUNCIONÁRIOS'!$C$4:$C$501,0)),""))</f>
        <v>Montador</v>
      </c>
      <c r="E901" s="199" t="str">
        <f t="array" ref="E901">IF(B901="","",IFERROR(INDEX('FUNCIONÁRIOS'!$E$4:$E$501,MATCH(B901,'FUNCIONÁRIOS'!$C$4:$C$501,0)),""))</f>
        <v>NÃO</v>
      </c>
      <c r="F901" s="138">
        <v>46170.0</v>
      </c>
      <c r="G901" s="115" t="str">
        <f t="shared" si="51"/>
        <v>✅ 08:09</v>
      </c>
      <c r="H901" s="174" t="s">
        <v>1625</v>
      </c>
      <c r="I901" s="117" t="str">
        <f t="shared" si="48"/>
        <v>→ Selecione a linha e use o menu ⏱️ Ponto</v>
      </c>
      <c r="J901" s="180"/>
      <c r="K901" s="179"/>
      <c r="L901" s="119" t="str">
        <f t="shared" si="49"/>
        <v>🟢 No Evento</v>
      </c>
    </row>
    <row r="902" ht="15.75" customHeight="1">
      <c r="A902" s="13"/>
      <c r="B902" s="173" t="s">
        <v>455</v>
      </c>
      <c r="C902" s="199" t="str">
        <f t="array" ref="C902">IF(B902="","",IFERROR(INDEX('FUNCIONÁRIOS'!$B$4:$B$501,MATCH(B902,'FUNCIONÁRIOS'!$C$4:$C$501,0)),""))</f>
        <v>GYN EVENTS</v>
      </c>
      <c r="D902" s="199" t="str">
        <f t="array" ref="D902">IF(B902="","",IFERROR(INDEX('FUNCIONÁRIOS'!$D$4:$D$501,MATCH(B902,'FUNCIONÁRIOS'!$C$4:$C$501,0)),""))</f>
        <v>Carregador</v>
      </c>
      <c r="E902" s="199" t="str">
        <f t="array" ref="E902">IF(B902="","",IFERROR(INDEX('FUNCIONÁRIOS'!$E$4:$E$501,MATCH(B902,'FUNCIONÁRIOS'!$C$4:$C$501,0)),""))</f>
        <v>NÃO</v>
      </c>
      <c r="F902" s="138">
        <v>46170.0</v>
      </c>
      <c r="G902" s="115"/>
      <c r="H902" s="174" t="s">
        <v>1625</v>
      </c>
      <c r="I902" s="117" t="str">
        <f t="shared" si="48"/>
        <v>→ Selecione a linha e use o menu ⏱️ Ponto</v>
      </c>
      <c r="J902" s="180"/>
      <c r="K902" s="179"/>
      <c r="L902" s="119" t="str">
        <f t="shared" si="49"/>
        <v>🟢 No Evento</v>
      </c>
    </row>
    <row r="903" ht="15.75" customHeight="1">
      <c r="A903" s="13"/>
      <c r="B903" s="173" t="s">
        <v>1462</v>
      </c>
      <c r="C903" s="199" t="str">
        <f t="array" ref="C903">IF(B903="","",IFERROR(INDEX('FUNCIONÁRIOS'!$B$4:$B$501,MATCH(B903,'FUNCIONÁRIOS'!$C$4:$C$501,0)),""))</f>
        <v/>
      </c>
      <c r="D903" s="199" t="str">
        <f t="array" ref="D903">IF(B903="","",IFERROR(INDEX('FUNCIONÁRIOS'!$D$4:$D$501,MATCH(B903,'FUNCIONÁRIOS'!$C$4:$C$501,0)),""))</f>
        <v/>
      </c>
      <c r="E903" s="199" t="str">
        <f t="array" ref="E903">IF(B903="","",IFERROR(INDEX('FUNCIONÁRIOS'!$E$4:$E$501,MATCH(B903,'FUNCIONÁRIOS'!$C$4:$C$501,0)),""))</f>
        <v/>
      </c>
      <c r="F903" s="138">
        <v>46170.0</v>
      </c>
      <c r="G903" s="115" t="str">
        <f t="shared" ref="G903:G923" si="52">IF(H903&lt;&gt;"","✅ "&amp;TEXT(H903,"HH:MM"),"→ Selecione a linha e use o menu ⏱️ Ponto")</f>
        <v>✅ 08:09</v>
      </c>
      <c r="H903" s="174" t="s">
        <v>1625</v>
      </c>
      <c r="I903" s="117" t="str">
        <f t="shared" si="48"/>
        <v>→ Selecione a linha e use o menu ⏱️ Ponto</v>
      </c>
      <c r="J903" s="180"/>
      <c r="K903" s="179"/>
      <c r="L903" s="119" t="str">
        <f t="shared" si="49"/>
        <v>🟢 No Evento</v>
      </c>
    </row>
    <row r="904" ht="15.75" customHeight="1">
      <c r="A904" s="13"/>
      <c r="B904" s="173" t="s">
        <v>342</v>
      </c>
      <c r="C904" s="199" t="str">
        <f t="array" ref="C904">IF(B904="","",IFERROR(INDEX('FUNCIONÁRIOS'!$B$4:$B$501,MATCH(B904,'FUNCIONÁRIOS'!$C$4:$C$501,0)),""))</f>
        <v>GO TO </v>
      </c>
      <c r="D904" s="199" t="str">
        <f t="array" ref="D904">IF(B904="","",IFERROR(INDEX('FUNCIONÁRIOS'!$D$4:$D$501,MATCH(B904,'FUNCIONÁRIOS'!$C$4:$C$501,0)),""))</f>
        <v>MONTADOR</v>
      </c>
      <c r="E904" s="199" t="str">
        <f t="array" ref="E904">IF(B904="","",IFERROR(INDEX('FUNCIONÁRIOS'!$E$4:$E$501,MATCH(B904,'FUNCIONÁRIOS'!$C$4:$C$501,0)),""))</f>
        <v>NÃO</v>
      </c>
      <c r="F904" s="138">
        <v>46170.0</v>
      </c>
      <c r="G904" s="115" t="str">
        <f t="shared" si="52"/>
        <v>✅ 08:10</v>
      </c>
      <c r="H904" s="174" t="s">
        <v>1626</v>
      </c>
      <c r="I904" s="117" t="str">
        <f t="shared" si="48"/>
        <v>→ Selecione a linha e use o menu ⏱️ Ponto</v>
      </c>
      <c r="J904" s="180"/>
      <c r="K904" s="179"/>
      <c r="L904" s="119" t="str">
        <f t="shared" si="49"/>
        <v>🟢 No Evento</v>
      </c>
    </row>
    <row r="905" ht="15.75" customHeight="1">
      <c r="A905" s="13"/>
      <c r="B905" s="173" t="s">
        <v>113</v>
      </c>
      <c r="C905" s="199" t="str">
        <f t="array" ref="C905">IF(B905="","",IFERROR(INDEX('FUNCIONÁRIOS'!$B$4:$B$501,MATCH(B905,'FUNCIONÁRIOS'!$C$4:$C$501,0)),""))</f>
        <v>MONTE EVENTOS </v>
      </c>
      <c r="D905" s="199" t="str">
        <f t="array" ref="D905">IF(B905="","",IFERROR(INDEX('FUNCIONÁRIOS'!$D$4:$D$501,MATCH(B905,'FUNCIONÁRIOS'!$C$4:$C$501,0)),""))</f>
        <v>COORDENADOR/CEO</v>
      </c>
      <c r="E905" s="199" t="str">
        <f t="array" ref="E905">IF(B905="","",IFERROR(INDEX('FUNCIONÁRIOS'!$E$4:$E$501,MATCH(B905,'FUNCIONÁRIOS'!$C$4:$C$501,0)),""))</f>
        <v>SIM</v>
      </c>
      <c r="F905" s="138">
        <v>46170.0</v>
      </c>
      <c r="G905" s="115" t="str">
        <f t="shared" si="52"/>
        <v>✅ 08:10</v>
      </c>
      <c r="H905" s="174" t="s">
        <v>1626</v>
      </c>
      <c r="I905" s="117" t="str">
        <f t="shared" si="48"/>
        <v>→ Selecione a linha e use o menu ⏱️ Ponto</v>
      </c>
      <c r="J905" s="180"/>
      <c r="K905" s="179"/>
      <c r="L905" s="119" t="str">
        <f t="shared" si="49"/>
        <v>🟢 No Evento</v>
      </c>
    </row>
    <row r="906" ht="15.75" customHeight="1">
      <c r="A906" s="13"/>
      <c r="B906" s="173" t="s">
        <v>1344</v>
      </c>
      <c r="C906" s="199" t="str">
        <f t="array" ref="C906">IF(B906="","",IFERROR(INDEX('FUNCIONÁRIOS'!$B$4:$B$501,MATCH(B906,'FUNCIONÁRIOS'!$C$4:$C$501,0)),""))</f>
        <v/>
      </c>
      <c r="D906" s="199" t="str">
        <f t="array" ref="D906">IF(B906="","",IFERROR(INDEX('FUNCIONÁRIOS'!$D$4:$D$501,MATCH(B906,'FUNCIONÁRIOS'!$C$4:$C$501,0)),""))</f>
        <v/>
      </c>
      <c r="E906" s="199" t="str">
        <f t="array" ref="E906">IF(B906="","",IFERROR(INDEX('FUNCIONÁRIOS'!$E$4:$E$501,MATCH(B906,'FUNCIONÁRIOS'!$C$4:$C$501,0)),""))</f>
        <v/>
      </c>
      <c r="F906" s="138">
        <v>46170.0</v>
      </c>
      <c r="G906" s="115" t="str">
        <f t="shared" si="52"/>
        <v>✅ 08:11</v>
      </c>
      <c r="H906" s="174" t="s">
        <v>1627</v>
      </c>
      <c r="I906" s="117" t="str">
        <f t="shared" si="48"/>
        <v>→ Selecione a linha e use o menu ⏱️ Ponto</v>
      </c>
      <c r="J906" s="180"/>
      <c r="K906" s="179"/>
      <c r="L906" s="119" t="str">
        <f t="shared" si="49"/>
        <v>🟢 No Evento</v>
      </c>
    </row>
    <row r="907" ht="15.75" customHeight="1">
      <c r="A907" s="13"/>
      <c r="B907" s="173" t="s">
        <v>1463</v>
      </c>
      <c r="C907" s="199" t="str">
        <f t="array" ref="C907">IF(B907="","",IFERROR(INDEX('FUNCIONÁRIOS'!$B$4:$B$501,MATCH(B907,'FUNCIONÁRIOS'!$C$4:$C$501,0)),""))</f>
        <v/>
      </c>
      <c r="D907" s="199" t="str">
        <f t="array" ref="D907">IF(B907="","",IFERROR(INDEX('FUNCIONÁRIOS'!$D$4:$D$501,MATCH(B907,'FUNCIONÁRIOS'!$C$4:$C$501,0)),""))</f>
        <v/>
      </c>
      <c r="E907" s="199" t="str">
        <f t="array" ref="E907">IF(B907="","",IFERROR(INDEX('FUNCIONÁRIOS'!$E$4:$E$501,MATCH(B907,'FUNCIONÁRIOS'!$C$4:$C$501,0)),""))</f>
        <v/>
      </c>
      <c r="F907" s="138">
        <v>46170.0</v>
      </c>
      <c r="G907" s="115" t="str">
        <f t="shared" si="52"/>
        <v>✅ 08:11</v>
      </c>
      <c r="H907" s="174" t="s">
        <v>1627</v>
      </c>
      <c r="I907" s="117" t="str">
        <f t="shared" si="48"/>
        <v>→ Selecione a linha e use o menu ⏱️ Ponto</v>
      </c>
      <c r="J907" s="180"/>
      <c r="K907" s="179"/>
      <c r="L907" s="119" t="str">
        <f t="shared" si="49"/>
        <v>🟢 No Evento</v>
      </c>
    </row>
    <row r="908" ht="15.75" customHeight="1">
      <c r="A908" s="13"/>
      <c r="B908" s="173" t="s">
        <v>901</v>
      </c>
      <c r="C908" s="199" t="str">
        <f t="array" ref="C908">IF(B908="","",IFERROR(INDEX('FUNCIONÁRIOS'!$B$4:$B$501,MATCH(B908,'FUNCIONÁRIOS'!$C$4:$C$501,0)),""))</f>
        <v>SHOWNEWS</v>
      </c>
      <c r="D908" s="199" t="str">
        <f t="array" ref="D908">IF(B908="","",IFERROR(INDEX('FUNCIONÁRIOS'!$D$4:$D$501,MATCH(B908,'FUNCIONÁRIOS'!$C$4:$C$501,0)),""))</f>
        <v>limpeza </v>
      </c>
      <c r="E908" s="199" t="str">
        <f t="array" ref="E908">IF(B908="","",IFERROR(INDEX('FUNCIONÁRIOS'!$E$4:$E$501,MATCH(B908,'FUNCIONÁRIOS'!$C$4:$C$501,0)),""))</f>
        <v/>
      </c>
      <c r="F908" s="138">
        <v>46170.0</v>
      </c>
      <c r="G908" s="115" t="str">
        <f t="shared" si="52"/>
        <v>✅ 08:12</v>
      </c>
      <c r="H908" s="174" t="s">
        <v>1629</v>
      </c>
      <c r="I908" s="117" t="str">
        <f t="shared" si="48"/>
        <v>→ Selecione a linha e use o menu ⏱️ Ponto</v>
      </c>
      <c r="J908" s="180"/>
      <c r="K908" s="179"/>
      <c r="L908" s="119" t="str">
        <f t="shared" si="49"/>
        <v>🟢 No Evento</v>
      </c>
    </row>
    <row r="909" ht="15.75" customHeight="1">
      <c r="A909" s="13"/>
      <c r="B909" s="173" t="s">
        <v>704</v>
      </c>
      <c r="C909" s="199" t="str">
        <f t="array" ref="C909">IF(B909="","",IFERROR(INDEX('FUNCIONÁRIOS'!$B$4:$B$501,MATCH(B909,'FUNCIONÁRIOS'!$C$4:$C$501,0)),""))</f>
        <v>SHOWNEWS</v>
      </c>
      <c r="D909" s="199" t="str">
        <f t="array" ref="D909">IF(B909="","",IFERROR(INDEX('FUNCIONÁRIOS'!$D$4:$D$501,MATCH(B909,'FUNCIONÁRIOS'!$C$4:$C$501,0)),""))</f>
        <v>LIMPEZA </v>
      </c>
      <c r="E909" s="199" t="str">
        <f t="array" ref="E909">IF(B909="","",IFERROR(INDEX('FUNCIONÁRIOS'!$E$4:$E$501,MATCH(B909,'FUNCIONÁRIOS'!$C$4:$C$501,0)),""))</f>
        <v>NÃO</v>
      </c>
      <c r="F909" s="138">
        <v>46170.0</v>
      </c>
      <c r="G909" s="115" t="str">
        <f t="shared" si="52"/>
        <v>✅ 08:12</v>
      </c>
      <c r="H909" s="174" t="s">
        <v>1629</v>
      </c>
      <c r="I909" s="117" t="str">
        <f t="shared" si="48"/>
        <v>→ Selecione a linha e use o menu ⏱️ Ponto</v>
      </c>
      <c r="J909" s="180"/>
      <c r="K909" s="179"/>
      <c r="L909" s="119" t="str">
        <f t="shared" si="49"/>
        <v>🟢 No Evento</v>
      </c>
    </row>
    <row r="910" ht="15.75" customHeight="1">
      <c r="A910" s="13"/>
      <c r="B910" s="173" t="s">
        <v>1254</v>
      </c>
      <c r="C910" s="199" t="str">
        <f t="array" ref="C910">IF(B910="","",IFERROR(INDEX('FUNCIONÁRIOS'!$B$4:$B$501,MATCH(B910,'FUNCIONÁRIOS'!$C$4:$C$501,0)),""))</f>
        <v/>
      </c>
      <c r="D910" s="199" t="str">
        <f t="array" ref="D910">IF(B910="","",IFERROR(INDEX('FUNCIONÁRIOS'!$D$4:$D$501,MATCH(B910,'FUNCIONÁRIOS'!$C$4:$C$501,0)),""))</f>
        <v/>
      </c>
      <c r="E910" s="199" t="str">
        <f t="array" ref="E910">IF(B910="","",IFERROR(INDEX('FUNCIONÁRIOS'!$E$4:$E$501,MATCH(B910,'FUNCIONÁRIOS'!$C$4:$C$501,0)),""))</f>
        <v/>
      </c>
      <c r="F910" s="138">
        <v>46170.0</v>
      </c>
      <c r="G910" s="115" t="str">
        <f t="shared" si="52"/>
        <v>✅ 08:13</v>
      </c>
      <c r="H910" s="174" t="s">
        <v>1630</v>
      </c>
      <c r="I910" s="117" t="str">
        <f t="shared" si="48"/>
        <v>→ Selecione a linha e use o menu ⏱️ Ponto</v>
      </c>
      <c r="J910" s="180"/>
      <c r="K910" s="179"/>
      <c r="L910" s="119" t="str">
        <f t="shared" si="49"/>
        <v>🟢 No Evento</v>
      </c>
    </row>
    <row r="911" ht="15.75" customHeight="1">
      <c r="A911" s="13"/>
      <c r="B911" s="173" t="s">
        <v>697</v>
      </c>
      <c r="C911" s="199" t="str">
        <f t="array" ref="C911">IF(B911="","",IFERROR(INDEX('FUNCIONÁRIOS'!$B$4:$B$501,MATCH(B911,'FUNCIONÁRIOS'!$C$4:$C$501,0)),""))</f>
        <v/>
      </c>
      <c r="D911" s="199" t="str">
        <f t="array" ref="D911">IF(B911="","",IFERROR(INDEX('FUNCIONÁRIOS'!$D$4:$D$501,MATCH(B911,'FUNCIONÁRIOS'!$C$4:$C$501,0)),""))</f>
        <v/>
      </c>
      <c r="E911" s="199" t="str">
        <f t="array" ref="E911">IF(B911="","",IFERROR(INDEX('FUNCIONÁRIOS'!$E$4:$E$501,MATCH(B911,'FUNCIONÁRIOS'!$C$4:$C$501,0)),""))</f>
        <v>NÃO</v>
      </c>
      <c r="F911" s="138">
        <v>46170.0</v>
      </c>
      <c r="G911" s="115" t="str">
        <f t="shared" si="52"/>
        <v>✅ 08:14</v>
      </c>
      <c r="H911" s="174" t="s">
        <v>1631</v>
      </c>
      <c r="I911" s="117" t="str">
        <f t="shared" si="48"/>
        <v>→ Selecione a linha e use o menu ⏱️ Ponto</v>
      </c>
      <c r="J911" s="180"/>
      <c r="K911" s="179"/>
      <c r="L911" s="119" t="str">
        <f t="shared" si="49"/>
        <v>🟢 No Evento</v>
      </c>
    </row>
    <row r="912" ht="15.75" customHeight="1">
      <c r="A912" s="13"/>
      <c r="B912" s="173" t="s">
        <v>1094</v>
      </c>
      <c r="C912" s="199" t="str">
        <f t="array" ref="C912">IF(B912="","",IFERROR(INDEX('FUNCIONÁRIOS'!$B$4:$B$501,MATCH(B912,'FUNCIONÁRIOS'!$C$4:$C$501,0)),""))</f>
        <v/>
      </c>
      <c r="D912" s="199" t="str">
        <f t="array" ref="D912">IF(B912="","",IFERROR(INDEX('FUNCIONÁRIOS'!$D$4:$D$501,MATCH(B912,'FUNCIONÁRIOS'!$C$4:$C$501,0)),""))</f>
        <v/>
      </c>
      <c r="E912" s="199" t="str">
        <f t="array" ref="E912">IF(B912="","",IFERROR(INDEX('FUNCIONÁRIOS'!$E$4:$E$501,MATCH(B912,'FUNCIONÁRIOS'!$C$4:$C$501,0)),""))</f>
        <v/>
      </c>
      <c r="F912" s="138">
        <v>46170.0</v>
      </c>
      <c r="G912" s="115" t="str">
        <f t="shared" si="52"/>
        <v>✅ 08:15</v>
      </c>
      <c r="H912" s="174" t="s">
        <v>1632</v>
      </c>
      <c r="I912" s="117" t="str">
        <f t="shared" si="48"/>
        <v>→ Selecione a linha e use o menu ⏱️ Ponto</v>
      </c>
      <c r="J912" s="180"/>
      <c r="K912" s="179"/>
      <c r="L912" s="119" t="str">
        <f t="shared" si="49"/>
        <v>🟢 No Evento</v>
      </c>
    </row>
    <row r="913" ht="15.75" customHeight="1">
      <c r="A913" s="13"/>
      <c r="B913" s="173" t="s">
        <v>438</v>
      </c>
      <c r="C913" s="199" t="str">
        <f t="array" ref="C913">IF(B913="","",IFERROR(INDEX('FUNCIONÁRIOS'!$B$4:$B$501,MATCH(B913,'FUNCIONÁRIOS'!$C$4:$C$501,0)),""))</f>
        <v>SHOWNEWS</v>
      </c>
      <c r="D913" s="199" t="str">
        <f t="array" ref="D913">IF(B913="","",IFERROR(INDEX('FUNCIONÁRIOS'!$D$4:$D$501,MATCH(B913,'FUNCIONÁRIOS'!$C$4:$C$501,0)),""))</f>
        <v>Montador</v>
      </c>
      <c r="E913" s="199" t="str">
        <f t="array" ref="E913">IF(B913="","",IFERROR(INDEX('FUNCIONÁRIOS'!$E$4:$E$501,MATCH(B913,'FUNCIONÁRIOS'!$C$4:$C$501,0)),""))</f>
        <v>NÃO</v>
      </c>
      <c r="F913" s="138">
        <v>46170.0</v>
      </c>
      <c r="G913" s="115" t="str">
        <f t="shared" si="52"/>
        <v>✅ 08:16</v>
      </c>
      <c r="H913" s="174" t="s">
        <v>1633</v>
      </c>
      <c r="I913" s="117" t="str">
        <f t="shared" si="48"/>
        <v>→ Selecione a linha e use o menu ⏱️ Ponto</v>
      </c>
      <c r="J913" s="180"/>
      <c r="K913" s="179"/>
      <c r="L913" s="119" t="str">
        <f t="shared" si="49"/>
        <v>🟢 No Evento</v>
      </c>
    </row>
    <row r="914" ht="15.75" customHeight="1">
      <c r="A914" s="13"/>
      <c r="B914" s="173" t="s">
        <v>430</v>
      </c>
      <c r="C914" s="199" t="str">
        <f t="array" ref="C914">IF(B914="","",IFERROR(INDEX('FUNCIONÁRIOS'!$B$4:$B$501,MATCH(B914,'FUNCIONÁRIOS'!$C$4:$C$501,0)),""))</f>
        <v>SHOWNEWS</v>
      </c>
      <c r="D914" s="199" t="str">
        <f t="array" ref="D914">IF(B914="","",IFERROR(INDEX('FUNCIONÁRIOS'!$D$4:$D$501,MATCH(B914,'FUNCIONÁRIOS'!$C$4:$C$501,0)),""))</f>
        <v>Montador</v>
      </c>
      <c r="E914" s="199" t="str">
        <f t="array" ref="E914">IF(B914="","",IFERROR(INDEX('FUNCIONÁRIOS'!$E$4:$E$501,MATCH(B914,'FUNCIONÁRIOS'!$C$4:$C$501,0)),""))</f>
        <v>NÃO</v>
      </c>
      <c r="F914" s="138">
        <v>46170.0</v>
      </c>
      <c r="G914" s="115" t="str">
        <f t="shared" si="52"/>
        <v>✅ 08:17</v>
      </c>
      <c r="H914" s="174" t="s">
        <v>1634</v>
      </c>
      <c r="I914" s="117" t="str">
        <f t="shared" si="48"/>
        <v>→ Selecione a linha e use o menu ⏱️ Ponto</v>
      </c>
      <c r="J914" s="180"/>
      <c r="K914" s="179"/>
      <c r="L914" s="119" t="str">
        <f t="shared" si="49"/>
        <v>🟢 No Evento</v>
      </c>
    </row>
    <row r="915" ht="15.75" customHeight="1">
      <c r="A915" s="13"/>
      <c r="B915" s="173" t="s">
        <v>432</v>
      </c>
      <c r="C915" s="199" t="str">
        <f t="array" ref="C915">IF(B915="","",IFERROR(INDEX('FUNCIONÁRIOS'!$B$4:$B$501,MATCH(B915,'FUNCIONÁRIOS'!$C$4:$C$501,0)),""))</f>
        <v>SHOWNEWS</v>
      </c>
      <c r="D915" s="199" t="str">
        <f t="array" ref="D915">IF(B915="","",IFERROR(INDEX('FUNCIONÁRIOS'!$D$4:$D$501,MATCH(B915,'FUNCIONÁRIOS'!$C$4:$C$501,0)),""))</f>
        <v>Montador</v>
      </c>
      <c r="E915" s="199" t="str">
        <f t="array" ref="E915">IF(B915="","",IFERROR(INDEX('FUNCIONÁRIOS'!$E$4:$E$501,MATCH(B915,'FUNCIONÁRIOS'!$C$4:$C$501,0)),""))</f>
        <v>NÃO</v>
      </c>
      <c r="F915" s="138">
        <v>46170.0</v>
      </c>
      <c r="G915" s="115" t="str">
        <f t="shared" si="52"/>
        <v>✅ 08:18</v>
      </c>
      <c r="H915" s="174" t="s">
        <v>1760</v>
      </c>
      <c r="I915" s="117" t="str">
        <f t="shared" si="48"/>
        <v>→ Selecione a linha e use o menu ⏱️ Ponto</v>
      </c>
      <c r="J915" s="180"/>
      <c r="K915" s="179"/>
      <c r="L915" s="119" t="str">
        <f t="shared" si="49"/>
        <v>🟢 No Evento</v>
      </c>
    </row>
    <row r="916" ht="15.75" customHeight="1">
      <c r="A916" s="13"/>
      <c r="B916" s="173" t="s">
        <v>535</v>
      </c>
      <c r="C916" s="199" t="str">
        <f t="array" ref="C916">IF(B916="","",IFERROR(INDEX('FUNCIONÁRIOS'!$B$4:$B$501,MATCH(B916,'FUNCIONÁRIOS'!$C$4:$C$501,0)),""))</f>
        <v>LATINO </v>
      </c>
      <c r="D916" s="199" t="str">
        <f t="array" ref="D916">IF(B916="","",IFERROR(INDEX('FUNCIONÁRIOS'!$D$4:$D$501,MATCH(B916,'FUNCIONÁRIOS'!$C$4:$C$501,0)),""))</f>
        <v>COORDENADOR DOS CARREGADORES </v>
      </c>
      <c r="E916" s="199" t="str">
        <f t="array" ref="E916">IF(B916="","",IFERROR(INDEX('FUNCIONÁRIOS'!$E$4:$E$501,MATCH(B916,'FUNCIONÁRIOS'!$C$4:$C$501,0)),""))</f>
        <v>SIM</v>
      </c>
      <c r="F916" s="138">
        <v>46170.0</v>
      </c>
      <c r="G916" s="115" t="str">
        <f t="shared" si="52"/>
        <v>✅ 08:19</v>
      </c>
      <c r="H916" s="174" t="s">
        <v>1761</v>
      </c>
      <c r="I916" s="117" t="str">
        <f t="shared" si="48"/>
        <v>→ Selecione a linha e use o menu ⏱️ Ponto</v>
      </c>
      <c r="J916" s="180"/>
      <c r="K916" s="179"/>
      <c r="L916" s="119" t="str">
        <f t="shared" si="49"/>
        <v>🟢 No Evento</v>
      </c>
    </row>
    <row r="917" ht="15.75" customHeight="1">
      <c r="A917" s="13"/>
      <c r="B917" s="173" t="s">
        <v>348</v>
      </c>
      <c r="C917" s="199" t="str">
        <f t="array" ref="C917">IF(B917="","",IFERROR(INDEX('FUNCIONÁRIOS'!$B$4:$B$501,MATCH(B917,'FUNCIONÁRIOS'!$C$4:$C$501,0)),""))</f>
        <v>GO TO </v>
      </c>
      <c r="D917" s="199" t="str">
        <f t="array" ref="D917">IF(B917="","",IFERROR(INDEX('FUNCIONÁRIOS'!$D$4:$D$501,MATCH(B917,'FUNCIONÁRIOS'!$C$4:$C$501,0)),""))</f>
        <v>MONTADOR</v>
      </c>
      <c r="E917" s="199" t="str">
        <f t="array" ref="E917">IF(B917="","",IFERROR(INDEX('FUNCIONÁRIOS'!$E$4:$E$501,MATCH(B917,'FUNCIONÁRIOS'!$C$4:$C$501,0)),""))</f>
        <v>NÃO</v>
      </c>
      <c r="F917" s="138">
        <v>46170.0</v>
      </c>
      <c r="G917" s="115" t="str">
        <f t="shared" si="52"/>
        <v>✅ 08:20</v>
      </c>
      <c r="H917" s="174" t="s">
        <v>1763</v>
      </c>
      <c r="I917" s="117" t="str">
        <f t="shared" si="48"/>
        <v>→ Selecione a linha e use o menu ⏱️ Ponto</v>
      </c>
      <c r="J917" s="180"/>
      <c r="K917" s="179"/>
      <c r="L917" s="119" t="str">
        <f t="shared" si="49"/>
        <v>🟢 No Evento</v>
      </c>
    </row>
    <row r="918" ht="15.75" customHeight="1">
      <c r="A918" s="13"/>
      <c r="B918" s="173" t="s">
        <v>1322</v>
      </c>
      <c r="C918" s="199" t="str">
        <f t="array" ref="C918">IF(B918="","",IFERROR(INDEX('FUNCIONÁRIOS'!$B$4:$B$501,MATCH(B918,'FUNCIONÁRIOS'!$C$4:$C$501,0)),""))</f>
        <v/>
      </c>
      <c r="D918" s="199" t="str">
        <f t="array" ref="D918">IF(B918="","",IFERROR(INDEX('FUNCIONÁRIOS'!$D$4:$D$501,MATCH(B918,'FUNCIONÁRIOS'!$C$4:$C$501,0)),""))</f>
        <v/>
      </c>
      <c r="E918" s="199" t="str">
        <f t="array" ref="E918">IF(B918="","",IFERROR(INDEX('FUNCIONÁRIOS'!$E$4:$E$501,MATCH(B918,'FUNCIONÁRIOS'!$C$4:$C$501,0)),""))</f>
        <v/>
      </c>
      <c r="F918" s="138">
        <v>46170.0</v>
      </c>
      <c r="G918" s="115" t="str">
        <f t="shared" si="52"/>
        <v>✅ 08:20</v>
      </c>
      <c r="H918" s="174" t="s">
        <v>1763</v>
      </c>
      <c r="I918" s="117" t="str">
        <f t="shared" si="48"/>
        <v>→ Selecione a linha e use o menu ⏱️ Ponto</v>
      </c>
      <c r="J918" s="180"/>
      <c r="K918" s="179"/>
      <c r="L918" s="119" t="str">
        <f t="shared" si="49"/>
        <v>🟢 No Evento</v>
      </c>
    </row>
    <row r="919" ht="15.75" customHeight="1">
      <c r="A919" s="13"/>
      <c r="B919" s="173" t="s">
        <v>577</v>
      </c>
      <c r="C919" s="199" t="str">
        <f t="array" ref="C919">IF(B919="","",IFERROR(INDEX('FUNCIONÁRIOS'!$B$4:$B$501,MATCH(B919,'FUNCIONÁRIOS'!$C$4:$C$501,0)),""))</f>
        <v>ALL ESTRUTURAS </v>
      </c>
      <c r="D919" s="199" t="str">
        <f t="array" ref="D919">IF(B919="","",IFERROR(INDEX('FUNCIONÁRIOS'!$D$4:$D$501,MATCH(B919,'FUNCIONÁRIOS'!$C$4:$C$501,0)),""))</f>
        <v>MONTADOR </v>
      </c>
      <c r="E919" s="199" t="str">
        <f t="array" ref="E919">IF(B919="","",IFERROR(INDEX('FUNCIONÁRIOS'!$E$4:$E$501,MATCH(B919,'FUNCIONÁRIOS'!$C$4:$C$501,0)),""))</f>
        <v>NÃO</v>
      </c>
      <c r="F919" s="138">
        <v>46170.0</v>
      </c>
      <c r="G919" s="115" t="str">
        <f t="shared" si="52"/>
        <v>✅ 08:20</v>
      </c>
      <c r="H919" s="174" t="s">
        <v>1763</v>
      </c>
      <c r="I919" s="117" t="str">
        <f t="shared" si="48"/>
        <v>→ Selecione a linha e use o menu ⏱️ Ponto</v>
      </c>
      <c r="J919" s="180"/>
      <c r="K919" s="179"/>
      <c r="L919" s="119" t="str">
        <f t="shared" si="49"/>
        <v>🟢 No Evento</v>
      </c>
    </row>
    <row r="920" ht="15.75" customHeight="1">
      <c r="A920" s="13"/>
      <c r="B920" s="173" t="s">
        <v>708</v>
      </c>
      <c r="C920" s="199" t="str">
        <f t="array" ref="C920">IF(B920="","",IFERROR(INDEX('FUNCIONÁRIOS'!$B$4:$B$501,MATCH(B920,'FUNCIONÁRIOS'!$C$4:$C$501,0)),""))</f>
        <v>PRIVIEGE EVENTOS </v>
      </c>
      <c r="D920" s="199" t="str">
        <f t="array" ref="D920">IF(B920="","",IFERROR(INDEX('FUNCIONÁRIOS'!$D$4:$D$501,MATCH(B920,'FUNCIONÁRIOS'!$C$4:$C$501,0)),""))</f>
        <v>LIMPEZA </v>
      </c>
      <c r="E920" s="199" t="str">
        <f t="array" ref="E920">IF(B920="","",IFERROR(INDEX('FUNCIONÁRIOS'!$E$4:$E$501,MATCH(B920,'FUNCIONÁRIOS'!$C$4:$C$501,0)),""))</f>
        <v>NÃO</v>
      </c>
      <c r="F920" s="138">
        <v>46170.0</v>
      </c>
      <c r="G920" s="115" t="str">
        <f t="shared" si="52"/>
        <v>✅ 08:21</v>
      </c>
      <c r="H920" s="174" t="s">
        <v>1765</v>
      </c>
      <c r="I920" s="117" t="str">
        <f t="shared" si="48"/>
        <v>→ Selecione a linha e use o menu ⏱️ Ponto</v>
      </c>
      <c r="J920" s="180"/>
      <c r="K920" s="179"/>
      <c r="L920" s="119" t="str">
        <f t="shared" si="49"/>
        <v>🟢 No Evento</v>
      </c>
    </row>
    <row r="921" ht="15.75" customHeight="1">
      <c r="A921" s="13"/>
      <c r="B921" s="173" t="s">
        <v>571</v>
      </c>
      <c r="C921" s="199" t="str">
        <f t="array" ref="C921">IF(B921="","",IFERROR(INDEX('FUNCIONÁRIOS'!$B$4:$B$501,MATCH(B921,'FUNCIONÁRIOS'!$C$4:$C$501,0)),""))</f>
        <v>VISUAL LIVE </v>
      </c>
      <c r="D921" s="199" t="str">
        <f t="array" ref="D921">IF(B921="","",IFERROR(INDEX('FUNCIONÁRIOS'!$D$4:$D$501,MATCH(B921,'FUNCIONÁRIOS'!$C$4:$C$501,0)),""))</f>
        <v>MONTADOR </v>
      </c>
      <c r="E921" s="199" t="str">
        <f t="array" ref="E921">IF(B921="","",IFERROR(INDEX('FUNCIONÁRIOS'!$E$4:$E$501,MATCH(B921,'FUNCIONÁRIOS'!$C$4:$C$501,0)),""))</f>
        <v>NÃO</v>
      </c>
      <c r="F921" s="138">
        <v>46170.0</v>
      </c>
      <c r="G921" s="115" t="str">
        <f t="shared" si="52"/>
        <v>✅ 08:21</v>
      </c>
      <c r="H921" s="174" t="s">
        <v>1765</v>
      </c>
      <c r="I921" s="117" t="str">
        <f t="shared" si="48"/>
        <v>→ Selecione a linha e use o menu ⏱️ Ponto</v>
      </c>
      <c r="J921" s="180"/>
      <c r="K921" s="179"/>
      <c r="L921" s="119" t="str">
        <f t="shared" si="49"/>
        <v>🟢 No Evento</v>
      </c>
    </row>
    <row r="922" ht="15.75" customHeight="1">
      <c r="A922" s="13"/>
      <c r="B922" s="173" t="s">
        <v>905</v>
      </c>
      <c r="C922" s="199" t="str">
        <f t="array" ref="C922">IF(B922="","",IFERROR(INDEX('FUNCIONÁRIOS'!$B$4:$B$501,MATCH(B922,'FUNCIONÁRIOS'!$C$4:$C$501,0)),""))</f>
        <v>YES </v>
      </c>
      <c r="D922" s="199" t="str">
        <f t="array" ref="D922">IF(B922="","",IFERROR(INDEX('FUNCIONÁRIOS'!$D$4:$D$501,MATCH(B922,'FUNCIONÁRIOS'!$C$4:$C$501,0)),""))</f>
        <v>TEC SEGURANÇA DO TRABALHO </v>
      </c>
      <c r="E922" s="199" t="str">
        <f t="array" ref="E922">IF(B922="","",IFERROR(INDEX('FUNCIONÁRIOS'!$E$4:$E$501,MATCH(B922,'FUNCIONÁRIOS'!$C$4:$C$501,0)),""))</f>
        <v/>
      </c>
      <c r="F922" s="138">
        <v>46170.0</v>
      </c>
      <c r="G922" s="115" t="str">
        <f t="shared" si="52"/>
        <v>✅ 08:22</v>
      </c>
      <c r="H922" s="174" t="s">
        <v>1766</v>
      </c>
      <c r="I922" s="117" t="str">
        <f t="shared" si="48"/>
        <v>→ Selecione a linha e use o menu ⏱️ Ponto</v>
      </c>
      <c r="J922" s="180"/>
      <c r="K922" s="179"/>
      <c r="L922" s="119" t="str">
        <f t="shared" si="49"/>
        <v>🟢 No Evento</v>
      </c>
    </row>
    <row r="923" ht="15.75" customHeight="1">
      <c r="A923" s="13"/>
      <c r="B923" s="173" t="s">
        <v>1445</v>
      </c>
      <c r="C923" s="199" t="str">
        <f t="array" ref="C923">IF(B923="","",IFERROR(INDEX('FUNCIONÁRIOS'!$B$4:$B$501,MATCH(B923,'FUNCIONÁRIOS'!$C$4:$C$501,0)),""))</f>
        <v/>
      </c>
      <c r="D923" s="199" t="str">
        <f t="array" ref="D923">IF(B923="","",IFERROR(INDEX('FUNCIONÁRIOS'!$D$4:$D$501,MATCH(B923,'FUNCIONÁRIOS'!$C$4:$C$501,0)),""))</f>
        <v/>
      </c>
      <c r="E923" s="199" t="str">
        <f t="array" ref="E923">IF(B923="","",IFERROR(INDEX('FUNCIONÁRIOS'!$E$4:$E$501,MATCH(B923,'FUNCIONÁRIOS'!$C$4:$C$501,0)),""))</f>
        <v/>
      </c>
      <c r="F923" s="138">
        <v>46170.0</v>
      </c>
      <c r="G923" s="115" t="str">
        <f t="shared" si="52"/>
        <v>✅ 08:23</v>
      </c>
      <c r="H923" s="174" t="s">
        <v>1880</v>
      </c>
      <c r="I923" s="117" t="str">
        <f t="shared" si="48"/>
        <v>→ Selecione a linha e use o menu ⏱️ Ponto</v>
      </c>
      <c r="J923" s="180"/>
      <c r="K923" s="179"/>
      <c r="L923" s="119" t="str">
        <f t="shared" si="49"/>
        <v>🟢 No Evento</v>
      </c>
    </row>
    <row r="924" ht="15.75" customHeight="1">
      <c r="A924" s="13"/>
      <c r="B924" s="173" t="s">
        <v>1122</v>
      </c>
      <c r="C924" s="199" t="str">
        <f t="array" ref="C924">IF(B924="","",IFERROR(INDEX('FUNCIONÁRIOS'!$B$4:$B$501,MATCH(B924,'FUNCIONÁRIOS'!$C$4:$C$501,0)),""))</f>
        <v/>
      </c>
      <c r="D924" s="199" t="str">
        <f t="array" ref="D924">IF(B924="","",IFERROR(INDEX('FUNCIONÁRIOS'!$D$4:$D$501,MATCH(B924,'FUNCIONÁRIOS'!$C$4:$C$501,0)),""))</f>
        <v/>
      </c>
      <c r="E924" s="199" t="str">
        <f t="array" ref="E924">IF(B924="","",IFERROR(INDEX('FUNCIONÁRIOS'!$E$4:$E$501,MATCH(B924,'FUNCIONÁRIOS'!$C$4:$C$501,0)),""))</f>
        <v/>
      </c>
      <c r="F924" s="138">
        <v>46170.0</v>
      </c>
      <c r="G924" s="225"/>
      <c r="H924" s="174" t="s">
        <v>1769</v>
      </c>
      <c r="I924" s="117" t="str">
        <f t="shared" si="48"/>
        <v>→ Selecione a linha e use o menu ⏱️ Ponto</v>
      </c>
      <c r="J924" s="180"/>
      <c r="K924" s="179"/>
      <c r="L924" s="119" t="str">
        <f t="shared" si="49"/>
        <v>🟢 No Evento</v>
      </c>
    </row>
    <row r="925" ht="15.75" customHeight="1">
      <c r="A925" s="13"/>
      <c r="B925" s="173" t="s">
        <v>1123</v>
      </c>
      <c r="C925" s="199" t="str">
        <f t="array" ref="C925">IF(B925="","",IFERROR(INDEX('FUNCIONÁRIOS'!$B$4:$B$501,MATCH(B925,'FUNCIONÁRIOS'!$C$4:$C$501,0)),""))</f>
        <v/>
      </c>
      <c r="D925" s="199" t="str">
        <f t="array" ref="D925">IF(B925="","",IFERROR(INDEX('FUNCIONÁRIOS'!$D$4:$D$501,MATCH(B925,'FUNCIONÁRIOS'!$C$4:$C$501,0)),""))</f>
        <v/>
      </c>
      <c r="E925" s="199" t="str">
        <f t="array" ref="E925">IF(B925="","",IFERROR(INDEX('FUNCIONÁRIOS'!$E$4:$E$501,MATCH(B925,'FUNCIONÁRIOS'!$C$4:$C$501,0)),""))</f>
        <v/>
      </c>
      <c r="F925" s="138">
        <v>46170.0</v>
      </c>
      <c r="G925" s="115" t="str">
        <f t="shared" ref="G925:G978" si="53">IF(H925&lt;&gt;"","✅ "&amp;TEXT(H925,"HH:MM"),"→ Selecione a linha e use o menu ⏱️ Ponto")</f>
        <v>✅ 08:25</v>
      </c>
      <c r="H925" s="174" t="s">
        <v>1769</v>
      </c>
      <c r="I925" s="117" t="str">
        <f t="shared" si="48"/>
        <v>→ Selecione a linha e use o menu ⏱️ Ponto</v>
      </c>
      <c r="J925" s="180"/>
      <c r="K925" s="179"/>
      <c r="L925" s="119" t="str">
        <f t="shared" si="49"/>
        <v>🟢 No Evento</v>
      </c>
    </row>
    <row r="926" ht="15.75" customHeight="1">
      <c r="A926" s="13"/>
      <c r="B926" s="173" t="s">
        <v>730</v>
      </c>
      <c r="C926" s="199" t="str">
        <f t="array" ref="C926">IF(B926="","",IFERROR(INDEX('FUNCIONÁRIOS'!$B$4:$B$501,MATCH(B926,'FUNCIONÁRIOS'!$C$4:$C$501,0)),""))</f>
        <v>FABINHO EVENTOS </v>
      </c>
      <c r="D926" s="199" t="str">
        <f t="array" ref="D926">IF(B926="","",IFERROR(INDEX('FUNCIONÁRIOS'!$D$4:$D$501,MATCH(B926,'FUNCIONÁRIOS'!$C$4:$C$501,0)),""))</f>
        <v>MONTADOR DE BAR </v>
      </c>
      <c r="E926" s="199" t="str">
        <f t="array" ref="E926">IF(B926="","",IFERROR(INDEX('FUNCIONÁRIOS'!$E$4:$E$501,MATCH(B926,'FUNCIONÁRIOS'!$C$4:$C$501,0)),""))</f>
        <v>NÃO</v>
      </c>
      <c r="F926" s="138">
        <v>46170.0</v>
      </c>
      <c r="G926" s="115" t="str">
        <f t="shared" si="53"/>
        <v>✅ 08:25</v>
      </c>
      <c r="H926" s="174" t="s">
        <v>1769</v>
      </c>
      <c r="I926" s="117" t="str">
        <f t="shared" si="48"/>
        <v>→ Selecione a linha e use o menu ⏱️ Ponto</v>
      </c>
      <c r="J926" s="180"/>
      <c r="K926" s="179"/>
      <c r="L926" s="119" t="str">
        <f t="shared" si="49"/>
        <v>🟢 No Evento</v>
      </c>
    </row>
    <row r="927" ht="15.75" customHeight="1">
      <c r="A927" s="13"/>
      <c r="B927" s="173" t="s">
        <v>735</v>
      </c>
      <c r="C927" s="199" t="str">
        <f t="array" ref="C927">IF(B927="","",IFERROR(INDEX('FUNCIONÁRIOS'!$B$4:$B$501,MATCH(B927,'FUNCIONÁRIOS'!$C$4:$C$501,0)),""))</f>
        <v>LATINO </v>
      </c>
      <c r="D927" s="199" t="str">
        <f t="array" ref="D927">IF(B927="","",IFERROR(INDEX('FUNCIONÁRIOS'!$D$4:$D$501,MATCH(B927,'FUNCIONÁRIOS'!$C$4:$C$501,0)),""))</f>
        <v>CARREGADOR </v>
      </c>
      <c r="E927" s="199" t="str">
        <f t="array" ref="E927">IF(B927="","",IFERROR(INDEX('FUNCIONÁRIOS'!$E$4:$E$501,MATCH(B927,'FUNCIONÁRIOS'!$C$4:$C$501,0)),""))</f>
        <v>NÃO</v>
      </c>
      <c r="F927" s="138">
        <v>46170.0</v>
      </c>
      <c r="G927" s="115" t="str">
        <f t="shared" si="53"/>
        <v>✅ 08:26</v>
      </c>
      <c r="H927" s="174" t="s">
        <v>1770</v>
      </c>
      <c r="I927" s="117" t="str">
        <f t="shared" si="48"/>
        <v>→ Selecione a linha e use o menu ⏱️ Ponto</v>
      </c>
      <c r="J927" s="180"/>
      <c r="K927" s="179"/>
      <c r="L927" s="119" t="str">
        <f t="shared" si="49"/>
        <v>🟢 No Evento</v>
      </c>
    </row>
    <row r="928" ht="15.75" customHeight="1">
      <c r="A928" s="13"/>
      <c r="B928" s="173" t="s">
        <v>374</v>
      </c>
      <c r="C928" s="199" t="str">
        <f t="array" ref="C928">IF(B928="","",IFERROR(INDEX('FUNCIONÁRIOS'!$B$4:$B$501,MATCH(B928,'FUNCIONÁRIOS'!$C$4:$C$501,0)),""))</f>
        <v>GO TO </v>
      </c>
      <c r="D928" s="199" t="str">
        <f t="array" ref="D928">IF(B928="","",IFERROR(INDEX('FUNCIONÁRIOS'!$D$4:$D$501,MATCH(B928,'FUNCIONÁRIOS'!$C$4:$C$501,0)),""))</f>
        <v>MONTADOR</v>
      </c>
      <c r="E928" s="199" t="str">
        <f t="array" ref="E928">IF(B928="","",IFERROR(INDEX('FUNCIONÁRIOS'!$E$4:$E$501,MATCH(B928,'FUNCIONÁRIOS'!$C$4:$C$501,0)),""))</f>
        <v>NÃO</v>
      </c>
      <c r="F928" s="138">
        <v>46170.0</v>
      </c>
      <c r="G928" s="115" t="str">
        <f t="shared" si="53"/>
        <v>✅ 08:28</v>
      </c>
      <c r="H928" s="174" t="s">
        <v>1773</v>
      </c>
      <c r="I928" s="117" t="str">
        <f t="shared" si="48"/>
        <v>→ Selecione a linha e use o menu ⏱️ Ponto</v>
      </c>
      <c r="J928" s="180"/>
      <c r="K928" s="179"/>
      <c r="L928" s="119" t="str">
        <f t="shared" si="49"/>
        <v>🟢 No Evento</v>
      </c>
    </row>
    <row r="929" ht="15.75" customHeight="1">
      <c r="A929" s="13"/>
      <c r="B929" s="173" t="s">
        <v>1354</v>
      </c>
      <c r="C929" s="199" t="str">
        <f t="array" ref="C929">IF(B929="","",IFERROR(INDEX('FUNCIONÁRIOS'!$B$4:$B$501,MATCH(B929,'FUNCIONÁRIOS'!$C$4:$C$501,0)),""))</f>
        <v/>
      </c>
      <c r="D929" s="199" t="str">
        <f t="array" ref="D929">IF(B929="","",IFERROR(INDEX('FUNCIONÁRIOS'!$D$4:$D$501,MATCH(B929,'FUNCIONÁRIOS'!$C$4:$C$501,0)),""))</f>
        <v/>
      </c>
      <c r="E929" s="199" t="str">
        <f t="array" ref="E929">IF(B929="","",IFERROR(INDEX('FUNCIONÁRIOS'!$E$4:$E$501,MATCH(B929,'FUNCIONÁRIOS'!$C$4:$C$501,0)),""))</f>
        <v/>
      </c>
      <c r="F929" s="138">
        <v>46170.0</v>
      </c>
      <c r="G929" s="115" t="str">
        <f t="shared" si="53"/>
        <v>✅ 08:27</v>
      </c>
      <c r="H929" s="174" t="s">
        <v>1772</v>
      </c>
      <c r="I929" s="117" t="str">
        <f t="shared" si="48"/>
        <v>→ Selecione a linha e use o menu ⏱️ Ponto</v>
      </c>
      <c r="J929" s="180"/>
      <c r="K929" s="179"/>
      <c r="L929" s="119" t="str">
        <f t="shared" si="49"/>
        <v>🟢 No Evento</v>
      </c>
    </row>
    <row r="930" ht="15.75" customHeight="1">
      <c r="A930" s="13"/>
      <c r="B930" s="173" t="s">
        <v>542</v>
      </c>
      <c r="C930" s="199" t="str">
        <f t="array" ref="C930">IF(B930="","",IFERROR(INDEX('FUNCIONÁRIOS'!$B$4:$B$501,MATCH(B930,'FUNCIONÁRIOS'!$C$4:$C$501,0)),""))</f>
        <v>GO TO </v>
      </c>
      <c r="D930" s="199" t="str">
        <f t="array" ref="D930">IF(B930="","",IFERROR(INDEX('FUNCIONÁRIOS'!$D$4:$D$501,MATCH(B930,'FUNCIONÁRIOS'!$C$4:$C$501,0)),""))</f>
        <v>CENOGRAFIA</v>
      </c>
      <c r="E930" s="199" t="str">
        <f t="array" ref="E930">IF(B930="","",IFERROR(INDEX('FUNCIONÁRIOS'!$E$4:$E$501,MATCH(B930,'FUNCIONÁRIOS'!$C$4:$C$501,0)),""))</f>
        <v>NÃO</v>
      </c>
      <c r="F930" s="138">
        <v>46170.0</v>
      </c>
      <c r="G930" s="115" t="str">
        <f t="shared" si="53"/>
        <v>✅ 08:29</v>
      </c>
      <c r="H930" s="174" t="s">
        <v>1635</v>
      </c>
      <c r="I930" s="117" t="str">
        <f t="shared" si="48"/>
        <v>→ Selecione a linha e use o menu ⏱️ Ponto</v>
      </c>
      <c r="J930" s="180"/>
      <c r="K930" s="179"/>
      <c r="L930" s="119" t="str">
        <f t="shared" si="49"/>
        <v>🟢 No Evento</v>
      </c>
    </row>
    <row r="931" ht="15.75" customHeight="1">
      <c r="A931" s="13"/>
      <c r="B931" s="173" t="s">
        <v>661</v>
      </c>
      <c r="C931" s="199" t="str">
        <f t="array" ref="C931">IF(B931="","",IFERROR(INDEX('FUNCIONÁRIOS'!$B$4:$B$501,MATCH(B931,'FUNCIONÁRIOS'!$C$4:$C$501,0)),""))</f>
        <v>UP MUSIC </v>
      </c>
      <c r="D931" s="199" t="str">
        <f t="array" ref="D931">IF(B931="","",IFERROR(INDEX('FUNCIONÁRIOS'!$D$4:$D$501,MATCH(B931,'FUNCIONÁRIOS'!$C$4:$C$501,0)),""))</f>
        <v>PRODUTOR </v>
      </c>
      <c r="E931" s="199" t="str">
        <f t="array" ref="E931">IF(B931="","",IFERROR(INDEX('FUNCIONÁRIOS'!$E$4:$E$501,MATCH(B931,'FUNCIONÁRIOS'!$C$4:$C$501,0)),""))</f>
        <v>NÃO</v>
      </c>
      <c r="F931" s="138">
        <v>46170.0</v>
      </c>
      <c r="G931" s="115" t="str">
        <f t="shared" si="53"/>
        <v>✅ 08:30</v>
      </c>
      <c r="H931" s="174" t="s">
        <v>1955</v>
      </c>
      <c r="I931" s="117" t="str">
        <f t="shared" si="48"/>
        <v>→ Selecione a linha e use o menu ⏱️ Ponto</v>
      </c>
      <c r="J931" s="180"/>
      <c r="K931" s="179"/>
      <c r="L931" s="119" t="str">
        <f t="shared" si="49"/>
        <v>🟢 No Evento</v>
      </c>
    </row>
    <row r="932" ht="15.75" customHeight="1">
      <c r="A932" s="13"/>
      <c r="B932" s="173" t="s">
        <v>1128</v>
      </c>
      <c r="C932" s="199" t="str">
        <f t="array" ref="C932">IF(B932="","",IFERROR(INDEX('FUNCIONÁRIOS'!$B$4:$B$501,MATCH(B932,'FUNCIONÁRIOS'!$C$4:$C$501,0)),""))</f>
        <v/>
      </c>
      <c r="D932" s="199" t="str">
        <f t="array" ref="D932">IF(B932="","",IFERROR(INDEX('FUNCIONÁRIOS'!$D$4:$D$501,MATCH(B932,'FUNCIONÁRIOS'!$C$4:$C$501,0)),""))</f>
        <v/>
      </c>
      <c r="E932" s="199" t="str">
        <f t="array" ref="E932">IF(B932="","",IFERROR(INDEX('FUNCIONÁRIOS'!$E$4:$E$501,MATCH(B932,'FUNCIONÁRIOS'!$C$4:$C$501,0)),""))</f>
        <v/>
      </c>
      <c r="F932" s="138">
        <v>46170.0</v>
      </c>
      <c r="G932" s="115" t="str">
        <f t="shared" si="53"/>
        <v>✅ 08:30</v>
      </c>
      <c r="H932" s="174" t="s">
        <v>1955</v>
      </c>
      <c r="I932" s="117" t="str">
        <f t="shared" si="48"/>
        <v>→ Selecione a linha e use o menu ⏱️ Ponto</v>
      </c>
      <c r="J932" s="180"/>
      <c r="K932" s="179"/>
      <c r="L932" s="119" t="str">
        <f t="shared" si="49"/>
        <v>🟢 No Evento</v>
      </c>
    </row>
    <row r="933" ht="15.75" customHeight="1">
      <c r="A933" s="13"/>
      <c r="B933" s="173" t="s">
        <v>1224</v>
      </c>
      <c r="C933" s="199" t="str">
        <f t="array" ref="C933">IF(B933="","",IFERROR(INDEX('FUNCIONÁRIOS'!$B$4:$B$501,MATCH(B933,'FUNCIONÁRIOS'!$C$4:$C$501,0)),""))</f>
        <v/>
      </c>
      <c r="D933" s="199" t="str">
        <f t="array" ref="D933">IF(B933="","",IFERROR(INDEX('FUNCIONÁRIOS'!$D$4:$D$501,MATCH(B933,'FUNCIONÁRIOS'!$C$4:$C$501,0)),""))</f>
        <v/>
      </c>
      <c r="E933" s="199" t="str">
        <f t="array" ref="E933">IF(B933="","",IFERROR(INDEX('FUNCIONÁRIOS'!$E$4:$E$501,MATCH(B933,'FUNCIONÁRIOS'!$C$4:$C$501,0)),""))</f>
        <v/>
      </c>
      <c r="F933" s="138">
        <v>46170.0</v>
      </c>
      <c r="G933" s="115" t="str">
        <f t="shared" si="53"/>
        <v>✅ 08:30</v>
      </c>
      <c r="H933" s="174" t="s">
        <v>1955</v>
      </c>
      <c r="I933" s="117" t="str">
        <f t="shared" si="48"/>
        <v>→ Selecione a linha e use o menu ⏱️ Ponto</v>
      </c>
      <c r="J933" s="180"/>
      <c r="K933" s="179"/>
      <c r="L933" s="119" t="str">
        <f t="shared" si="49"/>
        <v>🟢 No Evento</v>
      </c>
    </row>
    <row r="934" ht="15.75" customHeight="1">
      <c r="A934" s="13"/>
      <c r="B934" s="173" t="s">
        <v>368</v>
      </c>
      <c r="C934" s="199" t="str">
        <f t="array" ref="C934">IF(B934="","",IFERROR(INDEX('FUNCIONÁRIOS'!$B$4:$B$501,MATCH(B934,'FUNCIONÁRIOS'!$C$4:$C$501,0)),""))</f>
        <v>GO TO </v>
      </c>
      <c r="D934" s="199" t="str">
        <f t="array" ref="D934">IF(B934="","",IFERROR(INDEX('FUNCIONÁRIOS'!$D$4:$D$501,MATCH(B934,'FUNCIONÁRIOS'!$C$4:$C$501,0)),""))</f>
        <v>MONTADOR</v>
      </c>
      <c r="E934" s="199" t="str">
        <f t="array" ref="E934">IF(B934="","",IFERROR(INDEX('FUNCIONÁRIOS'!$E$4:$E$501,MATCH(B934,'FUNCIONÁRIOS'!$C$4:$C$501,0)),""))</f>
        <v>NÃO</v>
      </c>
      <c r="F934" s="138">
        <v>46170.0</v>
      </c>
      <c r="G934" s="115" t="str">
        <f t="shared" si="53"/>
        <v>✅ 08:31</v>
      </c>
      <c r="H934" s="174" t="s">
        <v>1775</v>
      </c>
      <c r="I934" s="117" t="str">
        <f t="shared" si="48"/>
        <v>→ Selecione a linha e use o menu ⏱️ Ponto</v>
      </c>
      <c r="J934" s="180"/>
      <c r="K934" s="179"/>
      <c r="L934" s="119" t="str">
        <f t="shared" si="49"/>
        <v>🟢 No Evento</v>
      </c>
    </row>
    <row r="935" ht="15.75" customHeight="1">
      <c r="A935" s="13"/>
      <c r="B935" s="173" t="s">
        <v>1312</v>
      </c>
      <c r="C935" s="199" t="str">
        <f t="array" ref="C935">IF(B935="","",IFERROR(INDEX('FUNCIONÁRIOS'!$B$4:$B$501,MATCH(B935,'FUNCIONÁRIOS'!$C$4:$C$501,0)),""))</f>
        <v/>
      </c>
      <c r="D935" s="199" t="str">
        <f t="array" ref="D935">IF(B935="","",IFERROR(INDEX('FUNCIONÁRIOS'!$D$4:$D$501,MATCH(B935,'FUNCIONÁRIOS'!$C$4:$C$501,0)),""))</f>
        <v/>
      </c>
      <c r="E935" s="199" t="str">
        <f t="array" ref="E935">IF(B935="","",IFERROR(INDEX('FUNCIONÁRIOS'!$E$4:$E$501,MATCH(B935,'FUNCIONÁRIOS'!$C$4:$C$501,0)),""))</f>
        <v/>
      </c>
      <c r="F935" s="138">
        <v>46170.0</v>
      </c>
      <c r="G935" s="115" t="str">
        <f t="shared" si="53"/>
        <v>✅ 08:31</v>
      </c>
      <c r="H935" s="174" t="s">
        <v>1775</v>
      </c>
      <c r="I935" s="117" t="str">
        <f t="shared" si="48"/>
        <v>→ Selecione a linha e use o menu ⏱️ Ponto</v>
      </c>
      <c r="J935" s="180"/>
      <c r="K935" s="179"/>
      <c r="L935" s="119" t="str">
        <f t="shared" si="49"/>
        <v>🟢 No Evento</v>
      </c>
    </row>
    <row r="936" ht="15.75" customHeight="1">
      <c r="A936" s="13"/>
      <c r="B936" s="173" t="s">
        <v>720</v>
      </c>
      <c r="C936" s="199" t="str">
        <f t="array" ref="C936">IF(B936="","",IFERROR(INDEX('FUNCIONÁRIOS'!$B$4:$B$501,MATCH(B936,'FUNCIONÁRIOS'!$C$4:$C$501,0)),""))</f>
        <v>LINQ </v>
      </c>
      <c r="D936" s="199" t="str">
        <f t="array" ref="D936">IF(B936="","",IFERROR(INDEX('FUNCIONÁRIOS'!$D$4:$D$501,MATCH(B936,'FUNCIONÁRIOS'!$C$4:$C$501,0)),""))</f>
        <v>TECNICO DE INTERNET </v>
      </c>
      <c r="E936" s="199" t="str">
        <f t="array" ref="E936">IF(B936="","",IFERROR(INDEX('FUNCIONÁRIOS'!$E$4:$E$501,MATCH(B936,'FUNCIONÁRIOS'!$C$4:$C$501,0)),""))</f>
        <v>NÃO</v>
      </c>
      <c r="F936" s="138">
        <v>46170.0</v>
      </c>
      <c r="G936" s="115" t="str">
        <f t="shared" si="53"/>
        <v>✅ 08:32</v>
      </c>
      <c r="H936" s="174" t="s">
        <v>1777</v>
      </c>
      <c r="I936" s="117" t="str">
        <f t="shared" si="48"/>
        <v>→ Selecione a linha e use o menu ⏱️ Ponto</v>
      </c>
      <c r="J936" s="180"/>
      <c r="K936" s="179"/>
      <c r="L936" s="119" t="str">
        <f t="shared" si="49"/>
        <v>🟢 No Evento</v>
      </c>
    </row>
    <row r="937" ht="15.75" customHeight="1">
      <c r="A937" s="13"/>
      <c r="B937" s="173" t="s">
        <v>728</v>
      </c>
      <c r="C937" s="199" t="str">
        <f t="array" ref="C937">IF(B937="","",IFERROR(INDEX('FUNCIONÁRIOS'!$B$4:$B$501,MATCH(B937,'FUNCIONÁRIOS'!$C$4:$C$501,0)),""))</f>
        <v>LINQ </v>
      </c>
      <c r="D937" s="199" t="str">
        <f t="array" ref="D937">IF(B937="","",IFERROR(INDEX('FUNCIONÁRIOS'!$D$4:$D$501,MATCH(B937,'FUNCIONÁRIOS'!$C$4:$C$501,0)),""))</f>
        <v>AUXILIA DE TECNICO </v>
      </c>
      <c r="E937" s="199" t="str">
        <f t="array" ref="E937">IF(B937="","",IFERROR(INDEX('FUNCIONÁRIOS'!$E$4:$E$501,MATCH(B937,'FUNCIONÁRIOS'!$C$4:$C$501,0)),""))</f>
        <v>NÃO</v>
      </c>
      <c r="F937" s="138">
        <v>46170.0</v>
      </c>
      <c r="G937" s="115" t="str">
        <f t="shared" si="53"/>
        <v>✅ 08:32</v>
      </c>
      <c r="H937" s="174" t="s">
        <v>1777</v>
      </c>
      <c r="I937" s="117" t="str">
        <f t="shared" si="48"/>
        <v>→ Selecione a linha e use o menu ⏱️ Ponto</v>
      </c>
      <c r="J937" s="180"/>
      <c r="K937" s="179"/>
      <c r="L937" s="119" t="str">
        <f t="shared" si="49"/>
        <v>🟢 No Evento</v>
      </c>
    </row>
    <row r="938" ht="15.75" customHeight="1">
      <c r="A938" s="13"/>
      <c r="B938" s="173" t="s">
        <v>1314</v>
      </c>
      <c r="C938" s="199" t="str">
        <f t="array" ref="C938">IF(B938="","",IFERROR(INDEX('FUNCIONÁRIOS'!$B$4:$B$501,MATCH(B938,'FUNCIONÁRIOS'!$C$4:$C$501,0)),""))</f>
        <v/>
      </c>
      <c r="D938" s="199" t="str">
        <f t="array" ref="D938">IF(B938="","",IFERROR(INDEX('FUNCIONÁRIOS'!$D$4:$D$501,MATCH(B938,'FUNCIONÁRIOS'!$C$4:$C$501,0)),""))</f>
        <v/>
      </c>
      <c r="E938" s="199" t="str">
        <f t="array" ref="E938">IF(B938="","",IFERROR(INDEX('FUNCIONÁRIOS'!$E$4:$E$501,MATCH(B938,'FUNCIONÁRIOS'!$C$4:$C$501,0)),""))</f>
        <v/>
      </c>
      <c r="F938" s="138">
        <v>46170.0</v>
      </c>
      <c r="G938" s="115" t="str">
        <f t="shared" si="53"/>
        <v>✅ 08:34</v>
      </c>
      <c r="H938" s="174" t="s">
        <v>1779</v>
      </c>
      <c r="I938" s="117" t="str">
        <f t="shared" si="48"/>
        <v>→ Selecione a linha e use o menu ⏱️ Ponto</v>
      </c>
      <c r="J938" s="180"/>
      <c r="K938" s="179"/>
      <c r="L938" s="119" t="str">
        <f t="shared" si="49"/>
        <v>🟢 No Evento</v>
      </c>
    </row>
    <row r="939" ht="15.75" customHeight="1">
      <c r="A939" s="13"/>
      <c r="B939" s="173" t="s">
        <v>392</v>
      </c>
      <c r="C939" s="199" t="str">
        <f t="array" ref="C939">IF(B939="","",IFERROR(INDEX('FUNCIONÁRIOS'!$B$4:$B$501,MATCH(B939,'FUNCIONÁRIOS'!$C$4:$C$501,0)),""))</f>
        <v>GO TO </v>
      </c>
      <c r="D939" s="199" t="str">
        <f t="array" ref="D939">IF(B939="","",IFERROR(INDEX('FUNCIONÁRIOS'!$D$4:$D$501,MATCH(B939,'FUNCIONÁRIOS'!$C$4:$C$501,0)),""))</f>
        <v>MONTADOR</v>
      </c>
      <c r="E939" s="199" t="str">
        <f t="array" ref="E939">IF(B939="","",IFERROR(INDEX('FUNCIONÁRIOS'!$E$4:$E$501,MATCH(B939,'FUNCIONÁRIOS'!$C$4:$C$501,0)),""))</f>
        <v>NÃO</v>
      </c>
      <c r="F939" s="138">
        <v>46170.0</v>
      </c>
      <c r="G939" s="115" t="str">
        <f t="shared" si="53"/>
        <v>✅ 08:35</v>
      </c>
      <c r="H939" s="174" t="s">
        <v>1782</v>
      </c>
      <c r="I939" s="117" t="str">
        <f t="shared" si="48"/>
        <v>→ Selecione a linha e use o menu ⏱️ Ponto</v>
      </c>
      <c r="J939" s="180"/>
      <c r="K939" s="179"/>
      <c r="L939" s="119" t="str">
        <f t="shared" si="49"/>
        <v>🟢 No Evento</v>
      </c>
    </row>
    <row r="940" ht="15.75" customHeight="1">
      <c r="A940" s="13"/>
      <c r="B940" s="173" t="s">
        <v>1479</v>
      </c>
      <c r="C940" s="199" t="str">
        <f t="array" ref="C940">IF(B940="","",IFERROR(INDEX('FUNCIONÁRIOS'!$B$4:$B$501,MATCH(B940,'FUNCIONÁRIOS'!$C$4:$C$501,0)),""))</f>
        <v/>
      </c>
      <c r="D940" s="199" t="str">
        <f t="array" ref="D940">IF(B940="","",IFERROR(INDEX('FUNCIONÁRIOS'!$D$4:$D$501,MATCH(B940,'FUNCIONÁRIOS'!$C$4:$C$501,0)),""))</f>
        <v/>
      </c>
      <c r="E940" s="199" t="str">
        <f t="array" ref="E940">IF(B940="","",IFERROR(INDEX('FUNCIONÁRIOS'!$E$4:$E$501,MATCH(B940,'FUNCIONÁRIOS'!$C$4:$C$501,0)),""))</f>
        <v/>
      </c>
      <c r="F940" s="138">
        <v>46170.0</v>
      </c>
      <c r="G940" s="115" t="str">
        <f t="shared" si="53"/>
        <v>✅ 08:35</v>
      </c>
      <c r="H940" s="174" t="s">
        <v>1782</v>
      </c>
      <c r="I940" s="117" t="str">
        <f t="shared" si="48"/>
        <v>→ Selecione a linha e use o menu ⏱️ Ponto</v>
      </c>
      <c r="J940" s="180"/>
      <c r="K940" s="179"/>
      <c r="L940" s="119" t="str">
        <f t="shared" si="49"/>
        <v>🟢 No Evento</v>
      </c>
    </row>
    <row r="941" ht="15.75" customHeight="1">
      <c r="A941" s="13"/>
      <c r="B941" s="173" t="s">
        <v>338</v>
      </c>
      <c r="C941" s="199" t="str">
        <f t="array" ref="C941">IF(B941="","",IFERROR(INDEX('FUNCIONÁRIOS'!$B$4:$B$501,MATCH(B941,'FUNCIONÁRIOS'!$C$4:$C$501,0)),""))</f>
        <v>GO TO </v>
      </c>
      <c r="D941" s="199" t="str">
        <f t="array" ref="D941">IF(B941="","",IFERROR(INDEX('FUNCIONÁRIOS'!$D$4:$D$501,MATCH(B941,'FUNCIONÁRIOS'!$C$4:$C$501,0)),""))</f>
        <v>MONTADOR</v>
      </c>
      <c r="E941" s="199" t="str">
        <f t="array" ref="E941">IF(B941="","",IFERROR(INDEX('FUNCIONÁRIOS'!$E$4:$E$501,MATCH(B941,'FUNCIONÁRIOS'!$C$4:$C$501,0)),""))</f>
        <v>NÃO</v>
      </c>
      <c r="F941" s="138">
        <v>46170.0</v>
      </c>
      <c r="G941" s="115" t="str">
        <f t="shared" si="53"/>
        <v>✅ 08:35</v>
      </c>
      <c r="H941" s="174" t="s">
        <v>1782</v>
      </c>
      <c r="I941" s="117" t="str">
        <f t="shared" si="48"/>
        <v>→ Selecione a linha e use o menu ⏱️ Ponto</v>
      </c>
      <c r="J941" s="180"/>
      <c r="K941" s="179"/>
      <c r="L941" s="119" t="str">
        <f t="shared" si="49"/>
        <v>🟢 No Evento</v>
      </c>
    </row>
    <row r="942" ht="15.75" customHeight="1">
      <c r="A942" s="13"/>
      <c r="B942" s="173" t="s">
        <v>1097</v>
      </c>
      <c r="C942" s="199" t="str">
        <f t="array" ref="C942">IF(B942="","",IFERROR(INDEX('FUNCIONÁRIOS'!$B$4:$B$501,MATCH(B942,'FUNCIONÁRIOS'!$C$4:$C$501,0)),""))</f>
        <v/>
      </c>
      <c r="D942" s="199" t="str">
        <f t="array" ref="D942">IF(B942="","",IFERROR(INDEX('FUNCIONÁRIOS'!$D$4:$D$501,MATCH(B942,'FUNCIONÁRIOS'!$C$4:$C$501,0)),""))</f>
        <v/>
      </c>
      <c r="E942" s="199" t="str">
        <f t="array" ref="E942">IF(B942="","",IFERROR(INDEX('FUNCIONÁRIOS'!$E$4:$E$501,MATCH(B942,'FUNCIONÁRIOS'!$C$4:$C$501,0)),""))</f>
        <v/>
      </c>
      <c r="F942" s="138">
        <v>46170.0</v>
      </c>
      <c r="G942" s="115" t="str">
        <f t="shared" si="53"/>
        <v>✅ 08:36</v>
      </c>
      <c r="H942" s="174" t="s">
        <v>1784</v>
      </c>
      <c r="I942" s="117" t="str">
        <f t="shared" si="48"/>
        <v>→ Selecione a linha e use o menu ⏱️ Ponto</v>
      </c>
      <c r="J942" s="180"/>
      <c r="K942" s="179"/>
      <c r="L942" s="119" t="str">
        <f t="shared" si="49"/>
        <v>🟢 No Evento</v>
      </c>
    </row>
    <row r="943" ht="15.75" customHeight="1">
      <c r="A943" s="13"/>
      <c r="B943" s="173" t="s">
        <v>1099</v>
      </c>
      <c r="C943" s="199" t="str">
        <f t="array" ref="C943">IF(B943="","",IFERROR(INDEX('FUNCIONÁRIOS'!$B$4:$B$501,MATCH(B943,'FUNCIONÁRIOS'!$C$4:$C$501,0)),""))</f>
        <v/>
      </c>
      <c r="D943" s="199" t="str">
        <f t="array" ref="D943">IF(B943="","",IFERROR(INDEX('FUNCIONÁRIOS'!$D$4:$D$501,MATCH(B943,'FUNCIONÁRIOS'!$C$4:$C$501,0)),""))</f>
        <v/>
      </c>
      <c r="E943" s="199" t="str">
        <f t="array" ref="E943">IF(B943="","",IFERROR(INDEX('FUNCIONÁRIOS'!$E$4:$E$501,MATCH(B943,'FUNCIONÁRIOS'!$C$4:$C$501,0)),""))</f>
        <v/>
      </c>
      <c r="F943" s="138">
        <v>46170.0</v>
      </c>
      <c r="G943" s="115" t="str">
        <f t="shared" si="53"/>
        <v>✅ 08:36</v>
      </c>
      <c r="H943" s="174" t="s">
        <v>1784</v>
      </c>
      <c r="I943" s="117" t="str">
        <f t="shared" si="48"/>
        <v>→ Selecione a linha e use o menu ⏱️ Ponto</v>
      </c>
      <c r="J943" s="180"/>
      <c r="K943" s="179"/>
      <c r="L943" s="119" t="str">
        <f t="shared" si="49"/>
        <v>🟢 No Evento</v>
      </c>
    </row>
    <row r="944" ht="15.75" customHeight="1">
      <c r="A944" s="13"/>
      <c r="B944" s="173" t="s">
        <v>1480</v>
      </c>
      <c r="C944" s="199" t="str">
        <f t="array" ref="C944">IF(B944="","",IFERROR(INDEX('FUNCIONÁRIOS'!$B$4:$B$501,MATCH(B944,'FUNCIONÁRIOS'!$C$4:$C$501,0)),""))</f>
        <v/>
      </c>
      <c r="D944" s="199" t="str">
        <f t="array" ref="D944">IF(B944="","",IFERROR(INDEX('FUNCIONÁRIOS'!$D$4:$D$501,MATCH(B944,'FUNCIONÁRIOS'!$C$4:$C$501,0)),""))</f>
        <v/>
      </c>
      <c r="E944" s="199" t="str">
        <f t="array" ref="E944">IF(B944="","",IFERROR(INDEX('FUNCIONÁRIOS'!$E$4:$E$501,MATCH(B944,'FUNCIONÁRIOS'!$C$4:$C$501,0)),""))</f>
        <v/>
      </c>
      <c r="F944" s="138">
        <v>46170.0</v>
      </c>
      <c r="G944" s="115" t="str">
        <f t="shared" si="53"/>
        <v>✅ 08:37</v>
      </c>
      <c r="H944" s="174" t="s">
        <v>1882</v>
      </c>
      <c r="I944" s="117" t="str">
        <f t="shared" si="48"/>
        <v>→ Selecione a linha e use o menu ⏱️ Ponto</v>
      </c>
      <c r="J944" s="180"/>
      <c r="K944" s="179"/>
      <c r="L944" s="119" t="str">
        <f t="shared" si="49"/>
        <v>🟢 No Evento</v>
      </c>
    </row>
    <row r="945" ht="15.75" customHeight="1">
      <c r="A945" s="13"/>
      <c r="B945" s="173" t="s">
        <v>781</v>
      </c>
      <c r="C945" s="199" t="str">
        <f t="array" ref="C945">IF(B945="","",IFERROR(INDEX('FUNCIONÁRIOS'!$B$4:$B$501,MATCH(B945,'FUNCIONÁRIOS'!$C$4:$C$501,0)),""))</f>
        <v>MIX GERADORES</v>
      </c>
      <c r="D945" s="199" t="str">
        <f t="array" ref="D945">IF(B945="","",IFERROR(INDEX('FUNCIONÁRIOS'!$D$4:$D$501,MATCH(B945,'FUNCIONÁRIOS'!$C$4:$C$501,0)),""))</f>
        <v>OPERADOR DE GERADOR </v>
      </c>
      <c r="E945" s="199" t="str">
        <f t="array" ref="E945">IF(B945="","",IFERROR(INDEX('FUNCIONÁRIOS'!$E$4:$E$501,MATCH(B945,'FUNCIONÁRIOS'!$C$4:$C$501,0)),""))</f>
        <v>NÃO</v>
      </c>
      <c r="F945" s="138">
        <v>46170.0</v>
      </c>
      <c r="G945" s="115" t="str">
        <f t="shared" si="53"/>
        <v>✅ 08:39</v>
      </c>
      <c r="H945" s="174" t="s">
        <v>1956</v>
      </c>
      <c r="I945" s="117" t="str">
        <f t="shared" si="48"/>
        <v>→ Selecione a linha e use o menu ⏱️ Ponto</v>
      </c>
      <c r="J945" s="180"/>
      <c r="K945" s="179"/>
      <c r="L945" s="119" t="str">
        <f t="shared" si="49"/>
        <v>🟢 No Evento</v>
      </c>
    </row>
    <row r="946" ht="15.75" customHeight="1">
      <c r="A946" s="13"/>
      <c r="B946" s="173" t="s">
        <v>298</v>
      </c>
      <c r="C946" s="199" t="str">
        <f t="array" ref="C946">IF(B946="","",IFERROR(INDEX('FUNCIONÁRIOS'!$B$4:$B$501,MATCH(B946,'FUNCIONÁRIOS'!$C$4:$C$501,0)),""))</f>
        <v>GYNLIGHT</v>
      </c>
      <c r="D946" s="199" t="str">
        <f t="array" ref="D946">IF(B946="","",IFERROR(INDEX('FUNCIONÁRIOS'!$D$4:$D$501,MATCH(B946,'FUNCIONÁRIOS'!$C$4:$C$501,0)),""))</f>
        <v>Auxiliar Técnico em Iluminação</v>
      </c>
      <c r="E946" s="199" t="str">
        <f t="array" ref="E946">IF(B946="","",IFERROR(INDEX('FUNCIONÁRIOS'!$E$4:$E$501,MATCH(B946,'FUNCIONÁRIOS'!$C$4:$C$501,0)),""))</f>
        <v>NÃO</v>
      </c>
      <c r="F946" s="138">
        <v>46170.0</v>
      </c>
      <c r="G946" s="115" t="str">
        <f t="shared" si="53"/>
        <v>✅ 08:39</v>
      </c>
      <c r="H946" s="174" t="s">
        <v>1956</v>
      </c>
      <c r="I946" s="117" t="str">
        <f t="shared" si="48"/>
        <v>→ Selecione a linha e use o menu ⏱️ Ponto</v>
      </c>
      <c r="J946" s="180"/>
      <c r="K946" s="179"/>
      <c r="L946" s="119" t="str">
        <f t="shared" si="49"/>
        <v>🟢 No Evento</v>
      </c>
    </row>
    <row r="947" ht="15.75" customHeight="1">
      <c r="A947" s="13"/>
      <c r="B947" s="173" t="s">
        <v>344</v>
      </c>
      <c r="C947" s="199" t="str">
        <f t="array" ref="C947">IF(B947="","",IFERROR(INDEX('FUNCIONÁRIOS'!$B$4:$B$501,MATCH(B947,'FUNCIONÁRIOS'!$C$4:$C$501,0)),""))</f>
        <v>GO TO </v>
      </c>
      <c r="D947" s="199" t="str">
        <f t="array" ref="D947">IF(B947="","",IFERROR(INDEX('FUNCIONÁRIOS'!$D$4:$D$501,MATCH(B947,'FUNCIONÁRIOS'!$C$4:$C$501,0)),""))</f>
        <v>MONTADOR</v>
      </c>
      <c r="E947" s="199" t="str">
        <f t="array" ref="E947">IF(B947="","",IFERROR(INDEX('FUNCIONÁRIOS'!$E$4:$E$501,MATCH(B947,'FUNCIONÁRIOS'!$C$4:$C$501,0)),""))</f>
        <v>NÃO</v>
      </c>
      <c r="F947" s="138">
        <v>46170.0</v>
      </c>
      <c r="G947" s="115" t="str">
        <f t="shared" si="53"/>
        <v>✅ 08:39</v>
      </c>
      <c r="H947" s="174" t="s">
        <v>1956</v>
      </c>
      <c r="I947" s="117" t="str">
        <f t="shared" si="48"/>
        <v>→ Selecione a linha e use o menu ⏱️ Ponto</v>
      </c>
      <c r="J947" s="180"/>
      <c r="K947" s="179"/>
      <c r="L947" s="119" t="str">
        <f t="shared" si="49"/>
        <v>🟢 No Evento</v>
      </c>
    </row>
    <row r="948" ht="15.75" customHeight="1">
      <c r="A948" s="13"/>
      <c r="B948" s="173" t="s">
        <v>711</v>
      </c>
      <c r="C948" s="199" t="str">
        <f t="array" ref="C948">IF(B948="","",IFERROR(INDEX('FUNCIONÁRIOS'!$B$4:$B$501,MATCH(B948,'FUNCIONÁRIOS'!$C$4:$C$501,0)),""))</f>
        <v>FABINHO EVENTOS </v>
      </c>
      <c r="D948" s="199" t="str">
        <f t="array" ref="D948">IF(B948="","",IFERROR(INDEX('FUNCIONÁRIOS'!$D$4:$D$501,MATCH(B948,'FUNCIONÁRIOS'!$C$4:$C$501,0)),""))</f>
        <v>GERENTE </v>
      </c>
      <c r="E948" s="199" t="str">
        <f t="array" ref="E948">IF(B948="","",IFERROR(INDEX('FUNCIONÁRIOS'!$E$4:$E$501,MATCH(B948,'FUNCIONÁRIOS'!$C$4:$C$501,0)),""))</f>
        <v>NÃO</v>
      </c>
      <c r="F948" s="138">
        <v>46170.0</v>
      </c>
      <c r="G948" s="115" t="str">
        <f t="shared" si="53"/>
        <v>✅ 08:45</v>
      </c>
      <c r="H948" s="174" t="s">
        <v>1787</v>
      </c>
      <c r="I948" s="117" t="str">
        <f t="shared" si="48"/>
        <v>→ Selecione a linha e use o menu ⏱️ Ponto</v>
      </c>
      <c r="J948" s="180"/>
      <c r="K948" s="179"/>
      <c r="L948" s="119" t="str">
        <f t="shared" si="49"/>
        <v>🟢 No Evento</v>
      </c>
    </row>
    <row r="949" ht="15.75" customHeight="1">
      <c r="A949" s="13"/>
      <c r="B949" s="173" t="s">
        <v>974</v>
      </c>
      <c r="C949" s="199" t="str">
        <f t="array" ref="C949">IF(B949="","",IFERROR(INDEX('FUNCIONÁRIOS'!$B$4:$B$501,MATCH(B949,'FUNCIONÁRIOS'!$C$4:$C$501,0)),""))</f>
        <v/>
      </c>
      <c r="D949" s="199" t="str">
        <f t="array" ref="D949">IF(B949="","",IFERROR(INDEX('FUNCIONÁRIOS'!$D$4:$D$501,MATCH(B949,'FUNCIONÁRIOS'!$C$4:$C$501,0)),""))</f>
        <v/>
      </c>
      <c r="E949" s="199" t="str">
        <f t="array" ref="E949">IF(B949="","",IFERROR(INDEX('FUNCIONÁRIOS'!$E$4:$E$501,MATCH(B949,'FUNCIONÁRIOS'!$C$4:$C$501,0)),""))</f>
        <v/>
      </c>
      <c r="F949" s="138">
        <v>46170.0</v>
      </c>
      <c r="G949" s="115" t="str">
        <f t="shared" si="53"/>
        <v>✅ 08:45</v>
      </c>
      <c r="H949" s="174" t="s">
        <v>1787</v>
      </c>
      <c r="I949" s="117" t="str">
        <f t="shared" si="48"/>
        <v>→ Selecione a linha e use o menu ⏱️ Ponto</v>
      </c>
      <c r="J949" s="180"/>
      <c r="K949" s="179"/>
      <c r="L949" s="119" t="str">
        <f t="shared" si="49"/>
        <v>🟢 No Evento</v>
      </c>
    </row>
    <row r="950" ht="15.75" customHeight="1">
      <c r="A950" s="13"/>
      <c r="B950" s="173" t="s">
        <v>740</v>
      </c>
      <c r="C950" s="199" t="str">
        <f t="array" ref="C950">IF(B950="","",IFERROR(INDEX('FUNCIONÁRIOS'!$B$4:$B$501,MATCH(B950,'FUNCIONÁRIOS'!$C$4:$C$501,0)),""))</f>
        <v>LINQ </v>
      </c>
      <c r="D950" s="199" t="str">
        <f t="array" ref="D950">IF(B950="","",IFERROR(INDEX('FUNCIONÁRIOS'!$D$4:$D$501,MATCH(B950,'FUNCIONÁRIOS'!$C$4:$C$501,0)),""))</f>
        <v>TECNICO DE INTERNET </v>
      </c>
      <c r="E950" s="199" t="str">
        <f t="array" ref="E950">IF(B950="","",IFERROR(INDEX('FUNCIONÁRIOS'!$E$4:$E$501,MATCH(B950,'FUNCIONÁRIOS'!$C$4:$C$501,0)),""))</f>
        <v>NÃO</v>
      </c>
      <c r="F950" s="138">
        <v>46170.0</v>
      </c>
      <c r="G950" s="115" t="str">
        <f t="shared" si="53"/>
        <v>✅ 08:46</v>
      </c>
      <c r="H950" s="174" t="s">
        <v>1788</v>
      </c>
      <c r="I950" s="117" t="str">
        <f t="shared" si="48"/>
        <v>→ Selecione a linha e use o menu ⏱️ Ponto</v>
      </c>
      <c r="J950" s="180"/>
      <c r="K950" s="179"/>
      <c r="L950" s="119" t="str">
        <f t="shared" si="49"/>
        <v>🟢 No Evento</v>
      </c>
    </row>
    <row r="951" ht="15.75" customHeight="1">
      <c r="A951" s="13"/>
      <c r="B951" s="173" t="s">
        <v>698</v>
      </c>
      <c r="C951" s="199" t="str">
        <f t="array" ref="C951">IF(B951="","",IFERROR(INDEX('FUNCIONÁRIOS'!$B$4:$B$501,MATCH(B951,'FUNCIONÁRIOS'!$C$4:$C$501,0)),""))</f>
        <v>LATINO </v>
      </c>
      <c r="D951" s="199" t="str">
        <f t="array" ref="D951">IF(B951="","",IFERROR(INDEX('FUNCIONÁRIOS'!$D$4:$D$501,MATCH(B951,'FUNCIONÁRIOS'!$C$4:$C$501,0)),""))</f>
        <v>CARREGADOR </v>
      </c>
      <c r="E951" s="199" t="str">
        <f t="array" ref="E951">IF(B951="","",IFERROR(INDEX('FUNCIONÁRIOS'!$E$4:$E$501,MATCH(B951,'FUNCIONÁRIOS'!$C$4:$C$501,0)),""))</f>
        <v>NÃO</v>
      </c>
      <c r="F951" s="138">
        <v>46170.0</v>
      </c>
      <c r="G951" s="115" t="str">
        <f t="shared" si="53"/>
        <v>✅ 08:46</v>
      </c>
      <c r="H951" s="174" t="s">
        <v>1788</v>
      </c>
      <c r="I951" s="117" t="str">
        <f t="shared" si="48"/>
        <v>→ Selecione a linha e use o menu ⏱️ Ponto</v>
      </c>
      <c r="J951" s="180"/>
      <c r="K951" s="179"/>
      <c r="L951" s="119" t="str">
        <f t="shared" si="49"/>
        <v>🟢 No Evento</v>
      </c>
    </row>
    <row r="952" ht="15.75" customHeight="1">
      <c r="A952" s="13"/>
      <c r="B952" s="173" t="s">
        <v>739</v>
      </c>
      <c r="C952" s="199" t="str">
        <f t="array" ref="C952">IF(B952="","",IFERROR(INDEX('FUNCIONÁRIOS'!$B$4:$B$501,MATCH(B952,'FUNCIONÁRIOS'!$C$4:$C$501,0)),""))</f>
        <v>LINQ </v>
      </c>
      <c r="D952" s="199" t="str">
        <f t="array" ref="D952">IF(B952="","",IFERROR(INDEX('FUNCIONÁRIOS'!$D$4:$D$501,MATCH(B952,'FUNCIONÁRIOS'!$C$4:$C$501,0)),""))</f>
        <v>TECNICO DE INTERNET </v>
      </c>
      <c r="E952" s="199" t="str">
        <f t="array" ref="E952">IF(B952="","",IFERROR(INDEX('FUNCIONÁRIOS'!$E$4:$E$501,MATCH(B952,'FUNCIONÁRIOS'!$C$4:$C$501,0)),""))</f>
        <v>NÃO</v>
      </c>
      <c r="F952" s="138">
        <v>46170.0</v>
      </c>
      <c r="G952" s="115" t="str">
        <f t="shared" si="53"/>
        <v>✅ 08:46</v>
      </c>
      <c r="H952" s="174" t="s">
        <v>1788</v>
      </c>
      <c r="I952" s="117" t="str">
        <f t="shared" si="48"/>
        <v>→ Selecione a linha e use o menu ⏱️ Ponto</v>
      </c>
      <c r="J952" s="180"/>
      <c r="K952" s="179"/>
      <c r="L952" s="119" t="str">
        <f t="shared" si="49"/>
        <v>🟢 No Evento</v>
      </c>
    </row>
    <row r="953" ht="15.75" customHeight="1">
      <c r="A953" s="13"/>
      <c r="B953" s="173" t="s">
        <v>1330</v>
      </c>
      <c r="C953" s="199" t="str">
        <f t="array" ref="C953">IF(B953="","",IFERROR(INDEX('FUNCIONÁRIOS'!$B$4:$B$501,MATCH(B953,'FUNCIONÁRIOS'!$C$4:$C$501,0)),""))</f>
        <v/>
      </c>
      <c r="D953" s="199" t="str">
        <f t="array" ref="D953">IF(B953="","",IFERROR(INDEX('FUNCIONÁRIOS'!$D$4:$D$501,MATCH(B953,'FUNCIONÁRIOS'!$C$4:$C$501,0)),""))</f>
        <v/>
      </c>
      <c r="E953" s="199" t="str">
        <f t="array" ref="E953">IF(B953="","",IFERROR(INDEX('FUNCIONÁRIOS'!$E$4:$E$501,MATCH(B953,'FUNCIONÁRIOS'!$C$4:$C$501,0)),""))</f>
        <v/>
      </c>
      <c r="F953" s="138">
        <v>46170.0</v>
      </c>
      <c r="G953" s="115" t="str">
        <f t="shared" si="53"/>
        <v>✅ 08:46</v>
      </c>
      <c r="H953" s="174" t="s">
        <v>1788</v>
      </c>
      <c r="I953" s="117" t="str">
        <f t="shared" si="48"/>
        <v>→ Selecione a linha e use o menu ⏱️ Ponto</v>
      </c>
      <c r="J953" s="180"/>
      <c r="K953" s="179"/>
      <c r="L953" s="119" t="str">
        <f t="shared" si="49"/>
        <v>🟢 No Evento</v>
      </c>
    </row>
    <row r="954" ht="15.75" customHeight="1">
      <c r="A954" s="13"/>
      <c r="B954" s="173" t="s">
        <v>157</v>
      </c>
      <c r="C954" s="199" t="str">
        <f t="array" ref="C954">IF(B954="","",IFERROR(INDEX('FUNCIONÁRIOS'!$B$4:$B$501,MATCH(B954,'FUNCIONÁRIOS'!$C$4:$C$501,0)),""))</f>
        <v>NLEDS LOCAÇÃO - PAINEIS DE LED </v>
      </c>
      <c r="D954" s="199" t="str">
        <f t="array" ref="D954">IF(B954="","",IFERROR(INDEX('FUNCIONÁRIOS'!$D$4:$D$501,MATCH(B954,'FUNCIONÁRIOS'!$C$4:$C$501,0)),""))</f>
        <v>AUXILIAR DE MONTAGEM DE PAINÉIS DE LED</v>
      </c>
      <c r="E954" s="199" t="str">
        <f t="array" ref="E954">IF(B954="","",IFERROR(INDEX('FUNCIONÁRIOS'!$E$4:$E$501,MATCH(B954,'FUNCIONÁRIOS'!$C$4:$C$501,0)),""))</f>
        <v>NÃO</v>
      </c>
      <c r="F954" s="138">
        <v>46170.0</v>
      </c>
      <c r="G954" s="115" t="str">
        <f t="shared" si="53"/>
        <v>✅ 08:46</v>
      </c>
      <c r="H954" s="174" t="s">
        <v>1788</v>
      </c>
      <c r="I954" s="117" t="str">
        <f t="shared" si="48"/>
        <v>→ Selecione a linha e use o menu ⏱️ Ponto</v>
      </c>
      <c r="J954" s="180"/>
      <c r="K954" s="179"/>
      <c r="L954" s="119" t="str">
        <f t="shared" si="49"/>
        <v>🟢 No Evento</v>
      </c>
    </row>
    <row r="955" ht="15.75" customHeight="1">
      <c r="A955" s="13"/>
      <c r="B955" s="173" t="s">
        <v>1350</v>
      </c>
      <c r="C955" s="199" t="str">
        <f t="array" ref="C955">IF(B955="","",IFERROR(INDEX('FUNCIONÁRIOS'!$B$4:$B$501,MATCH(B955,'FUNCIONÁRIOS'!$C$4:$C$501,0)),""))</f>
        <v/>
      </c>
      <c r="D955" s="199" t="str">
        <f t="array" ref="D955">IF(B955="","",IFERROR(INDEX('FUNCIONÁRIOS'!$D$4:$D$501,MATCH(B955,'FUNCIONÁRIOS'!$C$4:$C$501,0)),""))</f>
        <v/>
      </c>
      <c r="E955" s="199" t="str">
        <f t="array" ref="E955">IF(B955="","",IFERROR(INDEX('FUNCIONÁRIOS'!$E$4:$E$501,MATCH(B955,'FUNCIONÁRIOS'!$C$4:$C$501,0)),""))</f>
        <v/>
      </c>
      <c r="F955" s="138">
        <v>46170.0</v>
      </c>
      <c r="G955" s="115" t="str">
        <f t="shared" si="53"/>
        <v>→ Selecione a linha e use o menu ⏱️ Ponto</v>
      </c>
      <c r="H955" s="174"/>
      <c r="I955" s="117" t="str">
        <f t="shared" si="48"/>
        <v>→ Selecione a linha e use o menu ⏱️ Ponto</v>
      </c>
      <c r="J955" s="180"/>
      <c r="K955" s="179"/>
      <c r="L955" s="119" t="str">
        <f t="shared" si="49"/>
        <v>⏳ Não entrou</v>
      </c>
    </row>
    <row r="956" ht="15.75" customHeight="1">
      <c r="A956" s="13"/>
      <c r="B956" s="173" t="s">
        <v>500</v>
      </c>
      <c r="C956" s="199" t="str">
        <f t="array" ref="C956">IF(B956="","",IFERROR(INDEX('FUNCIONÁRIOS'!$B$4:$B$501,MATCH(B956,'FUNCIONÁRIOS'!$C$4:$C$501,0)),""))</f>
        <v>GO TO </v>
      </c>
      <c r="D956" s="199" t="str">
        <f t="array" ref="D956">IF(B956="","",IFERROR(INDEX('FUNCIONÁRIOS'!$D$4:$D$501,MATCH(B956,'FUNCIONÁRIOS'!$C$4:$C$501,0)),""))</f>
        <v>Serralheiro</v>
      </c>
      <c r="E956" s="199" t="str">
        <f t="array" ref="E956">IF(B956="","",IFERROR(INDEX('FUNCIONÁRIOS'!$E$4:$E$501,MATCH(B956,'FUNCIONÁRIOS'!$C$4:$C$501,0)),""))</f>
        <v>NÃO</v>
      </c>
      <c r="F956" s="138">
        <v>46170.0</v>
      </c>
      <c r="G956" s="115" t="str">
        <f t="shared" si="53"/>
        <v>✅ 08:47</v>
      </c>
      <c r="H956" s="174" t="s">
        <v>1789</v>
      </c>
      <c r="I956" s="117" t="str">
        <f t="shared" si="48"/>
        <v>→ Selecione a linha e use o menu ⏱️ Ponto</v>
      </c>
      <c r="J956" s="180"/>
      <c r="K956" s="179"/>
      <c r="L956" s="119" t="str">
        <f t="shared" si="49"/>
        <v>🟢 No Evento</v>
      </c>
    </row>
    <row r="957" ht="15.75" customHeight="1">
      <c r="A957" s="13"/>
      <c r="B957" s="173" t="s">
        <v>511</v>
      </c>
      <c r="C957" s="199" t="str">
        <f t="array" ref="C957">IF(B957="","",IFERROR(INDEX('FUNCIONÁRIOS'!$B$4:$B$501,MATCH(B957,'FUNCIONÁRIOS'!$C$4:$C$501,0)),""))</f>
        <v>GO TO </v>
      </c>
      <c r="D957" s="199" t="str">
        <f t="array" ref="D957">IF(B957="","",IFERROR(INDEX('FUNCIONÁRIOS'!$D$4:$D$501,MATCH(B957,'FUNCIONÁRIOS'!$C$4:$C$501,0)),""))</f>
        <v>Montador</v>
      </c>
      <c r="E957" s="199" t="str">
        <f t="array" ref="E957">IF(B957="","",IFERROR(INDEX('FUNCIONÁRIOS'!$E$4:$E$501,MATCH(B957,'FUNCIONÁRIOS'!$C$4:$C$501,0)),""))</f>
        <v>NÃO</v>
      </c>
      <c r="F957" s="138">
        <v>46170.0</v>
      </c>
      <c r="G957" s="115" t="str">
        <f t="shared" si="53"/>
        <v>✅ 08:48</v>
      </c>
      <c r="H957" s="174" t="s">
        <v>1662</v>
      </c>
      <c r="I957" s="117" t="str">
        <f t="shared" si="48"/>
        <v>→ Selecione a linha e use o menu ⏱️ Ponto</v>
      </c>
      <c r="J957" s="180"/>
      <c r="K957" s="179"/>
      <c r="L957" s="119" t="str">
        <f t="shared" si="49"/>
        <v>🟢 No Evento</v>
      </c>
    </row>
    <row r="958" ht="15.75" customHeight="1">
      <c r="A958" s="13"/>
      <c r="B958" s="173" t="s">
        <v>738</v>
      </c>
      <c r="C958" s="199" t="str">
        <f t="array" ref="C958">IF(B958="","",IFERROR(INDEX('FUNCIONÁRIOS'!$B$4:$B$501,MATCH(B958,'FUNCIONÁRIOS'!$C$4:$C$501,0)),""))</f>
        <v>LINQ </v>
      </c>
      <c r="D958" s="199" t="str">
        <f t="array" ref="D958">IF(B958="","",IFERROR(INDEX('FUNCIONÁRIOS'!$D$4:$D$501,MATCH(B958,'FUNCIONÁRIOS'!$C$4:$C$501,0)),""))</f>
        <v>TECNICO DE INTERNET </v>
      </c>
      <c r="E958" s="199" t="str">
        <f t="array" ref="E958">IF(B958="","",IFERROR(INDEX('FUNCIONÁRIOS'!$E$4:$E$501,MATCH(B958,'FUNCIONÁRIOS'!$C$4:$C$501,0)),""))</f>
        <v>NÃO</v>
      </c>
      <c r="F958" s="138">
        <v>46170.0</v>
      </c>
      <c r="G958" s="115" t="str">
        <f t="shared" si="53"/>
        <v>✅ 08:49</v>
      </c>
      <c r="H958" s="174" t="s">
        <v>1664</v>
      </c>
      <c r="I958" s="117" t="str">
        <f t="shared" si="48"/>
        <v>→ Selecione a linha e use o menu ⏱️ Ponto</v>
      </c>
      <c r="J958" s="180"/>
      <c r="K958" s="179"/>
      <c r="L958" s="119" t="str">
        <f t="shared" si="49"/>
        <v>🟢 No Evento</v>
      </c>
    </row>
    <row r="959" ht="15.75" customHeight="1">
      <c r="A959" s="13"/>
      <c r="B959" s="173" t="s">
        <v>318</v>
      </c>
      <c r="C959" s="199" t="str">
        <f t="array" ref="C959">IF(B959="","",IFERROR(INDEX('FUNCIONÁRIOS'!$B$4:$B$501,MATCH(B959,'FUNCIONÁRIOS'!$C$4:$C$501,0)),""))</f>
        <v>EL SHADDAI</v>
      </c>
      <c r="D959" s="199" t="str">
        <f t="array" ref="D959">IF(B959="","",IFERROR(INDEX('FUNCIONÁRIOS'!$D$4:$D$501,MATCH(B959,'FUNCIONÁRIOS'!$C$4:$C$501,0)),""))</f>
        <v>Motorista</v>
      </c>
      <c r="E959" s="199" t="str">
        <f t="array" ref="E959">IF(B959="","",IFERROR(INDEX('FUNCIONÁRIOS'!$E$4:$E$501,MATCH(B959,'FUNCIONÁRIOS'!$C$4:$C$501,0)),""))</f>
        <v>NÃO</v>
      </c>
      <c r="F959" s="138">
        <v>46170.0</v>
      </c>
      <c r="G959" s="115" t="str">
        <f t="shared" si="53"/>
        <v>✅ 08:49</v>
      </c>
      <c r="H959" s="174" t="s">
        <v>1664</v>
      </c>
      <c r="I959" s="117" t="str">
        <f t="shared" si="48"/>
        <v>→ Selecione a linha e use o menu ⏱️ Ponto</v>
      </c>
      <c r="J959" s="180"/>
      <c r="K959" s="179"/>
      <c r="L959" s="119" t="str">
        <f t="shared" si="49"/>
        <v>🟢 No Evento</v>
      </c>
    </row>
    <row r="960" ht="15.75" customHeight="1">
      <c r="A960" s="13"/>
      <c r="B960" s="173" t="s">
        <v>236</v>
      </c>
      <c r="C960" s="199" t="str">
        <f t="array" ref="C960">IF(B960="","",IFERROR(INDEX('FUNCIONÁRIOS'!$B$4:$B$501,MATCH(B960,'FUNCIONÁRIOS'!$C$4:$C$501,0)),""))</f>
        <v>EL SHADDAI</v>
      </c>
      <c r="D960" s="199" t="str">
        <f t="array" ref="D960">IF(B960="","",IFERROR(INDEX('FUNCIONÁRIOS'!$D$4:$D$501,MATCH(B960,'FUNCIONÁRIOS'!$C$4:$C$501,0)),""))</f>
        <v>SOLDADOR </v>
      </c>
      <c r="E960" s="199" t="str">
        <f t="array" ref="E960">IF(B960="","",IFERROR(INDEX('FUNCIONÁRIOS'!$E$4:$E$501,MATCH(B960,'FUNCIONÁRIOS'!$C$4:$C$501,0)),""))</f>
        <v>NÃO</v>
      </c>
      <c r="F960" s="138">
        <v>46170.0</v>
      </c>
      <c r="G960" s="115" t="str">
        <f t="shared" si="53"/>
        <v>✅ 08:50</v>
      </c>
      <c r="H960" s="174" t="s">
        <v>1884</v>
      </c>
      <c r="I960" s="117" t="str">
        <f t="shared" si="48"/>
        <v>→ Selecione a linha e use o menu ⏱️ Ponto</v>
      </c>
      <c r="J960" s="180"/>
      <c r="K960" s="179"/>
      <c r="L960" s="119" t="str">
        <f t="shared" si="49"/>
        <v>🟢 No Evento</v>
      </c>
    </row>
    <row r="961" ht="15.75" customHeight="1">
      <c r="A961" s="13"/>
      <c r="B961" s="173" t="s">
        <v>316</v>
      </c>
      <c r="C961" s="199" t="str">
        <f t="array" ref="C961">IF(B961="","",IFERROR(INDEX('FUNCIONÁRIOS'!$B$4:$B$501,MATCH(B961,'FUNCIONÁRIOS'!$C$4:$C$501,0)),""))</f>
        <v>EL SHADDAI</v>
      </c>
      <c r="D961" s="199" t="str">
        <f t="array" ref="D961">IF(B961="","",IFERROR(INDEX('FUNCIONÁRIOS'!$D$4:$D$501,MATCH(B961,'FUNCIONÁRIOS'!$C$4:$C$501,0)),""))</f>
        <v>Montador</v>
      </c>
      <c r="E961" s="199" t="str">
        <f t="array" ref="E961">IF(B961="","",IFERROR(INDEX('FUNCIONÁRIOS'!$E$4:$E$501,MATCH(B961,'FUNCIONÁRIOS'!$C$4:$C$501,0)),""))</f>
        <v>NÃO</v>
      </c>
      <c r="F961" s="138">
        <v>46170.0</v>
      </c>
      <c r="G961" s="115" t="str">
        <f t="shared" si="53"/>
        <v>✅ 08:50</v>
      </c>
      <c r="H961" s="174" t="s">
        <v>1884</v>
      </c>
      <c r="I961" s="117" t="str">
        <f t="shared" si="48"/>
        <v>→ Selecione a linha e use o menu ⏱️ Ponto</v>
      </c>
      <c r="J961" s="180"/>
      <c r="K961" s="179"/>
      <c r="L961" s="119" t="str">
        <f t="shared" si="49"/>
        <v>🟢 No Evento</v>
      </c>
    </row>
    <row r="962" ht="15.75" customHeight="1">
      <c r="A962" s="13"/>
      <c r="B962" s="173" t="s">
        <v>317</v>
      </c>
      <c r="C962" s="199" t="str">
        <f t="array" ref="C962">IF(B962="","",IFERROR(INDEX('FUNCIONÁRIOS'!$B$4:$B$501,MATCH(B962,'FUNCIONÁRIOS'!$C$4:$C$501,0)),""))</f>
        <v>EL SHADDAI</v>
      </c>
      <c r="D962" s="199" t="str">
        <f t="array" ref="D962">IF(B962="","",IFERROR(INDEX('FUNCIONÁRIOS'!$D$4:$D$501,MATCH(B962,'FUNCIONÁRIOS'!$C$4:$C$501,0)),""))</f>
        <v>Montador</v>
      </c>
      <c r="E962" s="199" t="str">
        <f t="array" ref="E962">IF(B962="","",IFERROR(INDEX('FUNCIONÁRIOS'!$E$4:$E$501,MATCH(B962,'FUNCIONÁRIOS'!$C$4:$C$501,0)),""))</f>
        <v>NÃO</v>
      </c>
      <c r="F962" s="138">
        <v>46170.0</v>
      </c>
      <c r="G962" s="115" t="str">
        <f t="shared" si="53"/>
        <v>✅ 08:51</v>
      </c>
      <c r="H962" s="174" t="s">
        <v>1666</v>
      </c>
      <c r="I962" s="117" t="str">
        <f t="shared" si="48"/>
        <v>→ Selecione a linha e use o menu ⏱️ Ponto</v>
      </c>
      <c r="J962" s="180"/>
      <c r="K962" s="179"/>
      <c r="L962" s="119" t="str">
        <f t="shared" si="49"/>
        <v>🟢 No Evento</v>
      </c>
    </row>
    <row r="963" ht="15.75" customHeight="1">
      <c r="A963" s="13"/>
      <c r="B963" s="173" t="s">
        <v>1491</v>
      </c>
      <c r="C963" s="199" t="str">
        <f t="array" ref="C963">IF(B963="","",IFERROR(INDEX('FUNCIONÁRIOS'!$B$4:$B$501,MATCH(B963,'FUNCIONÁRIOS'!$C$4:$C$501,0)),""))</f>
        <v/>
      </c>
      <c r="D963" s="199" t="str">
        <f t="array" ref="D963">IF(B963="","",IFERROR(INDEX('FUNCIONÁRIOS'!$D$4:$D$501,MATCH(B963,'FUNCIONÁRIOS'!$C$4:$C$501,0)),""))</f>
        <v/>
      </c>
      <c r="E963" s="199" t="str">
        <f t="array" ref="E963">IF(B963="","",IFERROR(INDEX('FUNCIONÁRIOS'!$E$4:$E$501,MATCH(B963,'FUNCIONÁRIOS'!$C$4:$C$501,0)),""))</f>
        <v/>
      </c>
      <c r="F963" s="138">
        <v>46170.0</v>
      </c>
      <c r="G963" s="115" t="str">
        <f t="shared" si="53"/>
        <v>✅ 08:51</v>
      </c>
      <c r="H963" s="174" t="s">
        <v>1666</v>
      </c>
      <c r="I963" s="117" t="str">
        <f t="shared" si="48"/>
        <v>→ Selecione a linha e use o menu ⏱️ Ponto</v>
      </c>
      <c r="J963" s="180"/>
      <c r="K963" s="179"/>
      <c r="L963" s="119" t="str">
        <f t="shared" si="49"/>
        <v>🟢 No Evento</v>
      </c>
    </row>
    <row r="964" ht="15.75" customHeight="1">
      <c r="A964" s="13"/>
      <c r="B964" s="173" t="s">
        <v>1470</v>
      </c>
      <c r="C964" s="199" t="str">
        <f t="array" ref="C964">IF(B964="","",IFERROR(INDEX('FUNCIONÁRIOS'!$B$4:$B$501,MATCH(B964,'FUNCIONÁRIOS'!$C$4:$C$501,0)),""))</f>
        <v/>
      </c>
      <c r="D964" s="199" t="str">
        <f t="array" ref="D964">IF(B964="","",IFERROR(INDEX('FUNCIONÁRIOS'!$D$4:$D$501,MATCH(B964,'FUNCIONÁRIOS'!$C$4:$C$501,0)),""))</f>
        <v/>
      </c>
      <c r="E964" s="199" t="str">
        <f t="array" ref="E964">IF(B964="","",IFERROR(INDEX('FUNCIONÁRIOS'!$E$4:$E$501,MATCH(B964,'FUNCIONÁRIOS'!$C$4:$C$501,0)),""))</f>
        <v/>
      </c>
      <c r="F964" s="138">
        <v>46170.0</v>
      </c>
      <c r="G964" s="115" t="str">
        <f t="shared" si="53"/>
        <v>✅ 08:51</v>
      </c>
      <c r="H964" s="174" t="s">
        <v>1666</v>
      </c>
      <c r="I964" s="117" t="str">
        <f t="shared" si="48"/>
        <v>→ Selecione a linha e use o menu ⏱️ Ponto</v>
      </c>
      <c r="J964" s="180"/>
      <c r="K964" s="179"/>
      <c r="L964" s="119" t="str">
        <f t="shared" si="49"/>
        <v>🟢 No Evento</v>
      </c>
    </row>
    <row r="965" ht="15.75" customHeight="1">
      <c r="A965" s="13"/>
      <c r="B965" s="173" t="s">
        <v>490</v>
      </c>
      <c r="C965" s="199" t="str">
        <f t="array" ref="C965">IF(B965="","",IFERROR(INDEX('FUNCIONÁRIOS'!$B$4:$B$501,MATCH(B965,'FUNCIONÁRIOS'!$C$4:$C$501,0)),""))</f>
        <v>EL SHADDAI</v>
      </c>
      <c r="D965" s="199" t="str">
        <f t="array" ref="D965">IF(B965="","",IFERROR(INDEX('FUNCIONÁRIOS'!$D$4:$D$501,MATCH(B965,'FUNCIONÁRIOS'!$C$4:$C$501,0)),""))</f>
        <v>Montador</v>
      </c>
      <c r="E965" s="199" t="str">
        <f t="array" ref="E965">IF(B965="","",IFERROR(INDEX('FUNCIONÁRIOS'!$E$4:$E$501,MATCH(B965,'FUNCIONÁRIOS'!$C$4:$C$501,0)),""))</f>
        <v>NÃO</v>
      </c>
      <c r="F965" s="138">
        <v>46170.0</v>
      </c>
      <c r="G965" s="115" t="str">
        <f t="shared" si="53"/>
        <v>✅ 08:52</v>
      </c>
      <c r="H965" s="174" t="s">
        <v>1668</v>
      </c>
      <c r="I965" s="117" t="str">
        <f t="shared" si="48"/>
        <v>→ Selecione a linha e use o menu ⏱️ Ponto</v>
      </c>
      <c r="J965" s="180"/>
      <c r="K965" s="179"/>
      <c r="L965" s="119" t="str">
        <f t="shared" si="49"/>
        <v>🟢 No Evento</v>
      </c>
    </row>
    <row r="966" ht="15.75" customHeight="1">
      <c r="A966" s="13"/>
      <c r="B966" s="173" t="s">
        <v>633</v>
      </c>
      <c r="C966" s="199" t="str">
        <f t="array" ref="C966">IF(B966="","",IFERROR(INDEX('FUNCIONÁRIOS'!$B$4:$B$501,MATCH(B966,'FUNCIONÁRIOS'!$C$4:$C$501,0)),""))</f>
        <v>STUDIO K MULTI EVENTOS LTDA </v>
      </c>
      <c r="D966" s="199" t="str">
        <f t="array" ref="D966">IF(B966="","",IFERROR(INDEX('FUNCIONÁRIOS'!$D$4:$D$501,MATCH(B966,'FUNCIONÁRIOS'!$C$4:$C$501,0)),""))</f>
        <v>CONTRA-REGRA</v>
      </c>
      <c r="E966" s="199" t="str">
        <f t="array" ref="E966">IF(B966="","",IFERROR(INDEX('FUNCIONÁRIOS'!$E$4:$E$501,MATCH(B966,'FUNCIONÁRIOS'!$C$4:$C$501,0)),""))</f>
        <v>NÃO</v>
      </c>
      <c r="F966" s="138">
        <v>46170.0</v>
      </c>
      <c r="G966" s="115" t="str">
        <f t="shared" si="53"/>
        <v>✅ 08:52</v>
      </c>
      <c r="H966" s="174" t="s">
        <v>1668</v>
      </c>
      <c r="I966" s="117" t="str">
        <f t="shared" si="48"/>
        <v>→ Selecione a linha e use o menu ⏱️ Ponto</v>
      </c>
      <c r="J966" s="180"/>
      <c r="K966" s="179"/>
      <c r="L966" s="119" t="str">
        <f t="shared" si="49"/>
        <v>🟢 No Evento</v>
      </c>
    </row>
    <row r="967" ht="15.75" customHeight="1">
      <c r="A967" s="13"/>
      <c r="B967" s="173" t="s">
        <v>364</v>
      </c>
      <c r="C967" s="199" t="str">
        <f t="array" ref="C967">IF(B967="","",IFERROR(INDEX('FUNCIONÁRIOS'!$B$4:$B$501,MATCH(B967,'FUNCIONÁRIOS'!$C$4:$C$501,0)),""))</f>
        <v>GO TO </v>
      </c>
      <c r="D967" s="199" t="str">
        <f t="array" ref="D967">IF(B967="","",IFERROR(INDEX('FUNCIONÁRIOS'!$D$4:$D$501,MATCH(B967,'FUNCIONÁRIOS'!$C$4:$C$501,0)),""))</f>
        <v>MONTADOR</v>
      </c>
      <c r="E967" s="199" t="str">
        <f t="array" ref="E967">IF(B967="","",IFERROR(INDEX('FUNCIONÁRIOS'!$E$4:$E$501,MATCH(B967,'FUNCIONÁRIOS'!$C$4:$C$501,0)),""))</f>
        <v>NÃO</v>
      </c>
      <c r="F967" s="138">
        <v>46170.0</v>
      </c>
      <c r="G967" s="115" t="str">
        <f t="shared" si="53"/>
        <v>✅ 08:53</v>
      </c>
      <c r="H967" s="174" t="s">
        <v>1595</v>
      </c>
      <c r="I967" s="117" t="str">
        <f t="shared" si="48"/>
        <v>→ Selecione a linha e use o menu ⏱️ Ponto</v>
      </c>
      <c r="J967" s="180"/>
      <c r="K967" s="179"/>
      <c r="L967" s="119" t="str">
        <f t="shared" si="49"/>
        <v>🟢 No Evento</v>
      </c>
    </row>
    <row r="968" ht="15.75" customHeight="1">
      <c r="A968" s="13"/>
      <c r="B968" s="173" t="s">
        <v>700</v>
      </c>
      <c r="C968" s="199" t="str">
        <f t="array" ref="C968">IF(B968="","",IFERROR(INDEX('FUNCIONÁRIOS'!$B$4:$B$501,MATCH(B968,'FUNCIONÁRIOS'!$C$4:$C$501,0)),""))</f>
        <v>GO TO </v>
      </c>
      <c r="D968" s="199" t="str">
        <f t="array" ref="D968">IF(B968="","",IFERROR(INDEX('FUNCIONÁRIOS'!$D$4:$D$501,MATCH(B968,'FUNCIONÁRIOS'!$C$4:$C$501,0)),""))</f>
        <v>MONTADOR </v>
      </c>
      <c r="E968" s="199" t="str">
        <f t="array" ref="E968">IF(B968="","",IFERROR(INDEX('FUNCIONÁRIOS'!$E$4:$E$501,MATCH(B968,'FUNCIONÁRIOS'!$C$4:$C$501,0)),""))</f>
        <v>NÃO</v>
      </c>
      <c r="F968" s="138">
        <v>46170.0</v>
      </c>
      <c r="G968" s="115" t="str">
        <f t="shared" si="53"/>
        <v>✅ 08:53</v>
      </c>
      <c r="H968" s="174" t="s">
        <v>1595</v>
      </c>
      <c r="I968" s="117" t="str">
        <f t="shared" si="48"/>
        <v>→ Selecione a linha e use o menu ⏱️ Ponto</v>
      </c>
      <c r="J968" s="180"/>
      <c r="K968" s="179"/>
      <c r="L968" s="119" t="str">
        <f t="shared" si="49"/>
        <v>🟢 No Evento</v>
      </c>
    </row>
    <row r="969" ht="15.75" customHeight="1">
      <c r="A969" s="13"/>
      <c r="B969" s="173" t="s">
        <v>701</v>
      </c>
      <c r="C969" s="199" t="str">
        <f t="array" ref="C969">IF(B969="","",IFERROR(INDEX('FUNCIONÁRIOS'!$B$4:$B$501,MATCH(B969,'FUNCIONÁRIOS'!$C$4:$C$501,0)),""))</f>
        <v>GO TO </v>
      </c>
      <c r="D969" s="199" t="str">
        <f t="array" ref="D969">IF(B969="","",IFERROR(INDEX('FUNCIONÁRIOS'!$D$4:$D$501,MATCH(B969,'FUNCIONÁRIOS'!$C$4:$C$501,0)),""))</f>
        <v>MONTADOR </v>
      </c>
      <c r="E969" s="199" t="str">
        <f t="array" ref="E969">IF(B969="","",IFERROR(INDEX('FUNCIONÁRIOS'!$E$4:$E$501,MATCH(B969,'FUNCIONÁRIOS'!$C$4:$C$501,0)),""))</f>
        <v>NÃO</v>
      </c>
      <c r="F969" s="138">
        <v>46170.0</v>
      </c>
      <c r="G969" s="115" t="str">
        <f t="shared" si="53"/>
        <v>✅ 08:53</v>
      </c>
      <c r="H969" s="174" t="s">
        <v>1595</v>
      </c>
      <c r="I969" s="117" t="str">
        <f t="shared" si="48"/>
        <v>→ Selecione a linha e use o menu ⏱️ Ponto</v>
      </c>
      <c r="J969" s="180"/>
      <c r="K969" s="179"/>
      <c r="L969" s="119" t="str">
        <f t="shared" si="49"/>
        <v>🟢 No Evento</v>
      </c>
    </row>
    <row r="970" ht="15.75" customHeight="1">
      <c r="A970" s="13"/>
      <c r="B970" s="173" t="s">
        <v>208</v>
      </c>
      <c r="C970" s="199" t="str">
        <f t="array" ref="C970">IF(B970="","",IFERROR(INDEX('FUNCIONÁRIOS'!$B$4:$B$501,MATCH(B970,'FUNCIONÁRIOS'!$C$4:$C$501,0)),""))</f>
        <v>FABINHO EVENTOS </v>
      </c>
      <c r="D970" s="199" t="str">
        <f t="array" ref="D970">IF(B970="","",IFERROR(INDEX('FUNCIONÁRIOS'!$D$4:$D$501,MATCH(B970,'FUNCIONÁRIOS'!$C$4:$C$501,0)),""))</f>
        <v>PRODUTORA </v>
      </c>
      <c r="E970" s="199" t="str">
        <f t="array" ref="E970">IF(B970="","",IFERROR(INDEX('FUNCIONÁRIOS'!$E$4:$E$501,MATCH(B970,'FUNCIONÁRIOS'!$C$4:$C$501,0)),""))</f>
        <v>NÃO</v>
      </c>
      <c r="F970" s="138">
        <v>46170.0</v>
      </c>
      <c r="G970" s="115" t="str">
        <f t="shared" si="53"/>
        <v>✅ 08:54</v>
      </c>
      <c r="H970" s="174" t="s">
        <v>1669</v>
      </c>
      <c r="I970" s="117" t="str">
        <f t="shared" si="48"/>
        <v>→ Selecione a linha e use o menu ⏱️ Ponto</v>
      </c>
      <c r="J970" s="180"/>
      <c r="K970" s="179"/>
      <c r="L970" s="119" t="str">
        <f t="shared" si="49"/>
        <v>🟢 No Evento</v>
      </c>
    </row>
    <row r="971" ht="15.75" customHeight="1">
      <c r="A971" s="13"/>
      <c r="B971" s="173" t="s">
        <v>400</v>
      </c>
      <c r="C971" s="199" t="str">
        <f t="array" ref="C971">IF(B971="","",IFERROR(INDEX('FUNCIONÁRIOS'!$B$4:$B$501,MATCH(B971,'FUNCIONÁRIOS'!$C$4:$C$501,0)),""))</f>
        <v>GO TO </v>
      </c>
      <c r="D971" s="199" t="str">
        <f t="array" ref="D971">IF(B971="","",IFERROR(INDEX('FUNCIONÁRIOS'!$D$4:$D$501,MATCH(B971,'FUNCIONÁRIOS'!$C$4:$C$501,0)),""))</f>
        <v>PRODUTOR</v>
      </c>
      <c r="E971" s="199" t="str">
        <f t="array" ref="E971">IF(B971="","",IFERROR(INDEX('FUNCIONÁRIOS'!$E$4:$E$501,MATCH(B971,'FUNCIONÁRIOS'!$C$4:$C$501,0)),""))</f>
        <v>NÃO</v>
      </c>
      <c r="F971" s="138">
        <v>46170.0</v>
      </c>
      <c r="G971" s="115" t="str">
        <f t="shared" si="53"/>
        <v>✅ 08:54</v>
      </c>
      <c r="H971" s="174" t="s">
        <v>1669</v>
      </c>
      <c r="I971" s="117" t="str">
        <f t="shared" si="48"/>
        <v>→ Selecione a linha e use o menu ⏱️ Ponto</v>
      </c>
      <c r="J971" s="180"/>
      <c r="K971" s="179"/>
      <c r="L971" s="119" t="str">
        <f t="shared" si="49"/>
        <v>🟢 No Evento</v>
      </c>
    </row>
    <row r="972" ht="15.75" customHeight="1">
      <c r="A972" s="13"/>
      <c r="B972" s="173" t="s">
        <v>1494</v>
      </c>
      <c r="C972" s="199" t="str">
        <f t="array" ref="C972">IF(B972="","",IFERROR(INDEX('FUNCIONÁRIOS'!$B$4:$B$501,MATCH(B972,'FUNCIONÁRIOS'!$C$4:$C$501,0)),""))</f>
        <v/>
      </c>
      <c r="D972" s="199" t="str">
        <f t="array" ref="D972">IF(B972="","",IFERROR(INDEX('FUNCIONÁRIOS'!$D$4:$D$501,MATCH(B972,'FUNCIONÁRIOS'!$C$4:$C$501,0)),""))</f>
        <v/>
      </c>
      <c r="E972" s="199" t="str">
        <f t="array" ref="E972">IF(B972="","",IFERROR(INDEX('FUNCIONÁRIOS'!$E$4:$E$501,MATCH(B972,'FUNCIONÁRIOS'!$C$4:$C$501,0)),""))</f>
        <v/>
      </c>
      <c r="F972" s="138">
        <v>46170.0</v>
      </c>
      <c r="G972" s="115" t="str">
        <f t="shared" si="53"/>
        <v>✅ 08:55</v>
      </c>
      <c r="H972" s="174" t="s">
        <v>1791</v>
      </c>
      <c r="I972" s="117" t="str">
        <f t="shared" si="48"/>
        <v>→ Selecione a linha e use o menu ⏱️ Ponto</v>
      </c>
      <c r="J972" s="180"/>
      <c r="K972" s="179"/>
      <c r="L972" s="119" t="str">
        <f t="shared" si="49"/>
        <v>🟢 No Evento</v>
      </c>
    </row>
    <row r="973" ht="15.75" customHeight="1">
      <c r="A973" s="13"/>
      <c r="B973" s="173" t="s">
        <v>498</v>
      </c>
      <c r="C973" s="199" t="str">
        <f t="array" ref="C973">IF(B973="","",IFERROR(INDEX('FUNCIONÁRIOS'!$B$4:$B$501,MATCH(B973,'FUNCIONÁRIOS'!$C$4:$C$501,0)),""))</f>
        <v>SHOWNEWS</v>
      </c>
      <c r="D973" s="199" t="str">
        <f t="array" ref="D973">IF(B973="","",IFERROR(INDEX('FUNCIONÁRIOS'!$D$4:$D$501,MATCH(B973,'FUNCIONÁRIOS'!$C$4:$C$501,0)),""))</f>
        <v>Montador</v>
      </c>
      <c r="E973" s="199" t="str">
        <f t="array" ref="E973">IF(B973="","",IFERROR(INDEX('FUNCIONÁRIOS'!$E$4:$E$501,MATCH(B973,'FUNCIONÁRIOS'!$C$4:$C$501,0)),""))</f>
        <v>NÃO</v>
      </c>
      <c r="F973" s="138">
        <v>46170.0</v>
      </c>
      <c r="G973" s="115" t="str">
        <f t="shared" si="53"/>
        <v>✅ 08:55</v>
      </c>
      <c r="H973" s="174" t="s">
        <v>1791</v>
      </c>
      <c r="I973" s="117" t="str">
        <f t="shared" si="48"/>
        <v>→ Selecione a linha e use o menu ⏱️ Ponto</v>
      </c>
      <c r="J973" s="180"/>
      <c r="K973" s="179"/>
      <c r="L973" s="119" t="str">
        <f t="shared" si="49"/>
        <v>🟢 No Evento</v>
      </c>
    </row>
    <row r="974" ht="15.75" customHeight="1">
      <c r="A974" s="13"/>
      <c r="B974" s="173" t="s">
        <v>780</v>
      </c>
      <c r="C974" s="199" t="str">
        <f t="array" ref="C974">IF(B974="","",IFERROR(INDEX('FUNCIONÁRIOS'!$B$4:$B$501,MATCH(B974,'FUNCIONÁRIOS'!$C$4:$C$501,0)),""))</f>
        <v>MIX GERADORES</v>
      </c>
      <c r="D974" s="199" t="str">
        <f t="array" ref="D974">IF(B974="","",IFERROR(INDEX('FUNCIONÁRIOS'!$D$4:$D$501,MATCH(B974,'FUNCIONÁRIOS'!$C$4:$C$501,0)),""))</f>
        <v>TECNICO</v>
      </c>
      <c r="E974" s="199" t="str">
        <f t="array" ref="E974">IF(B974="","",IFERROR(INDEX('FUNCIONÁRIOS'!$E$4:$E$501,MATCH(B974,'FUNCIONÁRIOS'!$C$4:$C$501,0)),""))</f>
        <v>NÃO</v>
      </c>
      <c r="F974" s="138">
        <v>46170.0</v>
      </c>
      <c r="G974" s="115" t="str">
        <f t="shared" si="53"/>
        <v>✅ 08:55</v>
      </c>
      <c r="H974" s="174" t="s">
        <v>1791</v>
      </c>
      <c r="I974" s="117" t="str">
        <f t="shared" si="48"/>
        <v>→ Selecione a linha e use o menu ⏱️ Ponto</v>
      </c>
      <c r="J974" s="180"/>
      <c r="K974" s="179"/>
      <c r="L974" s="119" t="str">
        <f t="shared" si="49"/>
        <v>🟢 No Evento</v>
      </c>
    </row>
    <row r="975" ht="15.75" customHeight="1">
      <c r="A975" s="13"/>
      <c r="B975" s="173" t="s">
        <v>1495</v>
      </c>
      <c r="C975" s="199" t="str">
        <f t="array" ref="C975">IF(B975="","",IFERROR(INDEX('FUNCIONÁRIOS'!$B$4:$B$501,MATCH(B975,'FUNCIONÁRIOS'!$C$4:$C$501,0)),""))</f>
        <v/>
      </c>
      <c r="D975" s="199" t="str">
        <f t="array" ref="D975">IF(B975="","",IFERROR(INDEX('FUNCIONÁRIOS'!$D$4:$D$501,MATCH(B975,'FUNCIONÁRIOS'!$C$4:$C$501,0)),""))</f>
        <v/>
      </c>
      <c r="E975" s="199" t="str">
        <f t="array" ref="E975">IF(B975="","",IFERROR(INDEX('FUNCIONÁRIOS'!$E$4:$E$501,MATCH(B975,'FUNCIONÁRIOS'!$C$4:$C$501,0)),""))</f>
        <v/>
      </c>
      <c r="F975" s="138">
        <v>46170.0</v>
      </c>
      <c r="G975" s="115" t="str">
        <f t="shared" si="53"/>
        <v>✅ 08:56</v>
      </c>
      <c r="H975" s="174" t="s">
        <v>1670</v>
      </c>
      <c r="I975" s="117" t="str">
        <f t="shared" si="48"/>
        <v>→ Selecione a linha e use o menu ⏱️ Ponto</v>
      </c>
      <c r="J975" s="180"/>
      <c r="K975" s="179"/>
      <c r="L975" s="119" t="str">
        <f t="shared" si="49"/>
        <v>🟢 No Evento</v>
      </c>
    </row>
    <row r="976" ht="15.75" customHeight="1">
      <c r="A976" s="13"/>
      <c r="B976" s="173" t="s">
        <v>1130</v>
      </c>
      <c r="C976" s="199" t="str">
        <f t="array" ref="C976">IF(B976="","",IFERROR(INDEX('FUNCIONÁRIOS'!$B$4:$B$501,MATCH(B976,'FUNCIONÁRIOS'!$C$4:$C$501,0)),""))</f>
        <v/>
      </c>
      <c r="D976" s="199" t="str">
        <f t="array" ref="D976">IF(B976="","",IFERROR(INDEX('FUNCIONÁRIOS'!$D$4:$D$501,MATCH(B976,'FUNCIONÁRIOS'!$C$4:$C$501,0)),""))</f>
        <v/>
      </c>
      <c r="E976" s="199" t="str">
        <f t="array" ref="E976">IF(B976="","",IFERROR(INDEX('FUNCIONÁRIOS'!$E$4:$E$501,MATCH(B976,'FUNCIONÁRIOS'!$C$4:$C$501,0)),""))</f>
        <v/>
      </c>
      <c r="F976" s="138">
        <v>46170.0</v>
      </c>
      <c r="G976" s="115" t="str">
        <f t="shared" si="53"/>
        <v>✅ 08:56</v>
      </c>
      <c r="H976" s="174" t="s">
        <v>1670</v>
      </c>
      <c r="I976" s="117" t="str">
        <f t="shared" si="48"/>
        <v>→ Selecione a linha e use o menu ⏱️ Ponto</v>
      </c>
      <c r="J976" s="180"/>
      <c r="K976" s="179"/>
      <c r="L976" s="119" t="str">
        <f t="shared" si="49"/>
        <v>🟢 No Evento</v>
      </c>
    </row>
    <row r="977" ht="15.75" customHeight="1">
      <c r="A977" s="13"/>
      <c r="B977" s="173" t="s">
        <v>1278</v>
      </c>
      <c r="C977" s="199" t="str">
        <f t="array" ref="C977">IF(B977="","",IFERROR(INDEX('FUNCIONÁRIOS'!$B$4:$B$501,MATCH(B977,'FUNCIONÁRIOS'!$C$4:$C$501,0)),""))</f>
        <v/>
      </c>
      <c r="D977" s="199" t="str">
        <f t="array" ref="D977">IF(B977="","",IFERROR(INDEX('FUNCIONÁRIOS'!$D$4:$D$501,MATCH(B977,'FUNCIONÁRIOS'!$C$4:$C$501,0)),""))</f>
        <v/>
      </c>
      <c r="E977" s="199" t="str">
        <f t="array" ref="E977">IF(B977="","",IFERROR(INDEX('FUNCIONÁRIOS'!$E$4:$E$501,MATCH(B977,'FUNCIONÁRIOS'!$C$4:$C$501,0)),""))</f>
        <v/>
      </c>
      <c r="F977" s="138">
        <v>46170.0</v>
      </c>
      <c r="G977" s="115" t="str">
        <f t="shared" si="53"/>
        <v>✅ 08:57</v>
      </c>
      <c r="H977" s="174" t="s">
        <v>1672</v>
      </c>
      <c r="I977" s="117" t="str">
        <f t="shared" si="48"/>
        <v>→ Selecione a linha e use o menu ⏱️ Ponto</v>
      </c>
      <c r="J977" s="180"/>
      <c r="K977" s="179"/>
      <c r="L977" s="119" t="str">
        <f t="shared" si="49"/>
        <v>🟢 No Evento</v>
      </c>
    </row>
    <row r="978" ht="15.75" customHeight="1">
      <c r="A978" s="13"/>
      <c r="B978" s="173" t="s">
        <v>625</v>
      </c>
      <c r="C978" s="199" t="str">
        <f t="array" ref="C978">IF(B978="","",IFERROR(INDEX('FUNCIONÁRIOS'!$B$4:$B$501,MATCH(B978,'FUNCIONÁRIOS'!$C$4:$C$501,0)),""))</f>
        <v>STUDIO K MULTI EVENTOS LTDA </v>
      </c>
      <c r="D978" s="199" t="str">
        <f t="array" ref="D978">IF(B978="","",IFERROR(INDEX('FUNCIONÁRIOS'!$D$4:$D$501,MATCH(B978,'FUNCIONÁRIOS'!$C$4:$C$501,0)),""))</f>
        <v>TECNICO EM SONORIZAÇÃO</v>
      </c>
      <c r="E978" s="199" t="str">
        <f t="array" ref="E978">IF(B978="","",IFERROR(INDEX('FUNCIONÁRIOS'!$E$4:$E$501,MATCH(B978,'FUNCIONÁRIOS'!$C$4:$C$501,0)),""))</f>
        <v>NÃO</v>
      </c>
      <c r="F978" s="138">
        <v>46170.0</v>
      </c>
      <c r="G978" s="115" t="str">
        <f t="shared" si="53"/>
        <v>✅ 08:57</v>
      </c>
      <c r="H978" s="174" t="s">
        <v>1672</v>
      </c>
      <c r="I978" s="117" t="str">
        <f t="shared" si="48"/>
        <v>→ Selecione a linha e use o menu ⏱️ Ponto</v>
      </c>
      <c r="J978" s="180"/>
      <c r="K978" s="179"/>
      <c r="L978" s="119" t="str">
        <f t="shared" si="49"/>
        <v>🟢 No Evento</v>
      </c>
    </row>
    <row r="979" ht="15.75" customHeight="1">
      <c r="A979" s="13"/>
      <c r="B979" s="173" t="s">
        <v>1496</v>
      </c>
      <c r="C979" s="199" t="str">
        <f t="array" ref="C979">IF(B979="","",IFERROR(INDEX('FUNCIONÁRIOS'!$B$4:$B$501,MATCH(B979,'FUNCIONÁRIOS'!$C$4:$C$501,0)),""))</f>
        <v/>
      </c>
      <c r="D979" s="199" t="str">
        <f t="array" ref="D979">IF(B979="","",IFERROR(INDEX('FUNCIONÁRIOS'!$D$4:$D$501,MATCH(B979,'FUNCIONÁRIOS'!$C$4:$C$501,0)),""))</f>
        <v/>
      </c>
      <c r="E979" s="199" t="str">
        <f t="array" ref="E979">IF(B979="","",IFERROR(INDEX('FUNCIONÁRIOS'!$E$4:$E$501,MATCH(B979,'FUNCIONÁRIOS'!$C$4:$C$501,0)),""))</f>
        <v/>
      </c>
      <c r="F979" s="138">
        <v>46170.0</v>
      </c>
      <c r="G979" s="225" t="s">
        <v>1957</v>
      </c>
      <c r="H979" s="174" t="s">
        <v>1672</v>
      </c>
      <c r="I979" s="117" t="str">
        <f t="shared" si="48"/>
        <v>→ Selecione a linha e use o menu ⏱️ Ponto</v>
      </c>
      <c r="J979" s="180"/>
      <c r="K979" s="179"/>
      <c r="L979" s="119" t="str">
        <f t="shared" si="49"/>
        <v>🟢 No Evento</v>
      </c>
    </row>
    <row r="980" ht="15.75" customHeight="1">
      <c r="A980" s="13"/>
      <c r="B980" s="173" t="s">
        <v>638</v>
      </c>
      <c r="C980" s="199" t="str">
        <f t="array" ref="C980">IF(B980="","",IFERROR(INDEX('FUNCIONÁRIOS'!$B$4:$B$501,MATCH(B980,'FUNCIONÁRIOS'!$C$4:$C$501,0)),""))</f>
        <v>STUDIO K MULTI EVENTOS LTDA </v>
      </c>
      <c r="D980" s="199" t="str">
        <f t="array" ref="D980">IF(B980="","",IFERROR(INDEX('FUNCIONÁRIOS'!$D$4:$D$501,MATCH(B980,'FUNCIONÁRIOS'!$C$4:$C$501,0)),""))</f>
        <v>TECNICO EM SONORIZAÇÃO</v>
      </c>
      <c r="E980" s="199" t="str">
        <f t="array" ref="E980">IF(B980="","",IFERROR(INDEX('FUNCIONÁRIOS'!$E$4:$E$501,MATCH(B980,'FUNCIONÁRIOS'!$C$4:$C$501,0)),""))</f>
        <v>NÃO</v>
      </c>
      <c r="F980" s="138">
        <v>46170.0</v>
      </c>
      <c r="G980" s="115" t="str">
        <f t="shared" ref="G980:G1134" si="54">IF(H980&lt;&gt;"","✅ "&amp;TEXT(H980,"HH:MM"),"→ Selecione a linha e use o menu ⏱️ Ponto")</f>
        <v>✅ 08:58</v>
      </c>
      <c r="H980" s="174" t="s">
        <v>1673</v>
      </c>
      <c r="I980" s="117" t="str">
        <f t="shared" si="48"/>
        <v>→ Selecione a linha e use o menu ⏱️ Ponto</v>
      </c>
      <c r="J980" s="180"/>
      <c r="K980" s="179"/>
      <c r="L980" s="119" t="str">
        <f t="shared" si="49"/>
        <v>🟢 No Evento</v>
      </c>
    </row>
    <row r="981" ht="15.75" customHeight="1">
      <c r="A981" s="13"/>
      <c r="B981" s="173" t="s">
        <v>1457</v>
      </c>
      <c r="C981" s="199" t="str">
        <f t="array" ref="C981">IF(B981="","",IFERROR(INDEX('FUNCIONÁRIOS'!$B$4:$B$501,MATCH(B981,'FUNCIONÁRIOS'!$C$4:$C$501,0)),""))</f>
        <v/>
      </c>
      <c r="D981" s="199" t="str">
        <f t="array" ref="D981">IF(B981="","",IFERROR(INDEX('FUNCIONÁRIOS'!$D$4:$D$501,MATCH(B981,'FUNCIONÁRIOS'!$C$4:$C$501,0)),""))</f>
        <v/>
      </c>
      <c r="E981" s="199" t="str">
        <f t="array" ref="E981">IF(B981="","",IFERROR(INDEX('FUNCIONÁRIOS'!$E$4:$E$501,MATCH(B981,'FUNCIONÁRIOS'!$C$4:$C$501,0)),""))</f>
        <v/>
      </c>
      <c r="F981" s="138">
        <v>46170.0</v>
      </c>
      <c r="G981" s="115" t="str">
        <f t="shared" si="54"/>
        <v>✅ 09:02</v>
      </c>
      <c r="H981" s="174" t="s">
        <v>1794</v>
      </c>
      <c r="I981" s="117" t="str">
        <f t="shared" si="48"/>
        <v>✅ 09:02</v>
      </c>
      <c r="J981" s="174" t="s">
        <v>1794</v>
      </c>
      <c r="K981" s="175">
        <v>0.0</v>
      </c>
      <c r="L981" s="119" t="str">
        <f t="shared" si="49"/>
        <v>✅ Finalizado</v>
      </c>
    </row>
    <row r="982" ht="15.75" customHeight="1">
      <c r="A982" s="13"/>
      <c r="B982" s="173" t="s">
        <v>631</v>
      </c>
      <c r="C982" s="199" t="str">
        <f t="array" ref="C982">IF(B982="","",IFERROR(INDEX('FUNCIONÁRIOS'!$B$4:$B$501,MATCH(B982,'FUNCIONÁRIOS'!$C$4:$C$501,0)),""))</f>
        <v>STUDIO K MULTI EVENTOS LTDA </v>
      </c>
      <c r="D982" s="199" t="str">
        <f t="array" ref="D982">IF(B982="","",IFERROR(INDEX('FUNCIONÁRIOS'!$D$4:$D$501,MATCH(B982,'FUNCIONÁRIOS'!$C$4:$C$501,0)),""))</f>
        <v>TECNICO EM SONORIZAÇÃO</v>
      </c>
      <c r="E982" s="199" t="str">
        <f t="array" ref="E982">IF(B982="","",IFERROR(INDEX('FUNCIONÁRIOS'!$E$4:$E$501,MATCH(B982,'FUNCIONÁRIOS'!$C$4:$C$501,0)),""))</f>
        <v>NÃO</v>
      </c>
      <c r="F982" s="138">
        <v>46170.0</v>
      </c>
      <c r="G982" s="115" t="str">
        <f t="shared" si="54"/>
        <v>✅ 09:03</v>
      </c>
      <c r="H982" s="174" t="s">
        <v>1887</v>
      </c>
      <c r="I982" s="117" t="str">
        <f t="shared" si="48"/>
        <v>→ Selecione a linha e use o menu ⏱️ Ponto</v>
      </c>
      <c r="J982" s="180"/>
      <c r="K982" s="179"/>
      <c r="L982" s="119" t="str">
        <f t="shared" si="49"/>
        <v>🟢 No Evento</v>
      </c>
    </row>
    <row r="983" ht="15.75" customHeight="1">
      <c r="A983" s="13"/>
      <c r="B983" s="173" t="s">
        <v>640</v>
      </c>
      <c r="C983" s="199" t="str">
        <f t="array" ref="C983">IF(B983="","",IFERROR(INDEX('FUNCIONÁRIOS'!$B$4:$B$501,MATCH(B983,'FUNCIONÁRIOS'!$C$4:$C$501,0)),""))</f>
        <v>STUDIO K MULTI EVENTOS LTDA </v>
      </c>
      <c r="D983" s="199" t="str">
        <f t="array" ref="D983">IF(B983="","",IFERROR(INDEX('FUNCIONÁRIOS'!$D$4:$D$501,MATCH(B983,'FUNCIONÁRIOS'!$C$4:$C$501,0)),""))</f>
        <v>TECNICO EM SONORIZAÇÃO</v>
      </c>
      <c r="E983" s="199" t="str">
        <f t="array" ref="E983">IF(B983="","",IFERROR(INDEX('FUNCIONÁRIOS'!$E$4:$E$501,MATCH(B983,'FUNCIONÁRIOS'!$C$4:$C$501,0)),""))</f>
        <v>NÃO</v>
      </c>
      <c r="F983" s="138">
        <v>46170.0</v>
      </c>
      <c r="G983" s="115" t="str">
        <f t="shared" si="54"/>
        <v>✅ 09:06</v>
      </c>
      <c r="H983" s="174" t="s">
        <v>1650</v>
      </c>
      <c r="I983" s="117" t="str">
        <f t="shared" si="48"/>
        <v>→ Selecione a linha e use o menu ⏱️ Ponto</v>
      </c>
      <c r="J983" s="180"/>
      <c r="K983" s="179"/>
      <c r="L983" s="119" t="str">
        <f t="shared" si="49"/>
        <v>🟢 No Evento</v>
      </c>
    </row>
    <row r="984" ht="15.75" customHeight="1">
      <c r="A984" s="13"/>
      <c r="B984" s="173" t="s">
        <v>1497</v>
      </c>
      <c r="C984" s="199" t="str">
        <f t="array" ref="C984">IF(B984="","",IFERROR(INDEX('FUNCIONÁRIOS'!$B$4:$B$501,MATCH(B984,'FUNCIONÁRIOS'!$C$4:$C$501,0)),""))</f>
        <v/>
      </c>
      <c r="D984" s="199" t="str">
        <f t="array" ref="D984">IF(B984="","",IFERROR(INDEX('FUNCIONÁRIOS'!$D$4:$D$501,MATCH(B984,'FUNCIONÁRIOS'!$C$4:$C$501,0)),""))</f>
        <v/>
      </c>
      <c r="E984" s="199" t="str">
        <f t="array" ref="E984">IF(B984="","",IFERROR(INDEX('FUNCIONÁRIOS'!$E$4:$E$501,MATCH(B984,'FUNCIONÁRIOS'!$C$4:$C$501,0)),""))</f>
        <v/>
      </c>
      <c r="F984" s="138">
        <v>46170.0</v>
      </c>
      <c r="G984" s="115" t="str">
        <f t="shared" si="54"/>
        <v>✅ 09:08</v>
      </c>
      <c r="H984" s="174" t="s">
        <v>1678</v>
      </c>
      <c r="I984" s="117" t="str">
        <f t="shared" si="48"/>
        <v>→ Selecione a linha e use o menu ⏱️ Ponto</v>
      </c>
      <c r="J984" s="180"/>
      <c r="K984" s="179"/>
      <c r="L984" s="119" t="str">
        <f t="shared" si="49"/>
        <v>🟢 No Evento</v>
      </c>
    </row>
    <row r="985" ht="15.75" customHeight="1">
      <c r="A985" s="13"/>
      <c r="B985" s="173" t="s">
        <v>1498</v>
      </c>
      <c r="C985" s="199" t="str">
        <f t="array" ref="C985">IF(B985="","",IFERROR(INDEX('FUNCIONÁRIOS'!$B$4:$B$501,MATCH(B985,'FUNCIONÁRIOS'!$C$4:$C$501,0)),""))</f>
        <v/>
      </c>
      <c r="D985" s="199" t="str">
        <f t="array" ref="D985">IF(B985="","",IFERROR(INDEX('FUNCIONÁRIOS'!$D$4:$D$501,MATCH(B985,'FUNCIONÁRIOS'!$C$4:$C$501,0)),""))</f>
        <v/>
      </c>
      <c r="E985" s="199" t="str">
        <f t="array" ref="E985">IF(B985="","",IFERROR(INDEX('FUNCIONÁRIOS'!$E$4:$E$501,MATCH(B985,'FUNCIONÁRIOS'!$C$4:$C$501,0)),""))</f>
        <v/>
      </c>
      <c r="F985" s="138">
        <v>46170.0</v>
      </c>
      <c r="G985" s="115" t="str">
        <f t="shared" si="54"/>
        <v>✅ 09:10</v>
      </c>
      <c r="H985" s="174" t="s">
        <v>1681</v>
      </c>
      <c r="I985" s="117" t="str">
        <f t="shared" si="48"/>
        <v>→ Selecione a linha e use o menu ⏱️ Ponto</v>
      </c>
      <c r="J985" s="180"/>
      <c r="K985" s="179"/>
      <c r="L985" s="119" t="str">
        <f t="shared" si="49"/>
        <v>🟢 No Evento</v>
      </c>
    </row>
    <row r="986" ht="15.75" customHeight="1">
      <c r="A986" s="13"/>
      <c r="B986" s="173" t="s">
        <v>1499</v>
      </c>
      <c r="C986" s="199" t="str">
        <f t="array" ref="C986">IF(B986="","",IFERROR(INDEX('FUNCIONÁRIOS'!$B$4:$B$501,MATCH(B986,'FUNCIONÁRIOS'!$C$4:$C$501,0)),""))</f>
        <v/>
      </c>
      <c r="D986" s="199" t="str">
        <f t="array" ref="D986">IF(B986="","",IFERROR(INDEX('FUNCIONÁRIOS'!$D$4:$D$501,MATCH(B986,'FUNCIONÁRIOS'!$C$4:$C$501,0)),""))</f>
        <v/>
      </c>
      <c r="E986" s="199" t="str">
        <f t="array" ref="E986">IF(B986="","",IFERROR(INDEX('FUNCIONÁRIOS'!$E$4:$E$501,MATCH(B986,'FUNCIONÁRIOS'!$C$4:$C$501,0)),""))</f>
        <v/>
      </c>
      <c r="F986" s="138">
        <v>46170.0</v>
      </c>
      <c r="G986" s="115" t="str">
        <f t="shared" si="54"/>
        <v>✅ 09:11</v>
      </c>
      <c r="H986" s="174" t="s">
        <v>1683</v>
      </c>
      <c r="I986" s="117" t="str">
        <f t="shared" si="48"/>
        <v>→ Selecione a linha e use o menu ⏱️ Ponto</v>
      </c>
      <c r="J986" s="180"/>
      <c r="K986" s="179"/>
      <c r="L986" s="119" t="str">
        <f t="shared" si="49"/>
        <v>🟢 No Evento</v>
      </c>
    </row>
    <row r="987" ht="15.75" customHeight="1">
      <c r="A987" s="13"/>
      <c r="B987" s="173" t="s">
        <v>629</v>
      </c>
      <c r="C987" s="199" t="str">
        <f t="array" ref="C987">IF(B987="","",IFERROR(INDEX('FUNCIONÁRIOS'!$B$4:$B$501,MATCH(B987,'FUNCIONÁRIOS'!$C$4:$C$501,0)),""))</f>
        <v>STUDIO K MULTI EVENTOS LTDA </v>
      </c>
      <c r="D987" s="199" t="str">
        <f t="array" ref="D987">IF(B987="","",IFERROR(INDEX('FUNCIONÁRIOS'!$D$4:$D$501,MATCH(B987,'FUNCIONÁRIOS'!$C$4:$C$501,0)),""))</f>
        <v>TECNICO EM SONORIZAÇÃO</v>
      </c>
      <c r="E987" s="199" t="str">
        <f t="array" ref="E987">IF(B987="","",IFERROR(INDEX('FUNCIONÁRIOS'!$E$4:$E$501,MATCH(B987,'FUNCIONÁRIOS'!$C$4:$C$501,0)),""))</f>
        <v>NÃO</v>
      </c>
      <c r="F987" s="138">
        <v>46170.0</v>
      </c>
      <c r="G987" s="115" t="str">
        <f t="shared" si="54"/>
        <v>✅ 09:11</v>
      </c>
      <c r="H987" s="174" t="s">
        <v>1683</v>
      </c>
      <c r="I987" s="117" t="str">
        <f t="shared" si="48"/>
        <v>→ Selecione a linha e use o menu ⏱️ Ponto</v>
      </c>
      <c r="J987" s="180"/>
      <c r="K987" s="179"/>
      <c r="L987" s="119" t="str">
        <f t="shared" si="49"/>
        <v>🟢 No Evento</v>
      </c>
    </row>
    <row r="988" ht="15.75" customHeight="1">
      <c r="A988" s="13"/>
      <c r="B988" s="173" t="s">
        <v>649</v>
      </c>
      <c r="C988" s="199" t="str">
        <f t="array" ref="C988">IF(B988="","",IFERROR(INDEX('FUNCIONÁRIOS'!$B$4:$B$501,MATCH(B988,'FUNCIONÁRIOS'!$C$4:$C$501,0)),""))</f>
        <v>STUDIO K MULTI EVENTOS LTDA </v>
      </c>
      <c r="D988" s="199" t="str">
        <f t="array" ref="D988">IF(B988="","",IFERROR(INDEX('FUNCIONÁRIOS'!$D$4:$D$501,MATCH(B988,'FUNCIONÁRIOS'!$C$4:$C$501,0)),""))</f>
        <v>TECNICO EM SONORIZAÇÃO</v>
      </c>
      <c r="E988" s="199" t="str">
        <f t="array" ref="E988">IF(B988="","",IFERROR(INDEX('FUNCIONÁRIOS'!$E$4:$E$501,MATCH(B988,'FUNCIONÁRIOS'!$C$4:$C$501,0)),""))</f>
        <v>NÃO</v>
      </c>
      <c r="F988" s="138">
        <v>46170.0</v>
      </c>
      <c r="G988" s="115" t="str">
        <f t="shared" si="54"/>
        <v>✅ 09:12</v>
      </c>
      <c r="H988" s="174" t="s">
        <v>1684</v>
      </c>
      <c r="I988" s="117" t="str">
        <f t="shared" si="48"/>
        <v>→ Selecione a linha e use o menu ⏱️ Ponto</v>
      </c>
      <c r="J988" s="180"/>
      <c r="K988" s="179"/>
      <c r="L988" s="119" t="str">
        <f t="shared" si="49"/>
        <v>🟢 No Evento</v>
      </c>
    </row>
    <row r="989" ht="15.75" customHeight="1">
      <c r="A989" s="13"/>
      <c r="B989" s="173" t="s">
        <v>647</v>
      </c>
      <c r="C989" s="199" t="str">
        <f t="array" ref="C989">IF(B989="","",IFERROR(INDEX('FUNCIONÁRIOS'!$B$4:$B$501,MATCH(B989,'FUNCIONÁRIOS'!$C$4:$C$501,0)),""))</f>
        <v>STUDIO K MULTI EVENTOS LTDA </v>
      </c>
      <c r="D989" s="199" t="str">
        <f t="array" ref="D989">IF(B989="","",IFERROR(INDEX('FUNCIONÁRIOS'!$D$4:$D$501,MATCH(B989,'FUNCIONÁRIOS'!$C$4:$C$501,0)),""))</f>
        <v>TECNICO EM SONORIZAÇÃO</v>
      </c>
      <c r="E989" s="199" t="str">
        <f t="array" ref="E989">IF(B989="","",IFERROR(INDEX('FUNCIONÁRIOS'!$E$4:$E$501,MATCH(B989,'FUNCIONÁRIOS'!$C$4:$C$501,0)),""))</f>
        <v>NÃO</v>
      </c>
      <c r="F989" s="138">
        <v>46170.0</v>
      </c>
      <c r="G989" s="115" t="str">
        <f t="shared" si="54"/>
        <v>✅ 09:12</v>
      </c>
      <c r="H989" s="174" t="s">
        <v>1684</v>
      </c>
      <c r="I989" s="117" t="str">
        <f t="shared" si="48"/>
        <v>→ Selecione a linha e use o menu ⏱️ Ponto</v>
      </c>
      <c r="J989" s="180"/>
      <c r="K989" s="179"/>
      <c r="L989" s="119" t="str">
        <f t="shared" si="49"/>
        <v>🟢 No Evento</v>
      </c>
    </row>
    <row r="990" ht="15.75" customHeight="1">
      <c r="A990" s="13"/>
      <c r="B990" s="173" t="s">
        <v>1051</v>
      </c>
      <c r="C990" s="199" t="str">
        <f t="array" ref="C990">IF(B990="","",IFERROR(INDEX('FUNCIONÁRIOS'!$B$4:$B$501,MATCH(B990,'FUNCIONÁRIOS'!$C$4:$C$501,0)),""))</f>
        <v/>
      </c>
      <c r="D990" s="199" t="str">
        <f t="array" ref="D990">IF(B990="","",IFERROR(INDEX('FUNCIONÁRIOS'!$D$4:$D$501,MATCH(B990,'FUNCIONÁRIOS'!$C$4:$C$501,0)),""))</f>
        <v/>
      </c>
      <c r="E990" s="199" t="str">
        <f t="array" ref="E990">IF(B990="","",IFERROR(INDEX('FUNCIONÁRIOS'!$E$4:$E$501,MATCH(B990,'FUNCIONÁRIOS'!$C$4:$C$501,0)),""))</f>
        <v/>
      </c>
      <c r="F990" s="138">
        <v>46170.0</v>
      </c>
      <c r="G990" s="115" t="str">
        <f t="shared" si="54"/>
        <v>✅ 09:12</v>
      </c>
      <c r="H990" s="174" t="s">
        <v>1684</v>
      </c>
      <c r="I990" s="117" t="str">
        <f t="shared" si="48"/>
        <v>→ Selecione a linha e use o menu ⏱️ Ponto</v>
      </c>
      <c r="J990" s="180"/>
      <c r="K990" s="179"/>
      <c r="L990" s="119" t="str">
        <f t="shared" si="49"/>
        <v>🟢 No Evento</v>
      </c>
    </row>
    <row r="991" ht="15.75" customHeight="1">
      <c r="A991" s="13"/>
      <c r="B991" s="173" t="s">
        <v>1466</v>
      </c>
      <c r="C991" s="199" t="str">
        <f t="array" ref="C991">IF(B991="","",IFERROR(INDEX('FUNCIONÁRIOS'!$B$4:$B$501,MATCH(B991,'FUNCIONÁRIOS'!$C$4:$C$501,0)),""))</f>
        <v/>
      </c>
      <c r="D991" s="199" t="str">
        <f t="array" ref="D991">IF(B991="","",IFERROR(INDEX('FUNCIONÁRIOS'!$D$4:$D$501,MATCH(B991,'FUNCIONÁRIOS'!$C$4:$C$501,0)),""))</f>
        <v/>
      </c>
      <c r="E991" s="199" t="str">
        <f t="array" ref="E991">IF(B991="","",IFERROR(INDEX('FUNCIONÁRIOS'!$E$4:$E$501,MATCH(B991,'FUNCIONÁRIOS'!$C$4:$C$501,0)),""))</f>
        <v/>
      </c>
      <c r="F991" s="138">
        <v>46170.0</v>
      </c>
      <c r="G991" s="115" t="str">
        <f t="shared" si="54"/>
        <v>✅ 09:13</v>
      </c>
      <c r="H991" s="174" t="s">
        <v>1796</v>
      </c>
      <c r="I991" s="117" t="str">
        <f t="shared" si="48"/>
        <v>→ Selecione a linha e use o menu ⏱️ Ponto</v>
      </c>
      <c r="J991" s="180"/>
      <c r="K991" s="179"/>
      <c r="L991" s="119" t="str">
        <f t="shared" si="49"/>
        <v>🟢 No Evento</v>
      </c>
    </row>
    <row r="992" ht="15.75" customHeight="1">
      <c r="A992" s="13"/>
      <c r="B992" s="173" t="s">
        <v>1222</v>
      </c>
      <c r="C992" s="199" t="str">
        <f t="array" ref="C992">IF(B992="","",IFERROR(INDEX('FUNCIONÁRIOS'!$B$4:$B$501,MATCH(B992,'FUNCIONÁRIOS'!$C$4:$C$501,0)),""))</f>
        <v/>
      </c>
      <c r="D992" s="199" t="str">
        <f t="array" ref="D992">IF(B992="","",IFERROR(INDEX('FUNCIONÁRIOS'!$D$4:$D$501,MATCH(B992,'FUNCIONÁRIOS'!$C$4:$C$501,0)),""))</f>
        <v/>
      </c>
      <c r="E992" s="199" t="str">
        <f t="array" ref="E992">IF(B992="","",IFERROR(INDEX('FUNCIONÁRIOS'!$E$4:$E$501,MATCH(B992,'FUNCIONÁRIOS'!$C$4:$C$501,0)),""))</f>
        <v/>
      </c>
      <c r="F992" s="138">
        <v>46170.0</v>
      </c>
      <c r="G992" s="115" t="str">
        <f t="shared" si="54"/>
        <v>✅ 09:13</v>
      </c>
      <c r="H992" s="174" t="s">
        <v>1796</v>
      </c>
      <c r="I992" s="117" t="str">
        <f t="shared" si="48"/>
        <v>→ Selecione a linha e use o menu ⏱️ Ponto</v>
      </c>
      <c r="J992" s="180"/>
      <c r="K992" s="179"/>
      <c r="L992" s="119" t="str">
        <f t="shared" si="49"/>
        <v>🟢 No Evento</v>
      </c>
    </row>
    <row r="993" ht="15.75" customHeight="1">
      <c r="A993" s="13"/>
      <c r="B993" s="173" t="s">
        <v>642</v>
      </c>
      <c r="C993" s="199" t="str">
        <f t="array" ref="C993">IF(B993="","",IFERROR(INDEX('FUNCIONÁRIOS'!$B$4:$B$501,MATCH(B993,'FUNCIONÁRIOS'!$C$4:$C$501,0)),""))</f>
        <v>STUDIO K MULTI EVENTOS LTDA </v>
      </c>
      <c r="D993" s="199" t="str">
        <f t="array" ref="D993">IF(B993="","",IFERROR(INDEX('FUNCIONÁRIOS'!$D$4:$D$501,MATCH(B993,'FUNCIONÁRIOS'!$C$4:$C$501,0)),""))</f>
        <v>TECNICO EM SONORIZAÇÃO</v>
      </c>
      <c r="E993" s="199" t="str">
        <f t="array" ref="E993">IF(B993="","",IFERROR(INDEX('FUNCIONÁRIOS'!$E$4:$E$501,MATCH(B993,'FUNCIONÁRIOS'!$C$4:$C$501,0)),""))</f>
        <v>NÃO</v>
      </c>
      <c r="F993" s="138">
        <v>46170.0</v>
      </c>
      <c r="G993" s="115" t="str">
        <f t="shared" si="54"/>
        <v>✅ 09:14</v>
      </c>
      <c r="H993" s="174" t="s">
        <v>1958</v>
      </c>
      <c r="I993" s="117" t="str">
        <f t="shared" si="48"/>
        <v>→ Selecione a linha e use o menu ⏱️ Ponto</v>
      </c>
      <c r="J993" s="180"/>
      <c r="K993" s="179"/>
      <c r="L993" s="119" t="str">
        <f t="shared" si="49"/>
        <v>🟢 No Evento</v>
      </c>
    </row>
    <row r="994" ht="15.75" customHeight="1">
      <c r="A994" s="13"/>
      <c r="B994" s="173" t="s">
        <v>453</v>
      </c>
      <c r="C994" s="199" t="str">
        <f t="array" ref="C994">IF(B994="","",IFERROR(INDEX('FUNCIONÁRIOS'!$B$4:$B$501,MATCH(B994,'FUNCIONÁRIOS'!$C$4:$C$501,0)),""))</f>
        <v>GYN EVENTS</v>
      </c>
      <c r="D994" s="199" t="str">
        <f t="array" ref="D994">IF(B994="","",IFERROR(INDEX('FUNCIONÁRIOS'!$D$4:$D$501,MATCH(B994,'FUNCIONÁRIOS'!$C$4:$C$501,0)),""))</f>
        <v>Carregador</v>
      </c>
      <c r="E994" s="199" t="str">
        <f t="array" ref="E994">IF(B994="","",IFERROR(INDEX('FUNCIONÁRIOS'!$E$4:$E$501,MATCH(B994,'FUNCIONÁRIOS'!$C$4:$C$501,0)),""))</f>
        <v>SIM</v>
      </c>
      <c r="F994" s="138">
        <v>46170.0</v>
      </c>
      <c r="G994" s="115" t="str">
        <f t="shared" si="54"/>
        <v>✅ 09:14</v>
      </c>
      <c r="H994" s="174" t="s">
        <v>1958</v>
      </c>
      <c r="I994" s="117" t="str">
        <f t="shared" si="48"/>
        <v>→ Selecione a linha e use o menu ⏱️ Ponto</v>
      </c>
      <c r="J994" s="180"/>
      <c r="K994" s="179"/>
      <c r="L994" s="119" t="str">
        <f t="shared" si="49"/>
        <v>🟢 No Evento</v>
      </c>
    </row>
    <row r="995" ht="15.75" customHeight="1">
      <c r="A995" s="13"/>
      <c r="B995" s="173" t="s">
        <v>712</v>
      </c>
      <c r="C995" s="199" t="str">
        <f t="array" ref="C995">IF(B995="","",IFERROR(INDEX('FUNCIONÁRIOS'!$B$4:$B$501,MATCH(B995,'FUNCIONÁRIOS'!$C$4:$C$501,0)),""))</f>
        <v>LATINO </v>
      </c>
      <c r="D995" s="199" t="str">
        <f t="array" ref="D995">IF(B995="","",IFERROR(INDEX('FUNCIONÁRIOS'!$D$4:$D$501,MATCH(B995,'FUNCIONÁRIOS'!$C$4:$C$501,0)),""))</f>
        <v>MONTADOR </v>
      </c>
      <c r="E995" s="199" t="str">
        <f t="array" ref="E995">IF(B995="","",IFERROR(INDEX('FUNCIONÁRIOS'!$E$4:$E$501,MATCH(B995,'FUNCIONÁRIOS'!$C$4:$C$501,0)),""))</f>
        <v>NÃO</v>
      </c>
      <c r="F995" s="138">
        <v>46170.0</v>
      </c>
      <c r="G995" s="115" t="str">
        <f t="shared" si="54"/>
        <v>✅ 09:15</v>
      </c>
      <c r="H995" s="174" t="s">
        <v>1685</v>
      </c>
      <c r="I995" s="117" t="str">
        <f t="shared" si="48"/>
        <v>→ Selecione a linha e use o menu ⏱️ Ponto</v>
      </c>
      <c r="J995" s="180"/>
      <c r="K995" s="179"/>
      <c r="L995" s="119" t="str">
        <f t="shared" si="49"/>
        <v>🟢 No Evento</v>
      </c>
    </row>
    <row r="996" ht="15.75" customHeight="1">
      <c r="A996" s="13"/>
      <c r="B996" s="173" t="s">
        <v>1255</v>
      </c>
      <c r="C996" s="199" t="str">
        <f t="array" ref="C996">IF(B996="","",IFERROR(INDEX('FUNCIONÁRIOS'!$B$4:$B$501,MATCH(B996,'FUNCIONÁRIOS'!$C$4:$C$501,0)),""))</f>
        <v/>
      </c>
      <c r="D996" s="199" t="str">
        <f t="array" ref="D996">IF(B996="","",IFERROR(INDEX('FUNCIONÁRIOS'!$D$4:$D$501,MATCH(B996,'FUNCIONÁRIOS'!$C$4:$C$501,0)),""))</f>
        <v/>
      </c>
      <c r="E996" s="199" t="str">
        <f t="array" ref="E996">IF(B996="","",IFERROR(INDEX('FUNCIONÁRIOS'!$E$4:$E$501,MATCH(B996,'FUNCIONÁRIOS'!$C$4:$C$501,0)),""))</f>
        <v/>
      </c>
      <c r="F996" s="138">
        <v>46170.0</v>
      </c>
      <c r="G996" s="115" t="str">
        <f t="shared" si="54"/>
        <v>✅ 09:15</v>
      </c>
      <c r="H996" s="174" t="s">
        <v>1685</v>
      </c>
      <c r="I996" s="117" t="str">
        <f t="shared" si="48"/>
        <v>→ Selecione a linha e use o menu ⏱️ Ponto</v>
      </c>
      <c r="J996" s="180"/>
      <c r="K996" s="179"/>
      <c r="L996" s="119" t="str">
        <f t="shared" si="49"/>
        <v>🟢 No Evento</v>
      </c>
    </row>
    <row r="997" ht="15.75" customHeight="1">
      <c r="A997" s="13"/>
      <c r="B997" s="173" t="s">
        <v>841</v>
      </c>
      <c r="C997" s="199" t="str">
        <f t="array" ref="C997">IF(B997="","",IFERROR(INDEX('FUNCIONÁRIOS'!$B$4:$B$501,MATCH(B997,'FUNCIONÁRIOS'!$C$4:$C$501,0)),""))</f>
        <v>VALADARES EVENTOS </v>
      </c>
      <c r="D997" s="199" t="str">
        <f t="array" ref="D997">IF(B997="","",IFERROR(INDEX('FUNCIONÁRIOS'!$D$4:$D$501,MATCH(B997,'FUNCIONÁRIOS'!$C$4:$C$501,0)),""))</f>
        <v>MONTAGEM</v>
      </c>
      <c r="E997" s="199" t="str">
        <f t="array" ref="E997">IF(B997="","",IFERROR(INDEX('FUNCIONÁRIOS'!$E$4:$E$501,MATCH(B997,'FUNCIONÁRIOS'!$C$4:$C$501,0)),""))</f>
        <v>NÃO</v>
      </c>
      <c r="F997" s="138">
        <v>46170.0</v>
      </c>
      <c r="G997" s="115" t="str">
        <f t="shared" si="54"/>
        <v>✅ 09:15</v>
      </c>
      <c r="H997" s="174" t="s">
        <v>1685</v>
      </c>
      <c r="I997" s="117" t="str">
        <f t="shared" si="48"/>
        <v>→ Selecione a linha e use o menu ⏱️ Ponto</v>
      </c>
      <c r="J997" s="180"/>
      <c r="K997" s="179"/>
      <c r="L997" s="119" t="str">
        <f t="shared" si="49"/>
        <v>🟢 No Evento</v>
      </c>
    </row>
    <row r="998" ht="15.75" customHeight="1">
      <c r="A998" s="13"/>
      <c r="B998" s="173" t="s">
        <v>843</v>
      </c>
      <c r="C998" s="199" t="str">
        <f t="array" ref="C998">IF(B998="","",IFERROR(INDEX('FUNCIONÁRIOS'!$B$4:$B$501,MATCH(B998,'FUNCIONÁRIOS'!$C$4:$C$501,0)),""))</f>
        <v>VALADARES EVENTOS </v>
      </c>
      <c r="D998" s="199" t="str">
        <f t="array" ref="D998">IF(B998="","",IFERROR(INDEX('FUNCIONÁRIOS'!$D$4:$D$501,MATCH(B998,'FUNCIONÁRIOS'!$C$4:$C$501,0)),""))</f>
        <v>MONTAGEM</v>
      </c>
      <c r="E998" s="199" t="str">
        <f t="array" ref="E998">IF(B998="","",IFERROR(INDEX('FUNCIONÁRIOS'!$E$4:$E$501,MATCH(B998,'FUNCIONÁRIOS'!$C$4:$C$501,0)),""))</f>
        <v>NÃO</v>
      </c>
      <c r="F998" s="138">
        <v>46170.0</v>
      </c>
      <c r="G998" s="115" t="str">
        <f t="shared" si="54"/>
        <v>✅ 09:16</v>
      </c>
      <c r="H998" s="174" t="s">
        <v>1797</v>
      </c>
      <c r="I998" s="117" t="str">
        <f t="shared" si="48"/>
        <v>→ Selecione a linha e use o menu ⏱️ Ponto</v>
      </c>
      <c r="J998" s="180"/>
      <c r="K998" s="179"/>
      <c r="L998" s="119" t="str">
        <f t="shared" si="49"/>
        <v>🟢 No Evento</v>
      </c>
    </row>
    <row r="999" ht="15.75" customHeight="1">
      <c r="A999" s="13"/>
      <c r="B999" s="173" t="s">
        <v>1256</v>
      </c>
      <c r="C999" s="199" t="str">
        <f t="array" ref="C999">IF(B999="","",IFERROR(INDEX('FUNCIONÁRIOS'!$B$4:$B$501,MATCH(B999,'FUNCIONÁRIOS'!$C$4:$C$501,0)),""))</f>
        <v/>
      </c>
      <c r="D999" s="199" t="str">
        <f t="array" ref="D999">IF(B999="","",IFERROR(INDEX('FUNCIONÁRIOS'!$D$4:$D$501,MATCH(B999,'FUNCIONÁRIOS'!$C$4:$C$501,0)),""))</f>
        <v/>
      </c>
      <c r="E999" s="199" t="str">
        <f t="array" ref="E999">IF(B999="","",IFERROR(INDEX('FUNCIONÁRIOS'!$E$4:$E$501,MATCH(B999,'FUNCIONÁRIOS'!$C$4:$C$501,0)),""))</f>
        <v/>
      </c>
      <c r="F999" s="138">
        <v>46170.0</v>
      </c>
      <c r="G999" s="115" t="str">
        <f t="shared" si="54"/>
        <v>✅ 09:16</v>
      </c>
      <c r="H999" s="174" t="s">
        <v>1797</v>
      </c>
      <c r="I999" s="117" t="str">
        <f t="shared" si="48"/>
        <v>→ Selecione a linha e use o menu ⏱️ Ponto</v>
      </c>
      <c r="J999" s="180"/>
      <c r="K999" s="179"/>
      <c r="L999" s="119" t="str">
        <f t="shared" si="49"/>
        <v>🟢 No Evento</v>
      </c>
    </row>
    <row r="1000" ht="15.75" customHeight="1">
      <c r="A1000" s="13"/>
      <c r="B1000" s="173" t="s">
        <v>713</v>
      </c>
      <c r="C1000" s="199" t="str">
        <f t="array" ref="C1000">IF(B1000="","",IFERROR(INDEX('FUNCIONÁRIOS'!$B$4:$B$501,MATCH(B1000,'FUNCIONÁRIOS'!$C$4:$C$501,0)),""))</f>
        <v>LATINO </v>
      </c>
      <c r="D1000" s="199" t="str">
        <f t="array" ref="D1000">IF(B1000="","",IFERROR(INDEX('FUNCIONÁRIOS'!$D$4:$D$501,MATCH(B1000,'FUNCIONÁRIOS'!$C$4:$C$501,0)),""))</f>
        <v>CARREGADOR </v>
      </c>
      <c r="E1000" s="199" t="str">
        <f t="array" ref="E1000">IF(B1000="","",IFERROR(INDEX('FUNCIONÁRIOS'!$E$4:$E$501,MATCH(B1000,'FUNCIONÁRIOS'!$C$4:$C$501,0)),""))</f>
        <v>NÃO</v>
      </c>
      <c r="F1000" s="138">
        <v>46170.0</v>
      </c>
      <c r="G1000" s="115" t="str">
        <f t="shared" si="54"/>
        <v>✅ 09:17</v>
      </c>
      <c r="H1000" s="174" t="s">
        <v>1798</v>
      </c>
      <c r="I1000" s="117" t="str">
        <f t="shared" si="48"/>
        <v>→ Selecione a linha e use o menu ⏱️ Ponto</v>
      </c>
      <c r="J1000" s="180"/>
      <c r="K1000" s="179"/>
      <c r="L1000" s="119" t="str">
        <f t="shared" si="49"/>
        <v>🟢 No Evento</v>
      </c>
    </row>
    <row r="1001" ht="15.75" customHeight="1">
      <c r="A1001" s="13"/>
      <c r="B1001" s="173" t="s">
        <v>1189</v>
      </c>
      <c r="C1001" s="199" t="str">
        <f t="array" ref="C1001">IF(B1001="","",IFERROR(INDEX('FUNCIONÁRIOS'!$B$4:$B$501,MATCH(B1001,'FUNCIONÁRIOS'!$C$4:$C$501,0)),""))</f>
        <v/>
      </c>
      <c r="D1001" s="199" t="str">
        <f t="array" ref="D1001">IF(B1001="","",IFERROR(INDEX('FUNCIONÁRIOS'!$D$4:$D$501,MATCH(B1001,'FUNCIONÁRIOS'!$C$4:$C$501,0)),""))</f>
        <v/>
      </c>
      <c r="E1001" s="199" t="str">
        <f t="array" ref="E1001">IF(B1001="","",IFERROR(INDEX('FUNCIONÁRIOS'!$E$4:$E$501,MATCH(B1001,'FUNCIONÁRIOS'!$C$4:$C$501,0)),""))</f>
        <v/>
      </c>
      <c r="F1001" s="138">
        <v>46170.0</v>
      </c>
      <c r="G1001" s="115" t="str">
        <f t="shared" si="54"/>
        <v>✅ 09:17</v>
      </c>
      <c r="H1001" s="174" t="s">
        <v>1798</v>
      </c>
      <c r="I1001" s="117" t="str">
        <f t="shared" si="48"/>
        <v>→ Selecione a linha e use o menu ⏱️ Ponto</v>
      </c>
      <c r="J1001" s="180"/>
      <c r="K1001" s="179"/>
      <c r="L1001" s="119" t="str">
        <f t="shared" si="49"/>
        <v>🟢 No Evento</v>
      </c>
    </row>
    <row r="1002" ht="15.75" customHeight="1">
      <c r="A1002" s="13"/>
      <c r="B1002" s="173" t="s">
        <v>1192</v>
      </c>
      <c r="C1002" s="199" t="str">
        <f t="array" ref="C1002">IF(B1002="","",IFERROR(INDEX('FUNCIONÁRIOS'!$B$4:$B$501,MATCH(B1002,'FUNCIONÁRIOS'!$C$4:$C$501,0)),""))</f>
        <v/>
      </c>
      <c r="D1002" s="199" t="str">
        <f t="array" ref="D1002">IF(B1002="","",IFERROR(INDEX('FUNCIONÁRIOS'!$D$4:$D$501,MATCH(B1002,'FUNCIONÁRIOS'!$C$4:$C$501,0)),""))</f>
        <v/>
      </c>
      <c r="E1002" s="199" t="str">
        <f t="array" ref="E1002">IF(B1002="","",IFERROR(INDEX('FUNCIONÁRIOS'!$E$4:$E$501,MATCH(B1002,'FUNCIONÁRIOS'!$C$4:$C$501,0)),""))</f>
        <v/>
      </c>
      <c r="F1002" s="138">
        <v>46170.0</v>
      </c>
      <c r="G1002" s="115" t="str">
        <f t="shared" si="54"/>
        <v>✅ 09:17</v>
      </c>
      <c r="H1002" s="174" t="s">
        <v>1798</v>
      </c>
      <c r="I1002" s="117" t="str">
        <f t="shared" si="48"/>
        <v>→ Selecione a linha e use o menu ⏱️ Ponto</v>
      </c>
      <c r="J1002" s="180"/>
      <c r="K1002" s="179"/>
      <c r="L1002" s="119" t="str">
        <f t="shared" si="49"/>
        <v>🟢 No Evento</v>
      </c>
    </row>
    <row r="1003" ht="15.75" customHeight="1">
      <c r="A1003" s="13"/>
      <c r="B1003" s="173"/>
      <c r="C1003" s="199" t="str">
        <f t="array" ref="C1003">IF(B1003="","",IFERROR(INDEX('FUNCIONÁRIOS'!$B$4:$B$501,MATCH(B1003,'FUNCIONÁRIOS'!$C$4:$C$501,0)),""))</f>
        <v/>
      </c>
      <c r="D1003" s="199" t="str">
        <f t="array" ref="D1003">IF(B1003="","",IFERROR(INDEX('FUNCIONÁRIOS'!$D$4:$D$501,MATCH(B1003,'FUNCIONÁRIOS'!$C$4:$C$501,0)),""))</f>
        <v/>
      </c>
      <c r="E1003" s="199" t="str">
        <f t="array" ref="E1003">IF(B1003="","",IFERROR(INDEX('FUNCIONÁRIOS'!$E$4:$E$501,MATCH(B1003,'FUNCIONÁRIOS'!$C$4:$C$501,0)),""))</f>
        <v/>
      </c>
      <c r="F1003" s="138">
        <v>46170.0</v>
      </c>
      <c r="G1003" s="115" t="str">
        <f t="shared" si="54"/>
        <v>→ Selecione a linha e use o menu ⏱️ Ponto</v>
      </c>
      <c r="H1003" s="174"/>
      <c r="I1003" s="117" t="str">
        <f t="shared" si="48"/>
        <v>→ Selecione a linha e use o menu ⏱️ Ponto</v>
      </c>
      <c r="J1003" s="180"/>
      <c r="K1003" s="179"/>
      <c r="L1003" s="119" t="str">
        <f t="shared" si="49"/>
        <v/>
      </c>
    </row>
    <row r="1004" ht="15.75" customHeight="1">
      <c r="A1004" s="13"/>
      <c r="B1004" s="173" t="s">
        <v>636</v>
      </c>
      <c r="C1004" s="199" t="str">
        <f t="array" ref="C1004">IF(B1004="","",IFERROR(INDEX('FUNCIONÁRIOS'!$B$4:$B$501,MATCH(B1004,'FUNCIONÁRIOS'!$C$4:$C$501,0)),""))</f>
        <v>STUDIO K MULTI EVENTOS LTDA </v>
      </c>
      <c r="D1004" s="199" t="str">
        <f t="array" ref="D1004">IF(B1004="","",IFERROR(INDEX('FUNCIONÁRIOS'!$D$4:$D$501,MATCH(B1004,'FUNCIONÁRIOS'!$C$4:$C$501,0)),""))</f>
        <v>CONTRA-REGRA</v>
      </c>
      <c r="E1004" s="199" t="str">
        <f t="array" ref="E1004">IF(B1004="","",IFERROR(INDEX('FUNCIONÁRIOS'!$E$4:$E$501,MATCH(B1004,'FUNCIONÁRIOS'!$C$4:$C$501,0)),""))</f>
        <v>NÃO</v>
      </c>
      <c r="F1004" s="138">
        <v>46170.0</v>
      </c>
      <c r="G1004" s="115" t="str">
        <f t="shared" si="54"/>
        <v>✅ 09:18</v>
      </c>
      <c r="H1004" s="174" t="s">
        <v>1890</v>
      </c>
      <c r="I1004" s="117" t="str">
        <f t="shared" si="48"/>
        <v>→ Selecione a linha e use o menu ⏱️ Ponto</v>
      </c>
      <c r="J1004" s="180"/>
      <c r="K1004" s="179"/>
      <c r="L1004" s="119" t="str">
        <f t="shared" si="49"/>
        <v>🟢 No Evento</v>
      </c>
    </row>
    <row r="1005" ht="15.75" customHeight="1">
      <c r="A1005" s="13"/>
      <c r="B1005" s="173" t="s">
        <v>1501</v>
      </c>
      <c r="C1005" s="199" t="str">
        <f t="array" ref="C1005">IF(B1005="","",IFERROR(INDEX('FUNCIONÁRIOS'!$B$4:$B$501,MATCH(B1005,'FUNCIONÁRIOS'!$C$4:$C$501,0)),""))</f>
        <v/>
      </c>
      <c r="D1005" s="199" t="str">
        <f t="array" ref="D1005">IF(B1005="","",IFERROR(INDEX('FUNCIONÁRIOS'!$D$4:$D$501,MATCH(B1005,'FUNCIONÁRIOS'!$C$4:$C$501,0)),""))</f>
        <v/>
      </c>
      <c r="E1005" s="199" t="str">
        <f t="array" ref="E1005">IF(B1005="","",IFERROR(INDEX('FUNCIONÁRIOS'!$E$4:$E$501,MATCH(B1005,'FUNCIONÁRIOS'!$C$4:$C$501,0)),""))</f>
        <v/>
      </c>
      <c r="F1005" s="138">
        <v>46170.0</v>
      </c>
      <c r="G1005" s="115" t="str">
        <f t="shared" si="54"/>
        <v>✅ 09:20</v>
      </c>
      <c r="H1005" s="174" t="s">
        <v>1801</v>
      </c>
      <c r="I1005" s="117" t="str">
        <f t="shared" si="48"/>
        <v>→ Selecione a linha e use o menu ⏱️ Ponto</v>
      </c>
      <c r="J1005" s="180"/>
      <c r="K1005" s="179"/>
      <c r="L1005" s="119" t="str">
        <f t="shared" si="49"/>
        <v>🟢 No Evento</v>
      </c>
    </row>
    <row r="1006" ht="15.75" customHeight="1">
      <c r="A1006" s="13"/>
      <c r="B1006" s="173" t="s">
        <v>1502</v>
      </c>
      <c r="C1006" s="199" t="str">
        <f t="array" ref="C1006">IF(B1006="","",IFERROR(INDEX('FUNCIONÁRIOS'!$B$4:$B$501,MATCH(B1006,'FUNCIONÁRIOS'!$C$4:$C$501,0)),""))</f>
        <v/>
      </c>
      <c r="D1006" s="199" t="str">
        <f t="array" ref="D1006">IF(B1006="","",IFERROR(INDEX('FUNCIONÁRIOS'!$D$4:$D$501,MATCH(B1006,'FUNCIONÁRIOS'!$C$4:$C$501,0)),""))</f>
        <v/>
      </c>
      <c r="E1006" s="199" t="str">
        <f t="array" ref="E1006">IF(B1006="","",IFERROR(INDEX('FUNCIONÁRIOS'!$E$4:$E$501,MATCH(B1006,'FUNCIONÁRIOS'!$C$4:$C$501,0)),""))</f>
        <v/>
      </c>
      <c r="F1006" s="138">
        <v>46170.0</v>
      </c>
      <c r="G1006" s="115" t="str">
        <f t="shared" si="54"/>
        <v>✅ 09:22</v>
      </c>
      <c r="H1006" s="174" t="s">
        <v>1686</v>
      </c>
      <c r="I1006" s="117" t="str">
        <f t="shared" si="48"/>
        <v>→ Selecione a linha e use o menu ⏱️ Ponto</v>
      </c>
      <c r="J1006" s="180"/>
      <c r="K1006" s="179"/>
      <c r="L1006" s="119" t="str">
        <f t="shared" si="49"/>
        <v>🟢 No Evento</v>
      </c>
    </row>
    <row r="1007" ht="15.75" customHeight="1">
      <c r="A1007" s="13"/>
      <c r="B1007" s="173" t="s">
        <v>1350</v>
      </c>
      <c r="C1007" s="199" t="str">
        <f t="array" ref="C1007">IF(B1007="","",IFERROR(INDEX('FUNCIONÁRIOS'!$B$4:$B$501,MATCH(B1007,'FUNCIONÁRIOS'!$C$4:$C$501,0)),""))</f>
        <v/>
      </c>
      <c r="D1007" s="199" t="str">
        <f t="array" ref="D1007">IF(B1007="","",IFERROR(INDEX('FUNCIONÁRIOS'!$D$4:$D$501,MATCH(B1007,'FUNCIONÁRIOS'!$C$4:$C$501,0)),""))</f>
        <v/>
      </c>
      <c r="E1007" s="199" t="str">
        <f t="array" ref="E1007">IF(B1007="","",IFERROR(INDEX('FUNCIONÁRIOS'!$E$4:$E$501,MATCH(B1007,'FUNCIONÁRIOS'!$C$4:$C$501,0)),""))</f>
        <v/>
      </c>
      <c r="F1007" s="138">
        <v>46170.0</v>
      </c>
      <c r="G1007" s="115" t="str">
        <f t="shared" si="54"/>
        <v>✅ 09:22</v>
      </c>
      <c r="H1007" s="174" t="s">
        <v>1686</v>
      </c>
      <c r="I1007" s="117" t="str">
        <f t="shared" si="48"/>
        <v>→ Selecione a linha e use o menu ⏱️ Ponto</v>
      </c>
      <c r="J1007" s="180"/>
      <c r="K1007" s="179"/>
      <c r="L1007" s="119" t="str">
        <f t="shared" si="49"/>
        <v>🟢 No Evento</v>
      </c>
    </row>
    <row r="1008" ht="15.75" customHeight="1">
      <c r="A1008" s="13"/>
      <c r="B1008" s="173" t="s">
        <v>485</v>
      </c>
      <c r="C1008" s="199" t="str">
        <f t="array" ref="C1008">IF(B1008="","",IFERROR(INDEX('FUNCIONÁRIOS'!$B$4:$B$501,MATCH(B1008,'FUNCIONÁRIOS'!$C$4:$C$501,0)),""))</f>
        <v>EL SHADDAI</v>
      </c>
      <c r="D1008" s="199" t="str">
        <f t="array" ref="D1008">IF(B1008="","",IFERROR(INDEX('FUNCIONÁRIOS'!$D$4:$D$501,MATCH(B1008,'FUNCIONÁRIOS'!$C$4:$C$501,0)),""))</f>
        <v>soldador </v>
      </c>
      <c r="E1008" s="199" t="str">
        <f t="array" ref="E1008">IF(B1008="","",IFERROR(INDEX('FUNCIONÁRIOS'!$E$4:$E$501,MATCH(B1008,'FUNCIONÁRIOS'!$C$4:$C$501,0)),""))</f>
        <v>NÃO</v>
      </c>
      <c r="F1008" s="138">
        <v>46170.0</v>
      </c>
      <c r="G1008" s="115" t="str">
        <f t="shared" si="54"/>
        <v>✅ 09:23</v>
      </c>
      <c r="H1008" s="174" t="s">
        <v>1688</v>
      </c>
      <c r="I1008" s="117" t="str">
        <f t="shared" si="48"/>
        <v>→ Selecione a linha e use o menu ⏱️ Ponto</v>
      </c>
      <c r="J1008" s="180"/>
      <c r="K1008" s="179"/>
      <c r="L1008" s="119" t="str">
        <f t="shared" si="49"/>
        <v>🟢 No Evento</v>
      </c>
    </row>
    <row r="1009" ht="15.75" customHeight="1">
      <c r="A1009" s="13"/>
      <c r="B1009" s="173" t="s">
        <v>964</v>
      </c>
      <c r="C1009" s="199" t="str">
        <f t="array" ref="C1009">IF(B1009="","",IFERROR(INDEX('FUNCIONÁRIOS'!$B$4:$B$501,MATCH(B1009,'FUNCIONÁRIOS'!$C$4:$C$501,0)),""))</f>
        <v>FABINHO EVENTOS </v>
      </c>
      <c r="D1009" s="199" t="str">
        <f t="array" ref="D1009">IF(B1009="","",IFERROR(INDEX('FUNCIONÁRIOS'!$D$4:$D$501,MATCH(B1009,'FUNCIONÁRIOS'!$C$4:$C$501,0)),""))</f>
        <v>MONTAGEM E DESMONTAGEM DE BAR (STAFF)</v>
      </c>
      <c r="E1009" s="199" t="str">
        <f t="array" ref="E1009">IF(B1009="","",IFERROR(INDEX('FUNCIONÁRIOS'!$E$4:$E$501,MATCH(B1009,'FUNCIONÁRIOS'!$C$4:$C$501,0)),""))</f>
        <v/>
      </c>
      <c r="F1009" s="138">
        <v>46170.0</v>
      </c>
      <c r="G1009" s="115" t="str">
        <f t="shared" si="54"/>
        <v>✅ 09:23</v>
      </c>
      <c r="H1009" s="174" t="s">
        <v>1688</v>
      </c>
      <c r="I1009" s="117" t="str">
        <f t="shared" si="48"/>
        <v>→ Selecione a linha e use o menu ⏱️ Ponto</v>
      </c>
      <c r="J1009" s="180"/>
      <c r="K1009" s="179"/>
      <c r="L1009" s="119" t="str">
        <f t="shared" si="49"/>
        <v>🟢 No Evento</v>
      </c>
    </row>
    <row r="1010" ht="15.75" customHeight="1">
      <c r="A1010" s="13"/>
      <c r="B1010" s="173" t="s">
        <v>482</v>
      </c>
      <c r="C1010" s="199" t="str">
        <f t="array" ref="C1010">IF(B1010="","",IFERROR(INDEX('FUNCIONÁRIOS'!$B$4:$B$501,MATCH(B1010,'FUNCIONÁRIOS'!$C$4:$C$501,0)),""))</f>
        <v>EL SHADDAI</v>
      </c>
      <c r="D1010" s="199" t="str">
        <f t="array" ref="D1010">IF(B1010="","",IFERROR(INDEX('FUNCIONÁRIOS'!$D$4:$D$501,MATCH(B1010,'FUNCIONÁRIOS'!$C$4:$C$501,0)),""))</f>
        <v>Soldador </v>
      </c>
      <c r="E1010" s="199" t="str">
        <f t="array" ref="E1010">IF(B1010="","",IFERROR(INDEX('FUNCIONÁRIOS'!$E$4:$E$501,MATCH(B1010,'FUNCIONÁRIOS'!$C$4:$C$501,0)),""))</f>
        <v>NÃO</v>
      </c>
      <c r="F1010" s="138">
        <v>46170.0</v>
      </c>
      <c r="G1010" s="115" t="str">
        <f t="shared" si="54"/>
        <v>✅ 09:23</v>
      </c>
      <c r="H1010" s="174" t="s">
        <v>1688</v>
      </c>
      <c r="I1010" s="117" t="str">
        <f t="shared" si="48"/>
        <v>→ Selecione a linha e use o menu ⏱️ Ponto</v>
      </c>
      <c r="J1010" s="180"/>
      <c r="K1010" s="179"/>
      <c r="L1010" s="119" t="str">
        <f t="shared" si="49"/>
        <v>🟢 No Evento</v>
      </c>
    </row>
    <row r="1011" ht="15.75" customHeight="1">
      <c r="A1011" s="13"/>
      <c r="B1011" s="173" t="s">
        <v>1126</v>
      </c>
      <c r="C1011" s="199" t="str">
        <f t="array" ref="C1011">IF(B1011="","",IFERROR(INDEX('FUNCIONÁRIOS'!$B$4:$B$501,MATCH(B1011,'FUNCIONÁRIOS'!$C$4:$C$501,0)),""))</f>
        <v/>
      </c>
      <c r="D1011" s="199" t="str">
        <f t="array" ref="D1011">IF(B1011="","",IFERROR(INDEX('FUNCIONÁRIOS'!$D$4:$D$501,MATCH(B1011,'FUNCIONÁRIOS'!$C$4:$C$501,0)),""))</f>
        <v/>
      </c>
      <c r="E1011" s="199" t="str">
        <f t="array" ref="E1011">IF(B1011="","",IFERROR(INDEX('FUNCIONÁRIOS'!$E$4:$E$501,MATCH(B1011,'FUNCIONÁRIOS'!$C$4:$C$501,0)),""))</f>
        <v/>
      </c>
      <c r="F1011" s="138">
        <v>46170.0</v>
      </c>
      <c r="G1011" s="115" t="str">
        <f t="shared" si="54"/>
        <v>✅ 09:25</v>
      </c>
      <c r="H1011" s="174" t="s">
        <v>1690</v>
      </c>
      <c r="I1011" s="117" t="str">
        <f t="shared" si="48"/>
        <v>→ Selecione a linha e use o menu ⏱️ Ponto</v>
      </c>
      <c r="J1011" s="180"/>
      <c r="K1011" s="179"/>
      <c r="L1011" s="119" t="str">
        <f t="shared" si="49"/>
        <v>🟢 No Evento</v>
      </c>
    </row>
    <row r="1012" ht="15.75" customHeight="1">
      <c r="A1012" s="13"/>
      <c r="B1012" s="173" t="s">
        <v>627</v>
      </c>
      <c r="C1012" s="199" t="str">
        <f t="array" ref="C1012">IF(B1012="","",IFERROR(INDEX('FUNCIONÁRIOS'!$B$4:$B$501,MATCH(B1012,'FUNCIONÁRIOS'!$C$4:$C$501,0)),""))</f>
        <v>STUDIO K MULTI EVENTOS LTDA </v>
      </c>
      <c r="D1012" s="199" t="str">
        <f t="array" ref="D1012">IF(B1012="","",IFERROR(INDEX('FUNCIONÁRIOS'!$D$4:$D$501,MATCH(B1012,'FUNCIONÁRIOS'!$C$4:$C$501,0)),""))</f>
        <v>TECNICO EM SONORIZAÇÃO</v>
      </c>
      <c r="E1012" s="199" t="str">
        <f t="array" ref="E1012">IF(B1012="","",IFERROR(INDEX('FUNCIONÁRIOS'!$E$4:$E$501,MATCH(B1012,'FUNCIONÁRIOS'!$C$4:$C$501,0)),""))</f>
        <v>NÃO</v>
      </c>
      <c r="F1012" s="138">
        <v>46170.0</v>
      </c>
      <c r="G1012" s="115" t="str">
        <f t="shared" si="54"/>
        <v>✅ 09:26</v>
      </c>
      <c r="H1012" s="174" t="s">
        <v>1805</v>
      </c>
      <c r="I1012" s="117" t="str">
        <f t="shared" si="48"/>
        <v>→ Selecione a linha e use o menu ⏱️ Ponto</v>
      </c>
      <c r="J1012" s="180"/>
      <c r="K1012" s="179"/>
      <c r="L1012" s="119" t="str">
        <f t="shared" si="49"/>
        <v>🟢 No Evento</v>
      </c>
    </row>
    <row r="1013" ht="15.75" customHeight="1">
      <c r="A1013" s="13"/>
      <c r="B1013" s="173" t="s">
        <v>1504</v>
      </c>
      <c r="C1013" s="199" t="str">
        <f t="array" ref="C1013">IF(B1013="","",IFERROR(INDEX('FUNCIONÁRIOS'!$B$4:$B$501,MATCH(B1013,'FUNCIONÁRIOS'!$C$4:$C$501,0)),""))</f>
        <v/>
      </c>
      <c r="D1013" s="199" t="str">
        <f t="array" ref="D1013">IF(B1013="","",IFERROR(INDEX('FUNCIONÁRIOS'!$D$4:$D$501,MATCH(B1013,'FUNCIONÁRIOS'!$C$4:$C$501,0)),""))</f>
        <v/>
      </c>
      <c r="E1013" s="199" t="str">
        <f t="array" ref="E1013">IF(B1013="","",IFERROR(INDEX('FUNCIONÁRIOS'!$E$4:$E$501,MATCH(B1013,'FUNCIONÁRIOS'!$C$4:$C$501,0)),""))</f>
        <v/>
      </c>
      <c r="F1013" s="138">
        <v>46170.0</v>
      </c>
      <c r="G1013" s="115" t="str">
        <f t="shared" si="54"/>
        <v>✅ 09:27</v>
      </c>
      <c r="H1013" s="174" t="s">
        <v>1610</v>
      </c>
      <c r="I1013" s="117" t="str">
        <f t="shared" si="48"/>
        <v>→ Selecione a linha e use o menu ⏱️ Ponto</v>
      </c>
      <c r="J1013" s="180"/>
      <c r="K1013" s="179"/>
      <c r="L1013" s="119" t="str">
        <f t="shared" si="49"/>
        <v>🟢 No Evento</v>
      </c>
    </row>
    <row r="1014" ht="15.75" customHeight="1">
      <c r="A1014" s="13"/>
      <c r="B1014" s="173" t="s">
        <v>1373</v>
      </c>
      <c r="C1014" s="199" t="str">
        <f t="array" ref="C1014">IF(B1014="","",IFERROR(INDEX('FUNCIONÁRIOS'!$B$4:$B$501,MATCH(B1014,'FUNCIONÁRIOS'!$C$4:$C$501,0)),""))</f>
        <v/>
      </c>
      <c r="D1014" s="199" t="str">
        <f t="array" ref="D1014">IF(B1014="","",IFERROR(INDEX('FUNCIONÁRIOS'!$D$4:$D$501,MATCH(B1014,'FUNCIONÁRIOS'!$C$4:$C$501,0)),""))</f>
        <v/>
      </c>
      <c r="E1014" s="199" t="str">
        <f t="array" ref="E1014">IF(B1014="","",IFERROR(INDEX('FUNCIONÁRIOS'!$E$4:$E$501,MATCH(B1014,'FUNCIONÁRIOS'!$C$4:$C$501,0)),""))</f>
        <v/>
      </c>
      <c r="F1014" s="138">
        <v>46170.0</v>
      </c>
      <c r="G1014" s="115" t="str">
        <f t="shared" si="54"/>
        <v>✅ 09:28</v>
      </c>
      <c r="H1014" s="174" t="s">
        <v>1806</v>
      </c>
      <c r="I1014" s="117" t="str">
        <f t="shared" si="48"/>
        <v>→ Selecione a linha e use o menu ⏱️ Ponto</v>
      </c>
      <c r="J1014" s="180"/>
      <c r="K1014" s="179"/>
      <c r="L1014" s="119" t="str">
        <f t="shared" si="49"/>
        <v>🟢 No Evento</v>
      </c>
    </row>
    <row r="1015" ht="15.75" customHeight="1">
      <c r="A1015" s="13"/>
      <c r="B1015" s="173" t="s">
        <v>1359</v>
      </c>
      <c r="C1015" s="199" t="str">
        <f t="array" ref="C1015">IF(B1015="","",IFERROR(INDEX('FUNCIONÁRIOS'!$B$4:$B$501,MATCH(B1015,'FUNCIONÁRIOS'!$C$4:$C$501,0)),""))</f>
        <v/>
      </c>
      <c r="D1015" s="199" t="str">
        <f t="array" ref="D1015">IF(B1015="","",IFERROR(INDEX('FUNCIONÁRIOS'!$D$4:$D$501,MATCH(B1015,'FUNCIONÁRIOS'!$C$4:$C$501,0)),""))</f>
        <v/>
      </c>
      <c r="E1015" s="199" t="str">
        <f t="array" ref="E1015">IF(B1015="","",IFERROR(INDEX('FUNCIONÁRIOS'!$E$4:$E$501,MATCH(B1015,'FUNCIONÁRIOS'!$C$4:$C$501,0)),""))</f>
        <v/>
      </c>
      <c r="F1015" s="138">
        <v>46170.0</v>
      </c>
      <c r="G1015" s="115" t="str">
        <f t="shared" si="54"/>
        <v>✅ 09:29</v>
      </c>
      <c r="H1015" s="174" t="s">
        <v>1891</v>
      </c>
      <c r="I1015" s="117" t="str">
        <f t="shared" si="48"/>
        <v>→ Selecione a linha e use o menu ⏱️ Ponto</v>
      </c>
      <c r="J1015" s="180"/>
      <c r="K1015" s="179"/>
      <c r="L1015" s="119" t="str">
        <f t="shared" si="49"/>
        <v>🟢 No Evento</v>
      </c>
    </row>
    <row r="1016" ht="15.75" customHeight="1">
      <c r="A1016" s="13"/>
      <c r="B1016" s="173" t="s">
        <v>215</v>
      </c>
      <c r="C1016" s="199" t="str">
        <f t="array" ref="C1016">IF(B1016="","",IFERROR(INDEX('FUNCIONÁRIOS'!$B$4:$B$501,MATCH(B1016,'FUNCIONÁRIOS'!$C$4:$C$501,0)),""))</f>
        <v>GO TO </v>
      </c>
      <c r="D1016" s="199" t="str">
        <f t="array" ref="D1016">IF(B1016="","",IFERROR(INDEX('FUNCIONÁRIOS'!$D$4:$D$501,MATCH(B1016,'FUNCIONÁRIOS'!$C$4:$C$501,0)),""))</f>
        <v>CENOGRAFIA </v>
      </c>
      <c r="E1016" s="199" t="str">
        <f t="array" ref="E1016">IF(B1016="","",IFERROR(INDEX('FUNCIONÁRIOS'!$E$4:$E$501,MATCH(B1016,'FUNCIONÁRIOS'!$C$4:$C$501,0)),""))</f>
        <v>NÃO</v>
      </c>
      <c r="F1016" s="138">
        <v>46170.0</v>
      </c>
      <c r="G1016" s="115" t="str">
        <f t="shared" si="54"/>
        <v>✅ 09:30</v>
      </c>
      <c r="H1016" s="174" t="s">
        <v>1807</v>
      </c>
      <c r="I1016" s="117" t="str">
        <f t="shared" si="48"/>
        <v>→ Selecione a linha e use o menu ⏱️ Ponto</v>
      </c>
      <c r="J1016" s="180"/>
      <c r="K1016" s="179"/>
      <c r="L1016" s="119" t="str">
        <f t="shared" si="49"/>
        <v>🟢 No Evento</v>
      </c>
    </row>
    <row r="1017" ht="15.75" customHeight="1">
      <c r="A1017" s="13"/>
      <c r="B1017" s="173" t="s">
        <v>1505</v>
      </c>
      <c r="C1017" s="199" t="str">
        <f t="array" ref="C1017">IF(B1017="","",IFERROR(INDEX('FUNCIONÁRIOS'!$B$4:$B$501,MATCH(B1017,'FUNCIONÁRIOS'!$C$4:$C$501,0)),""))</f>
        <v/>
      </c>
      <c r="D1017" s="199" t="str">
        <f t="array" ref="D1017">IF(B1017="","",IFERROR(INDEX('FUNCIONÁRIOS'!$D$4:$D$501,MATCH(B1017,'FUNCIONÁRIOS'!$C$4:$C$501,0)),""))</f>
        <v/>
      </c>
      <c r="E1017" s="199" t="str">
        <f t="array" ref="E1017">IF(B1017="","",IFERROR(INDEX('FUNCIONÁRIOS'!$E$4:$E$501,MATCH(B1017,'FUNCIONÁRIOS'!$C$4:$C$501,0)),""))</f>
        <v/>
      </c>
      <c r="F1017" s="138">
        <v>46170.0</v>
      </c>
      <c r="G1017" s="115" t="str">
        <f t="shared" si="54"/>
        <v>✅ 09:30</v>
      </c>
      <c r="H1017" s="174" t="s">
        <v>1807</v>
      </c>
      <c r="I1017" s="117" t="str">
        <f t="shared" si="48"/>
        <v>→ Selecione a linha e use o menu ⏱️ Ponto</v>
      </c>
      <c r="J1017" s="180"/>
      <c r="K1017" s="179"/>
      <c r="L1017" s="119" t="str">
        <f t="shared" si="49"/>
        <v>🟢 No Evento</v>
      </c>
    </row>
    <row r="1018" ht="15.75" customHeight="1">
      <c r="A1018" s="13"/>
      <c r="B1018" s="173" t="s">
        <v>1249</v>
      </c>
      <c r="C1018" s="199" t="str">
        <f t="array" ref="C1018">IF(B1018="","",IFERROR(INDEX('FUNCIONÁRIOS'!$B$4:$B$501,MATCH(B1018,'FUNCIONÁRIOS'!$C$4:$C$501,0)),""))</f>
        <v/>
      </c>
      <c r="D1018" s="199" t="str">
        <f t="array" ref="D1018">IF(B1018="","",IFERROR(INDEX('FUNCIONÁRIOS'!$D$4:$D$501,MATCH(B1018,'FUNCIONÁRIOS'!$C$4:$C$501,0)),""))</f>
        <v/>
      </c>
      <c r="E1018" s="199" t="str">
        <f t="array" ref="E1018">IF(B1018="","",IFERROR(INDEX('FUNCIONÁRIOS'!$E$4:$E$501,MATCH(B1018,'FUNCIONÁRIOS'!$C$4:$C$501,0)),""))</f>
        <v/>
      </c>
      <c r="F1018" s="138">
        <v>46170.0</v>
      </c>
      <c r="G1018" s="115" t="str">
        <f t="shared" si="54"/>
        <v>✅ 09:34</v>
      </c>
      <c r="H1018" s="174" t="s">
        <v>1810</v>
      </c>
      <c r="I1018" s="117" t="str">
        <f t="shared" si="48"/>
        <v>→ Selecione a linha e use o menu ⏱️ Ponto</v>
      </c>
      <c r="J1018" s="180"/>
      <c r="K1018" s="179"/>
      <c r="L1018" s="119" t="str">
        <f t="shared" si="49"/>
        <v>🟢 No Evento</v>
      </c>
    </row>
    <row r="1019" ht="15.75" customHeight="1">
      <c r="A1019" s="13"/>
      <c r="B1019" s="173" t="s">
        <v>617</v>
      </c>
      <c r="C1019" s="199" t="str">
        <f t="array" ref="C1019">IF(B1019="","",IFERROR(INDEX('FUNCIONÁRIOS'!$B$4:$B$501,MATCH(B1019,'FUNCIONÁRIOS'!$C$4:$C$501,0)),""))</f>
        <v>STUDIO K MULTI EVENTOS LTDA </v>
      </c>
      <c r="D1019" s="199" t="str">
        <f t="array" ref="D1019">IF(B1019="","",IFERROR(INDEX('FUNCIONÁRIOS'!$D$4:$D$501,MATCH(B1019,'FUNCIONÁRIOS'!$C$4:$C$501,0)),""))</f>
        <v>PRODUTOR TECNICO</v>
      </c>
      <c r="E1019" s="199" t="str">
        <f t="array" ref="E1019">IF(B1019="","",IFERROR(INDEX('FUNCIONÁRIOS'!$E$4:$E$501,MATCH(B1019,'FUNCIONÁRIOS'!$C$4:$C$501,0)),""))</f>
        <v>NÃO</v>
      </c>
      <c r="F1019" s="138">
        <v>46170.0</v>
      </c>
      <c r="G1019" s="115" t="str">
        <f t="shared" si="54"/>
        <v>✅ 09:34</v>
      </c>
      <c r="H1019" s="174" t="s">
        <v>1810</v>
      </c>
      <c r="I1019" s="117" t="str">
        <f t="shared" si="48"/>
        <v>→ Selecione a linha e use o menu ⏱️ Ponto</v>
      </c>
      <c r="J1019" s="180"/>
      <c r="K1019" s="179"/>
      <c r="L1019" s="119" t="str">
        <f t="shared" si="49"/>
        <v>🟢 No Evento</v>
      </c>
    </row>
    <row r="1020" ht="15.75" customHeight="1">
      <c r="A1020" s="13"/>
      <c r="B1020" s="173" t="s">
        <v>493</v>
      </c>
      <c r="C1020" s="199" t="str">
        <f t="array" ref="C1020">IF(B1020="","",IFERROR(INDEX('FUNCIONÁRIOS'!$B$4:$B$501,MATCH(B1020,'FUNCIONÁRIOS'!$C$4:$C$501,0)),""))</f>
        <v>EL SHADDAI</v>
      </c>
      <c r="D1020" s="199" t="str">
        <f t="array" ref="D1020">IF(B1020="","",IFERROR(INDEX('FUNCIONÁRIOS'!$D$4:$D$501,MATCH(B1020,'FUNCIONÁRIOS'!$C$4:$C$501,0)),""))</f>
        <v>Montador</v>
      </c>
      <c r="E1020" s="199" t="str">
        <f t="array" ref="E1020">IF(B1020="","",IFERROR(INDEX('FUNCIONÁRIOS'!$E$4:$E$501,MATCH(B1020,'FUNCIONÁRIOS'!$C$4:$C$501,0)),""))</f>
        <v>NÃO</v>
      </c>
      <c r="F1020" s="138">
        <v>46170.0</v>
      </c>
      <c r="G1020" s="115" t="str">
        <f t="shared" si="54"/>
        <v>✅ 09:34</v>
      </c>
      <c r="H1020" s="174" t="s">
        <v>1810</v>
      </c>
      <c r="I1020" s="117" t="str">
        <f t="shared" si="48"/>
        <v>→ Selecione a linha e use o menu ⏱️ Ponto</v>
      </c>
      <c r="J1020" s="180"/>
      <c r="K1020" s="179"/>
      <c r="L1020" s="119" t="str">
        <f t="shared" si="49"/>
        <v>🟢 No Evento</v>
      </c>
    </row>
    <row r="1021" ht="15.75" customHeight="1">
      <c r="A1021" s="13"/>
      <c r="B1021" s="173" t="s">
        <v>319</v>
      </c>
      <c r="C1021" s="199" t="str">
        <f t="array" ref="C1021">IF(B1021="","",IFERROR(INDEX('FUNCIONÁRIOS'!$B$4:$B$501,MATCH(B1021,'FUNCIONÁRIOS'!$C$4:$C$501,0)),""))</f>
        <v>EL SHADDAI</v>
      </c>
      <c r="D1021" s="199" t="str">
        <f t="array" ref="D1021">IF(B1021="","",IFERROR(INDEX('FUNCIONÁRIOS'!$D$4:$D$501,MATCH(B1021,'FUNCIONÁRIOS'!$C$4:$C$501,0)),""))</f>
        <v>Montador</v>
      </c>
      <c r="E1021" s="199" t="str">
        <f t="array" ref="E1021">IF(B1021="","",IFERROR(INDEX('FUNCIONÁRIOS'!$E$4:$E$501,MATCH(B1021,'FUNCIONÁRIOS'!$C$4:$C$501,0)),""))</f>
        <v>NÃO</v>
      </c>
      <c r="F1021" s="138">
        <v>46170.0</v>
      </c>
      <c r="G1021" s="115" t="str">
        <f t="shared" si="54"/>
        <v>✅ 09:35</v>
      </c>
      <c r="H1021" s="174" t="s">
        <v>1692</v>
      </c>
      <c r="I1021" s="117" t="str">
        <f t="shared" si="48"/>
        <v>→ Selecione a linha e use o menu ⏱️ Ponto</v>
      </c>
      <c r="J1021" s="180"/>
      <c r="K1021" s="179"/>
      <c r="L1021" s="119" t="str">
        <f t="shared" si="49"/>
        <v>🟢 No Evento</v>
      </c>
    </row>
    <row r="1022" ht="15.75" customHeight="1">
      <c r="A1022" s="13"/>
      <c r="B1022" s="173" t="s">
        <v>159</v>
      </c>
      <c r="C1022" s="199" t="str">
        <f t="array" ref="C1022">IF(B1022="","",IFERROR(INDEX('FUNCIONÁRIOS'!$B$4:$B$501,MATCH(B1022,'FUNCIONÁRIOS'!$C$4:$C$501,0)),""))</f>
        <v>NLEDS LOCAÇÃO - PAINEIS DE LED </v>
      </c>
      <c r="D1022" s="199" t="str">
        <f t="array" ref="D1022">IF(B1022="","",IFERROR(INDEX('FUNCIONÁRIOS'!$D$4:$D$501,MATCH(B1022,'FUNCIONÁRIOS'!$C$4:$C$501,0)),""))</f>
        <v>AUXILIAR DE MONTAGEM DE PAINÉIS DE LED</v>
      </c>
      <c r="E1022" s="199" t="str">
        <f t="array" ref="E1022">IF(B1022="","",IFERROR(INDEX('FUNCIONÁRIOS'!$E$4:$E$501,MATCH(B1022,'FUNCIONÁRIOS'!$C$4:$C$501,0)),""))</f>
        <v>NÃO</v>
      </c>
      <c r="F1022" s="138">
        <v>46170.0</v>
      </c>
      <c r="G1022" s="115" t="str">
        <f t="shared" si="54"/>
        <v>✅ 09:40</v>
      </c>
      <c r="H1022" s="174" t="s">
        <v>1700</v>
      </c>
      <c r="I1022" s="117" t="str">
        <f t="shared" si="48"/>
        <v>→ Selecione a linha e use o menu ⏱️ Ponto</v>
      </c>
      <c r="J1022" s="180"/>
      <c r="K1022" s="179"/>
      <c r="L1022" s="119" t="str">
        <f t="shared" si="49"/>
        <v>🟢 No Evento</v>
      </c>
    </row>
    <row r="1023" ht="15.75" customHeight="1">
      <c r="A1023" s="13"/>
      <c r="B1023" s="173" t="s">
        <v>169</v>
      </c>
      <c r="C1023" s="199" t="str">
        <f t="array" ref="C1023">IF(B1023="","",IFERROR(INDEX('FUNCIONÁRIOS'!$B$4:$B$501,MATCH(B1023,'FUNCIONÁRIOS'!$C$4:$C$501,0)),""))</f>
        <v>NLEDS LOCAÇÃO - PAINEIS DE LED </v>
      </c>
      <c r="D1023" s="199" t="str">
        <f t="array" ref="D1023">IF(B1023="","",IFERROR(INDEX('FUNCIONÁRIOS'!$D$4:$D$501,MATCH(B1023,'FUNCIONÁRIOS'!$C$4:$C$501,0)),""))</f>
        <v>MOTORISTA</v>
      </c>
      <c r="E1023" s="199" t="str">
        <f t="array" ref="E1023">IF(B1023="","",IFERROR(INDEX('FUNCIONÁRIOS'!$E$4:$E$501,MATCH(B1023,'FUNCIONÁRIOS'!$C$4:$C$501,0)),""))</f>
        <v>NÃO</v>
      </c>
      <c r="F1023" s="138">
        <v>46170.0</v>
      </c>
      <c r="G1023" s="115" t="str">
        <f t="shared" si="54"/>
        <v>✅ 09:40</v>
      </c>
      <c r="H1023" s="174" t="s">
        <v>1700</v>
      </c>
      <c r="I1023" s="117" t="str">
        <f t="shared" si="48"/>
        <v>→ Selecione a linha e use o menu ⏱️ Ponto</v>
      </c>
      <c r="J1023" s="180"/>
      <c r="K1023" s="179"/>
      <c r="L1023" s="119" t="str">
        <f t="shared" si="49"/>
        <v>🟢 No Evento</v>
      </c>
    </row>
    <row r="1024" ht="15.75" customHeight="1">
      <c r="A1024" s="13"/>
      <c r="B1024" s="173" t="s">
        <v>1507</v>
      </c>
      <c r="C1024" s="199" t="str">
        <f t="array" ref="C1024">IF(B1024="","",IFERROR(INDEX('FUNCIONÁRIOS'!$B$4:$B$501,MATCH(B1024,'FUNCIONÁRIOS'!$C$4:$C$501,0)),""))</f>
        <v/>
      </c>
      <c r="D1024" s="199" t="str">
        <f t="array" ref="D1024">IF(B1024="","",IFERROR(INDEX('FUNCIONÁRIOS'!$D$4:$D$501,MATCH(B1024,'FUNCIONÁRIOS'!$C$4:$C$501,0)),""))</f>
        <v/>
      </c>
      <c r="E1024" s="199" t="str">
        <f t="array" ref="E1024">IF(B1024="","",IFERROR(INDEX('FUNCIONÁRIOS'!$E$4:$E$501,MATCH(B1024,'FUNCIONÁRIOS'!$C$4:$C$501,0)),""))</f>
        <v/>
      </c>
      <c r="F1024" s="138">
        <v>46170.0</v>
      </c>
      <c r="G1024" s="115" t="str">
        <f t="shared" si="54"/>
        <v>✅ 09:41</v>
      </c>
      <c r="H1024" s="174" t="s">
        <v>1702</v>
      </c>
      <c r="I1024" s="117" t="str">
        <f t="shared" si="48"/>
        <v>→ Selecione a linha e use o menu ⏱️ Ponto</v>
      </c>
      <c r="J1024" s="180"/>
      <c r="K1024" s="179"/>
      <c r="L1024" s="119" t="str">
        <f t="shared" si="49"/>
        <v>🟢 No Evento</v>
      </c>
    </row>
    <row r="1025" ht="15.75" customHeight="1">
      <c r="A1025" s="13"/>
      <c r="B1025" s="173" t="s">
        <v>150</v>
      </c>
      <c r="C1025" s="199" t="str">
        <f t="array" ref="C1025">IF(B1025="","",IFERROR(INDEX('FUNCIONÁRIOS'!$B$4:$B$501,MATCH(B1025,'FUNCIONÁRIOS'!$C$4:$C$501,0)),""))</f>
        <v>NLEDS LOCAÇÃO - PAINEIS DE LED </v>
      </c>
      <c r="D1025" s="199" t="str">
        <f t="array" ref="D1025">IF(B1025="","",IFERROR(INDEX('FUNCIONÁRIOS'!$D$4:$D$501,MATCH(B1025,'FUNCIONÁRIOS'!$C$4:$C$501,0)),""))</f>
        <v>AUXILIAR DE MONTAGEM DE PAINÉIS DE LED</v>
      </c>
      <c r="E1025" s="199" t="str">
        <f t="array" ref="E1025">IF(B1025="","",IFERROR(INDEX('FUNCIONÁRIOS'!$E$4:$E$501,MATCH(B1025,'FUNCIONÁRIOS'!$C$4:$C$501,0)),""))</f>
        <v>NÃO</v>
      </c>
      <c r="F1025" s="138">
        <v>46170.0</v>
      </c>
      <c r="G1025" s="115" t="str">
        <f t="shared" si="54"/>
        <v>✅ 09:41</v>
      </c>
      <c r="H1025" s="174" t="s">
        <v>1702</v>
      </c>
      <c r="I1025" s="117" t="str">
        <f t="shared" si="48"/>
        <v>→ Selecione a linha e use o menu ⏱️ Ponto</v>
      </c>
      <c r="J1025" s="180"/>
      <c r="K1025" s="179"/>
      <c r="L1025" s="119" t="str">
        <f t="shared" si="49"/>
        <v>🟢 No Evento</v>
      </c>
    </row>
    <row r="1026" ht="15.75" customHeight="1">
      <c r="A1026" s="13"/>
      <c r="B1026" s="173" t="s">
        <v>198</v>
      </c>
      <c r="C1026" s="199" t="str">
        <f t="array" ref="C1026">IF(B1026="","",IFERROR(INDEX('FUNCIONÁRIOS'!$B$4:$B$501,MATCH(B1026,'FUNCIONÁRIOS'!$C$4:$C$501,0)),""))</f>
        <v/>
      </c>
      <c r="D1026" s="199" t="str">
        <f t="array" ref="D1026">IF(B1026="","",IFERROR(INDEX('FUNCIONÁRIOS'!$D$4:$D$501,MATCH(B1026,'FUNCIONÁRIOS'!$C$4:$C$501,0)),""))</f>
        <v>GERENTE </v>
      </c>
      <c r="E1026" s="199" t="str">
        <f t="array" ref="E1026">IF(B1026="","",IFERROR(INDEX('FUNCIONÁRIOS'!$E$4:$E$501,MATCH(B1026,'FUNCIONÁRIOS'!$C$4:$C$501,0)),""))</f>
        <v>NÃO</v>
      </c>
      <c r="F1026" s="138">
        <v>46170.0</v>
      </c>
      <c r="G1026" s="115" t="str">
        <f t="shared" si="54"/>
        <v>✅ 09:42</v>
      </c>
      <c r="H1026" s="174" t="s">
        <v>1703</v>
      </c>
      <c r="I1026" s="117" t="str">
        <f t="shared" si="48"/>
        <v>→ Selecione a linha e use o menu ⏱️ Ponto</v>
      </c>
      <c r="J1026" s="180"/>
      <c r="K1026" s="179"/>
      <c r="L1026" s="119" t="str">
        <f t="shared" si="49"/>
        <v>🟢 No Evento</v>
      </c>
    </row>
    <row r="1027" ht="15.75" customHeight="1">
      <c r="A1027" s="13"/>
      <c r="B1027" s="173" t="s">
        <v>234</v>
      </c>
      <c r="C1027" s="199" t="str">
        <f t="array" ref="C1027">IF(B1027="","",IFERROR(INDEX('FUNCIONÁRIOS'!$B$4:$B$501,MATCH(B1027,'FUNCIONÁRIOS'!$C$4:$C$501,0)),""))</f>
        <v>EL SHADDAI</v>
      </c>
      <c r="D1027" s="199" t="str">
        <f t="array" ref="D1027">IF(B1027="","",IFERROR(INDEX('FUNCIONÁRIOS'!$D$4:$D$501,MATCH(B1027,'FUNCIONÁRIOS'!$C$4:$C$501,0)),""))</f>
        <v>ENGENHARIA DE PRODUÇÃO </v>
      </c>
      <c r="E1027" s="199" t="str">
        <f t="array" ref="E1027">IF(B1027="","",IFERROR(INDEX('FUNCIONÁRIOS'!$E$4:$E$501,MATCH(B1027,'FUNCIONÁRIOS'!$C$4:$C$501,0)),""))</f>
        <v>NÃO</v>
      </c>
      <c r="F1027" s="138">
        <v>46170.0</v>
      </c>
      <c r="G1027" s="115" t="str">
        <f t="shared" si="54"/>
        <v>✅ 09:46</v>
      </c>
      <c r="H1027" s="174" t="s">
        <v>1959</v>
      </c>
      <c r="I1027" s="117" t="str">
        <f t="shared" si="48"/>
        <v>→ Selecione a linha e use o menu ⏱️ Ponto</v>
      </c>
      <c r="J1027" s="180"/>
      <c r="K1027" s="179"/>
      <c r="L1027" s="119" t="str">
        <f t="shared" si="49"/>
        <v>🟢 No Evento</v>
      </c>
    </row>
    <row r="1028" ht="15.75" customHeight="1">
      <c r="A1028" s="13"/>
      <c r="B1028" s="173"/>
      <c r="C1028" s="199" t="str">
        <f t="array" ref="C1028">IF(B1028="","",IFERROR(INDEX('FUNCIONÁRIOS'!$B$4:$B$501,MATCH(B1028,'FUNCIONÁRIOS'!$C$4:$C$501,0)),""))</f>
        <v/>
      </c>
      <c r="D1028" s="199" t="str">
        <f t="array" ref="D1028">IF(B1028="","",IFERROR(INDEX('FUNCIONÁRIOS'!$D$4:$D$501,MATCH(B1028,'FUNCIONÁRIOS'!$C$4:$C$501,0)),""))</f>
        <v/>
      </c>
      <c r="E1028" s="199" t="str">
        <f t="array" ref="E1028">IF(B1028="","",IFERROR(INDEX('FUNCIONÁRIOS'!$E$4:$E$501,MATCH(B1028,'FUNCIONÁRIOS'!$C$4:$C$501,0)),""))</f>
        <v/>
      </c>
      <c r="F1028" s="138">
        <v>46170.0</v>
      </c>
      <c r="G1028" s="115" t="str">
        <f t="shared" si="54"/>
        <v>✅ 09:46</v>
      </c>
      <c r="H1028" s="174" t="s">
        <v>1959</v>
      </c>
      <c r="I1028" s="117" t="str">
        <f t="shared" si="48"/>
        <v>→ Selecione a linha e use o menu ⏱️ Ponto</v>
      </c>
      <c r="J1028" s="180"/>
      <c r="K1028" s="179"/>
      <c r="L1028" s="119" t="str">
        <f t="shared" si="49"/>
        <v>🟢 No Evento</v>
      </c>
    </row>
    <row r="1029" ht="15.75" customHeight="1">
      <c r="A1029" s="13"/>
      <c r="B1029" s="173" t="s">
        <v>774</v>
      </c>
      <c r="C1029" s="199" t="str">
        <f t="array" ref="C1029">IF(B1029="","",IFERROR(INDEX('FUNCIONÁRIOS'!$B$4:$B$501,MATCH(B1029,'FUNCIONÁRIOS'!$C$4:$C$501,0)),""))</f>
        <v>GO TO </v>
      </c>
      <c r="D1029" s="199" t="str">
        <f t="array" ref="D1029">IF(B1029="","",IFERROR(INDEX('FUNCIONÁRIOS'!$D$4:$D$501,MATCH(B1029,'FUNCIONÁRIOS'!$C$4:$C$501,0)),""))</f>
        <v>MONTADOR </v>
      </c>
      <c r="E1029" s="199" t="str">
        <f t="array" ref="E1029">IF(B1029="","",IFERROR(INDEX('FUNCIONÁRIOS'!$E$4:$E$501,MATCH(B1029,'FUNCIONÁRIOS'!$C$4:$C$501,0)),""))</f>
        <v>NÃO</v>
      </c>
      <c r="F1029" s="138">
        <v>46170.0</v>
      </c>
      <c r="G1029" s="115" t="str">
        <f t="shared" si="54"/>
        <v>✅ 09:54</v>
      </c>
      <c r="H1029" s="174" t="s">
        <v>1613</v>
      </c>
      <c r="I1029" s="117" t="str">
        <f t="shared" si="48"/>
        <v>→ Selecione a linha e use o menu ⏱️ Ponto</v>
      </c>
      <c r="J1029" s="180"/>
      <c r="K1029" s="179"/>
      <c r="L1029" s="119" t="str">
        <f t="shared" si="49"/>
        <v>🟢 No Evento</v>
      </c>
    </row>
    <row r="1030" ht="15.75" customHeight="1">
      <c r="A1030" s="13"/>
      <c r="B1030" s="173" t="s">
        <v>773</v>
      </c>
      <c r="C1030" s="199" t="str">
        <f t="array" ref="C1030">IF(B1030="","",IFERROR(INDEX('FUNCIONÁRIOS'!$B$4:$B$501,MATCH(B1030,'FUNCIONÁRIOS'!$C$4:$C$501,0)),""))</f>
        <v>GO TO </v>
      </c>
      <c r="D1030" s="199" t="str">
        <f t="array" ref="D1030">IF(B1030="","",IFERROR(INDEX('FUNCIONÁRIOS'!$D$4:$D$501,MATCH(B1030,'FUNCIONÁRIOS'!$C$4:$C$501,0)),""))</f>
        <v>MONTADOR </v>
      </c>
      <c r="E1030" s="199" t="str">
        <f t="array" ref="E1030">IF(B1030="","",IFERROR(INDEX('FUNCIONÁRIOS'!$E$4:$E$501,MATCH(B1030,'FUNCIONÁRIOS'!$C$4:$C$501,0)),""))</f>
        <v>NÃO</v>
      </c>
      <c r="F1030" s="138">
        <v>46170.0</v>
      </c>
      <c r="G1030" s="115" t="str">
        <f t="shared" si="54"/>
        <v>✅ 09:54</v>
      </c>
      <c r="H1030" s="174" t="s">
        <v>1613</v>
      </c>
      <c r="I1030" s="117" t="str">
        <f t="shared" si="48"/>
        <v>→ Selecione a linha e use o menu ⏱️ Ponto</v>
      </c>
      <c r="J1030" s="180"/>
      <c r="K1030" s="179"/>
      <c r="L1030" s="119" t="str">
        <f t="shared" si="49"/>
        <v>🟢 No Evento</v>
      </c>
    </row>
    <row r="1031" ht="15.75" customHeight="1">
      <c r="A1031" s="13"/>
      <c r="B1031" s="173"/>
      <c r="C1031" s="199" t="str">
        <f t="array" ref="C1031">IF(B1031="","",IFERROR(INDEX('FUNCIONÁRIOS'!$B$4:$B$501,MATCH(B1031,'FUNCIONÁRIOS'!$C$4:$C$501,0)),""))</f>
        <v/>
      </c>
      <c r="D1031" s="199" t="str">
        <f t="array" ref="D1031">IF(B1031="","",IFERROR(INDEX('FUNCIONÁRIOS'!$D$4:$D$501,MATCH(B1031,'FUNCIONÁRIOS'!$C$4:$C$501,0)),""))</f>
        <v/>
      </c>
      <c r="E1031" s="199" t="str">
        <f t="array" ref="E1031">IF(B1031="","",IFERROR(INDEX('FUNCIONÁRIOS'!$E$4:$E$501,MATCH(B1031,'FUNCIONÁRIOS'!$C$4:$C$501,0)),""))</f>
        <v/>
      </c>
      <c r="F1031" s="138">
        <v>46170.0</v>
      </c>
      <c r="G1031" s="115" t="str">
        <f t="shared" si="54"/>
        <v>→ Selecione a linha e use o menu ⏱️ Ponto</v>
      </c>
      <c r="H1031" s="174"/>
      <c r="I1031" s="117" t="str">
        <f t="shared" si="48"/>
        <v>→ Selecione a linha e use o menu ⏱️ Ponto</v>
      </c>
      <c r="J1031" s="180"/>
      <c r="K1031" s="179"/>
      <c r="L1031" s="119" t="str">
        <f t="shared" si="49"/>
        <v/>
      </c>
    </row>
    <row r="1032" ht="15.75" customHeight="1">
      <c r="A1032" s="13"/>
      <c r="B1032" s="173" t="s">
        <v>1517</v>
      </c>
      <c r="C1032" s="199" t="str">
        <f t="array" ref="C1032">IF(B1032="","",IFERROR(INDEX('FUNCIONÁRIOS'!$B$4:$B$501,MATCH(B1032,'FUNCIONÁRIOS'!$C$4:$C$501,0)),""))</f>
        <v/>
      </c>
      <c r="D1032" s="199" t="str">
        <f t="array" ref="D1032">IF(B1032="","",IFERROR(INDEX('FUNCIONÁRIOS'!$D$4:$D$501,MATCH(B1032,'FUNCIONÁRIOS'!$C$4:$C$501,0)),""))</f>
        <v/>
      </c>
      <c r="E1032" s="199" t="str">
        <f t="array" ref="E1032">IF(B1032="","",IFERROR(INDEX('FUNCIONÁRIOS'!$E$4:$E$501,MATCH(B1032,'FUNCIONÁRIOS'!$C$4:$C$501,0)),""))</f>
        <v/>
      </c>
      <c r="F1032" s="138">
        <v>46170.0</v>
      </c>
      <c r="G1032" s="115" t="str">
        <f t="shared" si="54"/>
        <v>✅ 09:58</v>
      </c>
      <c r="H1032" s="174" t="s">
        <v>1826</v>
      </c>
      <c r="I1032" s="117" t="str">
        <f t="shared" si="48"/>
        <v>→ Selecione a linha e use o menu ⏱️ Ponto</v>
      </c>
      <c r="J1032" s="180"/>
      <c r="K1032" s="179"/>
      <c r="L1032" s="119" t="str">
        <f t="shared" si="49"/>
        <v>🟢 No Evento</v>
      </c>
    </row>
    <row r="1033" ht="15.75" customHeight="1">
      <c r="A1033" s="13"/>
      <c r="B1033" s="173" t="s">
        <v>290</v>
      </c>
      <c r="C1033" s="199" t="str">
        <f t="array" ref="C1033">IF(B1033="","",IFERROR(INDEX('FUNCIONÁRIOS'!$B$4:$B$501,MATCH(B1033,'FUNCIONÁRIOS'!$C$4:$C$501,0)),""))</f>
        <v>GYNLIGHT</v>
      </c>
      <c r="D1033" s="199" t="str">
        <f t="array" ref="D1033">IF(B1033="","",IFERROR(INDEX('FUNCIONÁRIOS'!$D$4:$D$501,MATCH(B1033,'FUNCIONÁRIOS'!$C$4:$C$501,0)),""))</f>
        <v>Auxiliar Técnico em Iluminação</v>
      </c>
      <c r="E1033" s="199" t="str">
        <f t="array" ref="E1033">IF(B1033="","",IFERROR(INDEX('FUNCIONÁRIOS'!$E$4:$E$501,MATCH(B1033,'FUNCIONÁRIOS'!$C$4:$C$501,0)),""))</f>
        <v>NÃO</v>
      </c>
      <c r="F1033" s="138">
        <v>46170.0</v>
      </c>
      <c r="G1033" s="115" t="str">
        <f t="shared" si="54"/>
        <v>✅ 09:59</v>
      </c>
      <c r="H1033" s="174" t="s">
        <v>1827</v>
      </c>
      <c r="I1033" s="117" t="str">
        <f t="shared" si="48"/>
        <v>→ Selecione a linha e use o menu ⏱️ Ponto</v>
      </c>
      <c r="J1033" s="180"/>
      <c r="K1033" s="179"/>
      <c r="L1033" s="119" t="str">
        <f t="shared" si="49"/>
        <v>🟢 No Evento</v>
      </c>
    </row>
    <row r="1034" ht="15.75" customHeight="1">
      <c r="A1034" s="13"/>
      <c r="B1034" s="173" t="s">
        <v>1266</v>
      </c>
      <c r="C1034" s="199" t="str">
        <f t="array" ref="C1034">IF(B1034="","",IFERROR(INDEX('FUNCIONÁRIOS'!$B$4:$B$501,MATCH(B1034,'FUNCIONÁRIOS'!$C$4:$C$501,0)),""))</f>
        <v/>
      </c>
      <c r="D1034" s="199" t="str">
        <f t="array" ref="D1034">IF(B1034="","",IFERROR(INDEX('FUNCIONÁRIOS'!$D$4:$D$501,MATCH(B1034,'FUNCIONÁRIOS'!$C$4:$C$501,0)),""))</f>
        <v/>
      </c>
      <c r="E1034" s="199" t="str">
        <f t="array" ref="E1034">IF(B1034="","",IFERROR(INDEX('FUNCIONÁRIOS'!$E$4:$E$501,MATCH(B1034,'FUNCIONÁRIOS'!$C$4:$C$501,0)),""))</f>
        <v/>
      </c>
      <c r="F1034" s="138">
        <v>46170.0</v>
      </c>
      <c r="G1034" s="115" t="str">
        <f t="shared" si="54"/>
        <v>✅ 10:00</v>
      </c>
      <c r="H1034" s="174" t="s">
        <v>1960</v>
      </c>
      <c r="I1034" s="117" t="str">
        <f t="shared" si="48"/>
        <v>→ Selecione a linha e use o menu ⏱️ Ponto</v>
      </c>
      <c r="J1034" s="180"/>
      <c r="K1034" s="179"/>
      <c r="L1034" s="119" t="str">
        <f t="shared" si="49"/>
        <v>🟢 No Evento</v>
      </c>
    </row>
    <row r="1035" ht="15.75" customHeight="1">
      <c r="A1035" s="13"/>
      <c r="B1035" s="173" t="s">
        <v>292</v>
      </c>
      <c r="C1035" s="199" t="str">
        <f t="array" ref="C1035">IF(B1035="","",IFERROR(INDEX('FUNCIONÁRIOS'!$B$4:$B$501,MATCH(B1035,'FUNCIONÁRIOS'!$C$4:$C$501,0)),""))</f>
        <v>GYNLIGHT</v>
      </c>
      <c r="D1035" s="199" t="str">
        <f t="array" ref="D1035">IF(B1035="","",IFERROR(INDEX('FUNCIONÁRIOS'!$D$4:$D$501,MATCH(B1035,'FUNCIONÁRIOS'!$C$4:$C$501,0)),""))</f>
        <v>Auxiliar Técnico em Iluminação</v>
      </c>
      <c r="E1035" s="199" t="str">
        <f t="array" ref="E1035">IF(B1035="","",IFERROR(INDEX('FUNCIONÁRIOS'!$E$4:$E$501,MATCH(B1035,'FUNCIONÁRIOS'!$C$4:$C$501,0)),""))</f>
        <v>NÃO</v>
      </c>
      <c r="F1035" s="138">
        <v>46170.0</v>
      </c>
      <c r="G1035" s="115" t="str">
        <f t="shared" si="54"/>
        <v>✅ 10:00</v>
      </c>
      <c r="H1035" s="174" t="s">
        <v>1960</v>
      </c>
      <c r="I1035" s="117" t="str">
        <f t="shared" si="48"/>
        <v>→ Selecione a linha e use o menu ⏱️ Ponto</v>
      </c>
      <c r="J1035" s="180"/>
      <c r="K1035" s="179"/>
      <c r="L1035" s="119" t="str">
        <f t="shared" si="49"/>
        <v>🟢 No Evento</v>
      </c>
    </row>
    <row r="1036" ht="15.75" customHeight="1">
      <c r="A1036" s="13"/>
      <c r="B1036" s="173" t="s">
        <v>263</v>
      </c>
      <c r="C1036" s="199" t="str">
        <f t="array" ref="C1036">IF(B1036="","",IFERROR(INDEX('FUNCIONÁRIOS'!$B$4:$B$501,MATCH(B1036,'FUNCIONÁRIOS'!$C$4:$C$501,0)),""))</f>
        <v>GYNLIGHT</v>
      </c>
      <c r="D1036" s="199" t="str">
        <f t="array" ref="D1036">IF(B1036="","",IFERROR(INDEX('FUNCIONÁRIOS'!$D$4:$D$501,MATCH(B1036,'FUNCIONÁRIOS'!$C$4:$C$501,0)),""))</f>
        <v>Auxiliar Técnico em Iluminação</v>
      </c>
      <c r="E1036" s="199" t="str">
        <f t="array" ref="E1036">IF(B1036="","",IFERROR(INDEX('FUNCIONÁRIOS'!$E$4:$E$501,MATCH(B1036,'FUNCIONÁRIOS'!$C$4:$C$501,0)),""))</f>
        <v>NÃO</v>
      </c>
      <c r="F1036" s="138">
        <v>46170.0</v>
      </c>
      <c r="G1036" s="115" t="str">
        <f t="shared" si="54"/>
        <v>✅ 10:01</v>
      </c>
      <c r="H1036" s="174" t="s">
        <v>1828</v>
      </c>
      <c r="I1036" s="117" t="str">
        <f t="shared" si="48"/>
        <v>→ Selecione a linha e use o menu ⏱️ Ponto</v>
      </c>
      <c r="J1036" s="180"/>
      <c r="K1036" s="179"/>
      <c r="L1036" s="119" t="str">
        <f t="shared" si="49"/>
        <v>🟢 No Evento</v>
      </c>
    </row>
    <row r="1037" ht="15.75" customHeight="1">
      <c r="A1037" s="13"/>
      <c r="B1037" s="173" t="s">
        <v>952</v>
      </c>
      <c r="C1037" s="199" t="str">
        <f t="array" ref="C1037">IF(B1037="","",IFERROR(INDEX('FUNCIONÁRIOS'!$B$4:$B$501,MATCH(B1037,'FUNCIONÁRIOS'!$C$4:$C$501,0)),""))</f>
        <v>FABINHO EVENTOS </v>
      </c>
      <c r="D1037" s="199" t="str">
        <f t="array" ref="D1037">IF(B1037="","",IFERROR(INDEX('FUNCIONÁRIOS'!$D$4:$D$501,MATCH(B1037,'FUNCIONÁRIOS'!$C$4:$C$501,0)),""))</f>
        <v>MONTAGEM E DESMONTAGEM DE BAR (STAFF)</v>
      </c>
      <c r="E1037" s="199" t="str">
        <f t="array" ref="E1037">IF(B1037="","",IFERROR(INDEX('FUNCIONÁRIOS'!$E$4:$E$501,MATCH(B1037,'FUNCIONÁRIOS'!$C$4:$C$501,0)),""))</f>
        <v>LANÇAR</v>
      </c>
      <c r="F1037" s="138">
        <v>46170.0</v>
      </c>
      <c r="G1037" s="115" t="str">
        <f t="shared" si="54"/>
        <v>✅ 10:01</v>
      </c>
      <c r="H1037" s="174" t="s">
        <v>1828</v>
      </c>
      <c r="I1037" s="117" t="str">
        <f t="shared" si="48"/>
        <v>→ Selecione a linha e use o menu ⏱️ Ponto</v>
      </c>
      <c r="J1037" s="180"/>
      <c r="K1037" s="179"/>
      <c r="L1037" s="119" t="str">
        <f t="shared" si="49"/>
        <v>🟢 No Evento</v>
      </c>
    </row>
    <row r="1038" ht="15.75" customHeight="1">
      <c r="A1038" s="13"/>
      <c r="B1038" s="173" t="s">
        <v>1518</v>
      </c>
      <c r="C1038" s="199" t="str">
        <f t="array" ref="C1038">IF(B1038="","",IFERROR(INDEX('FUNCIONÁRIOS'!$B$4:$B$501,MATCH(B1038,'FUNCIONÁRIOS'!$C$4:$C$501,0)),""))</f>
        <v/>
      </c>
      <c r="D1038" s="199" t="str">
        <f t="array" ref="D1038">IF(B1038="","",IFERROR(INDEX('FUNCIONÁRIOS'!$D$4:$D$501,MATCH(B1038,'FUNCIONÁRIOS'!$C$4:$C$501,0)),""))</f>
        <v/>
      </c>
      <c r="E1038" s="199" t="str">
        <f t="array" ref="E1038">IF(B1038="","",IFERROR(INDEX('FUNCIONÁRIOS'!$E$4:$E$501,MATCH(B1038,'FUNCIONÁRIOS'!$C$4:$C$501,0)),""))</f>
        <v/>
      </c>
      <c r="F1038" s="138">
        <v>46170.0</v>
      </c>
      <c r="G1038" s="115" t="str">
        <f t="shared" si="54"/>
        <v>✅ 10:04</v>
      </c>
      <c r="H1038" s="174" t="s">
        <v>1637</v>
      </c>
      <c r="I1038" s="117" t="str">
        <f t="shared" si="48"/>
        <v>→ Selecione a linha e use o menu ⏱️ Ponto</v>
      </c>
      <c r="J1038" s="180"/>
      <c r="K1038" s="179"/>
      <c r="L1038" s="119" t="str">
        <f t="shared" si="49"/>
        <v>🟢 No Evento</v>
      </c>
    </row>
    <row r="1039" ht="15.75" customHeight="1">
      <c r="A1039" s="13"/>
      <c r="B1039" s="173" t="s">
        <v>1519</v>
      </c>
      <c r="C1039" s="199" t="str">
        <f t="array" ref="C1039">IF(B1039="","",IFERROR(INDEX('FUNCIONÁRIOS'!$B$4:$B$501,MATCH(B1039,'FUNCIONÁRIOS'!$C$4:$C$501,0)),""))</f>
        <v/>
      </c>
      <c r="D1039" s="199" t="str">
        <f t="array" ref="D1039">IF(B1039="","",IFERROR(INDEX('FUNCIONÁRIOS'!$D$4:$D$501,MATCH(B1039,'FUNCIONÁRIOS'!$C$4:$C$501,0)),""))</f>
        <v/>
      </c>
      <c r="E1039" s="199" t="str">
        <f t="array" ref="E1039">IF(B1039="","",IFERROR(INDEX('FUNCIONÁRIOS'!$E$4:$E$501,MATCH(B1039,'FUNCIONÁRIOS'!$C$4:$C$501,0)),""))</f>
        <v/>
      </c>
      <c r="F1039" s="138">
        <v>46170.0</v>
      </c>
      <c r="G1039" s="115" t="str">
        <f t="shared" si="54"/>
        <v>✅ 10:05</v>
      </c>
      <c r="H1039" s="174" t="s">
        <v>1638</v>
      </c>
      <c r="I1039" s="117" t="str">
        <f t="shared" si="48"/>
        <v>→ Selecione a linha e use o menu ⏱️ Ponto</v>
      </c>
      <c r="J1039" s="180"/>
      <c r="K1039" s="179"/>
      <c r="L1039" s="119" t="str">
        <f t="shared" si="49"/>
        <v>🟢 No Evento</v>
      </c>
    </row>
    <row r="1040" ht="15.75" customHeight="1">
      <c r="A1040" s="13"/>
      <c r="B1040" s="173" t="s">
        <v>260</v>
      </c>
      <c r="C1040" s="199" t="str">
        <f t="array" ref="C1040">IF(B1040="","",IFERROR(INDEX('FUNCIONÁRIOS'!$B$4:$B$501,MATCH(B1040,'FUNCIONÁRIOS'!$C$4:$C$501,0)),""))</f>
        <v>GYNLIGHT</v>
      </c>
      <c r="D1040" s="199" t="str">
        <f t="array" ref="D1040">IF(B1040="","",IFERROR(INDEX('FUNCIONÁRIOS'!$D$4:$D$501,MATCH(B1040,'FUNCIONÁRIOS'!$C$4:$C$501,0)),""))</f>
        <v>Cordenador Técnico</v>
      </c>
      <c r="E1040" s="199" t="str">
        <f t="array" ref="E1040">IF(B1040="","",IFERROR(INDEX('FUNCIONÁRIOS'!$E$4:$E$501,MATCH(B1040,'FUNCIONÁRIOS'!$C$4:$C$501,0)),""))</f>
        <v>SIM</v>
      </c>
      <c r="F1040" s="138">
        <v>46170.0</v>
      </c>
      <c r="G1040" s="115" t="str">
        <f t="shared" si="54"/>
        <v>✅ 10:05</v>
      </c>
      <c r="H1040" s="174" t="s">
        <v>1638</v>
      </c>
      <c r="I1040" s="117" t="str">
        <f t="shared" si="48"/>
        <v>→ Selecione a linha e use o menu ⏱️ Ponto</v>
      </c>
      <c r="J1040" s="180"/>
      <c r="K1040" s="179"/>
      <c r="L1040" s="119" t="str">
        <f t="shared" si="49"/>
        <v>🟢 No Evento</v>
      </c>
    </row>
    <row r="1041" ht="15.75" customHeight="1">
      <c r="A1041" s="13"/>
      <c r="B1041" s="173" t="s">
        <v>145</v>
      </c>
      <c r="C1041" s="199" t="str">
        <f t="array" ref="C1041">IF(B1041="","",IFERROR(INDEX('FUNCIONÁRIOS'!$B$4:$B$501,MATCH(B1041,'FUNCIONÁRIOS'!$C$4:$C$501,0)),""))</f>
        <v>NLEDS LOCAÇÃO - PAINEIS DE LED </v>
      </c>
      <c r="D1041" s="199" t="str">
        <f t="array" ref="D1041">IF(B1041="","",IFERROR(INDEX('FUNCIONÁRIOS'!$D$4:$D$501,MATCH(B1041,'FUNCIONÁRIOS'!$C$4:$C$501,0)),""))</f>
        <v>TÉCNICO DE MONTAGEM DE PAINÉIS DE LED</v>
      </c>
      <c r="E1041" s="199" t="str">
        <f t="array" ref="E1041">IF(B1041="","",IFERROR(INDEX('FUNCIONÁRIOS'!$E$4:$E$501,MATCH(B1041,'FUNCIONÁRIOS'!$C$4:$C$501,0)),""))</f>
        <v>NÃO</v>
      </c>
      <c r="F1041" s="138">
        <v>46170.0</v>
      </c>
      <c r="G1041" s="115" t="str">
        <f t="shared" si="54"/>
        <v>✅ 10:06</v>
      </c>
      <c r="H1041" s="174" t="s">
        <v>1704</v>
      </c>
      <c r="I1041" s="117" t="str">
        <f t="shared" si="48"/>
        <v>→ Selecione a linha e use o menu ⏱️ Ponto</v>
      </c>
      <c r="J1041" s="180"/>
      <c r="K1041" s="179"/>
      <c r="L1041" s="119" t="str">
        <f t="shared" si="49"/>
        <v>🟢 No Evento</v>
      </c>
    </row>
    <row r="1042" ht="15.75" customHeight="1">
      <c r="A1042" s="13"/>
      <c r="B1042" s="173" t="s">
        <v>148</v>
      </c>
      <c r="C1042" s="199" t="str">
        <f t="array" ref="C1042">IF(B1042="","",IFERROR(INDEX('FUNCIONÁRIOS'!$B$4:$B$501,MATCH(B1042,'FUNCIONÁRIOS'!$C$4:$C$501,0)),""))</f>
        <v>NLEDS LOCAÇÃO - PAINEIS DE LED </v>
      </c>
      <c r="D1042" s="199" t="str">
        <f t="array" ref="D1042">IF(B1042="","",IFERROR(INDEX('FUNCIONÁRIOS'!$D$4:$D$501,MATCH(B1042,'FUNCIONÁRIOS'!$C$4:$C$501,0)),""))</f>
        <v>TÉCNICO DE MONTAGEM DE PAINÉIS DE LED</v>
      </c>
      <c r="E1042" s="199" t="str">
        <f t="array" ref="E1042">IF(B1042="","",IFERROR(INDEX('FUNCIONÁRIOS'!$E$4:$E$501,MATCH(B1042,'FUNCIONÁRIOS'!$C$4:$C$501,0)),""))</f>
        <v>NÃO</v>
      </c>
      <c r="F1042" s="138">
        <v>46170.0</v>
      </c>
      <c r="G1042" s="115" t="str">
        <f t="shared" si="54"/>
        <v>✅ 10:06</v>
      </c>
      <c r="H1042" s="174" t="s">
        <v>1704</v>
      </c>
      <c r="I1042" s="117" t="str">
        <f t="shared" si="48"/>
        <v>→ Selecione a linha e use o menu ⏱️ Ponto</v>
      </c>
      <c r="J1042" s="180"/>
      <c r="K1042" s="179"/>
      <c r="L1042" s="119" t="str">
        <f t="shared" si="49"/>
        <v>🟢 No Evento</v>
      </c>
    </row>
    <row r="1043" ht="15.75" customHeight="1">
      <c r="A1043" s="13"/>
      <c r="B1043" s="173" t="s">
        <v>155</v>
      </c>
      <c r="C1043" s="199" t="str">
        <f t="array" ref="C1043">IF(B1043="","",IFERROR(INDEX('FUNCIONÁRIOS'!$B$4:$B$501,MATCH(B1043,'FUNCIONÁRIOS'!$C$4:$C$501,0)),""))</f>
        <v>NLEDS LOCAÇÃO - PAINEIS DE LED </v>
      </c>
      <c r="D1043" s="199" t="str">
        <f t="array" ref="D1043">IF(B1043="","",IFERROR(INDEX('FUNCIONÁRIOS'!$D$4:$D$501,MATCH(B1043,'FUNCIONÁRIOS'!$C$4:$C$501,0)),""))</f>
        <v>AUXILIAR DE MONTAGEM DE PAINÉIS DE LED</v>
      </c>
      <c r="E1043" s="199" t="str">
        <f t="array" ref="E1043">IF(B1043="","",IFERROR(INDEX('FUNCIONÁRIOS'!$E$4:$E$501,MATCH(B1043,'FUNCIONÁRIOS'!$C$4:$C$501,0)),""))</f>
        <v>NÃO</v>
      </c>
      <c r="F1043" s="138">
        <v>46170.0</v>
      </c>
      <c r="G1043" s="115" t="str">
        <f t="shared" si="54"/>
        <v>✅ 10:07</v>
      </c>
      <c r="H1043" s="174" t="s">
        <v>1699</v>
      </c>
      <c r="I1043" s="117" t="str">
        <f t="shared" si="48"/>
        <v>→ Selecione a linha e use o menu ⏱️ Ponto</v>
      </c>
      <c r="J1043" s="180"/>
      <c r="K1043" s="179"/>
      <c r="L1043" s="119" t="str">
        <f t="shared" si="49"/>
        <v>🟢 No Evento</v>
      </c>
    </row>
    <row r="1044" ht="15.75" customHeight="1">
      <c r="A1044" s="13"/>
      <c r="B1044" s="173" t="s">
        <v>153</v>
      </c>
      <c r="C1044" s="199" t="str">
        <f t="array" ref="C1044">IF(B1044="","",IFERROR(INDEX('FUNCIONÁRIOS'!$B$4:$B$501,MATCH(B1044,'FUNCIONÁRIOS'!$C$4:$C$501,0)),""))</f>
        <v>NLEDS LOCAÇÃO - PAINEIS DE LED </v>
      </c>
      <c r="D1044" s="199" t="str">
        <f t="array" ref="D1044">IF(B1044="","",IFERROR(INDEX('FUNCIONÁRIOS'!$D$4:$D$501,MATCH(B1044,'FUNCIONÁRIOS'!$C$4:$C$501,0)),""))</f>
        <v>AUXILIAR DE MONTAGEM DE PAINÉIS DE LED</v>
      </c>
      <c r="E1044" s="199" t="str">
        <f t="array" ref="E1044">IF(B1044="","",IFERROR(INDEX('FUNCIONÁRIOS'!$E$4:$E$501,MATCH(B1044,'FUNCIONÁRIOS'!$C$4:$C$501,0)),""))</f>
        <v>NÃO</v>
      </c>
      <c r="F1044" s="138">
        <v>46170.0</v>
      </c>
      <c r="G1044" s="115" t="str">
        <f t="shared" si="54"/>
        <v>✅ 10:07</v>
      </c>
      <c r="H1044" s="174" t="s">
        <v>1699</v>
      </c>
      <c r="I1044" s="117" t="str">
        <f t="shared" si="48"/>
        <v>→ Selecione a linha e use o menu ⏱️ Ponto</v>
      </c>
      <c r="J1044" s="180"/>
      <c r="K1044" s="179"/>
      <c r="L1044" s="119" t="str">
        <f t="shared" si="49"/>
        <v>🟢 No Evento</v>
      </c>
    </row>
    <row r="1045" ht="15.75" customHeight="1">
      <c r="A1045" s="13"/>
      <c r="B1045" s="173" t="s">
        <v>1520</v>
      </c>
      <c r="C1045" s="199" t="str">
        <f t="array" ref="C1045">IF(B1045="","",IFERROR(INDEX('FUNCIONÁRIOS'!$B$4:$B$501,MATCH(B1045,'FUNCIONÁRIOS'!$C$4:$C$501,0)),""))</f>
        <v/>
      </c>
      <c r="D1045" s="199" t="str">
        <f t="array" ref="D1045">IF(B1045="","",IFERROR(INDEX('FUNCIONÁRIOS'!$D$4:$D$501,MATCH(B1045,'FUNCIONÁRIOS'!$C$4:$C$501,0)),""))</f>
        <v/>
      </c>
      <c r="E1045" s="199" t="str">
        <f t="array" ref="E1045">IF(B1045="","",IFERROR(INDEX('FUNCIONÁRIOS'!$E$4:$E$501,MATCH(B1045,'FUNCIONÁRIOS'!$C$4:$C$501,0)),""))</f>
        <v/>
      </c>
      <c r="F1045" s="138">
        <v>46170.0</v>
      </c>
      <c r="G1045" s="115" t="str">
        <f t="shared" si="54"/>
        <v>✅ 10:07</v>
      </c>
      <c r="H1045" s="174" t="s">
        <v>1699</v>
      </c>
      <c r="I1045" s="117" t="str">
        <f t="shared" si="48"/>
        <v>→ Selecione a linha e use o menu ⏱️ Ponto</v>
      </c>
      <c r="J1045" s="180"/>
      <c r="K1045" s="179"/>
      <c r="L1045" s="119" t="str">
        <f t="shared" si="49"/>
        <v>🟢 No Evento</v>
      </c>
    </row>
    <row r="1046" ht="15.75" customHeight="1">
      <c r="A1046" s="13"/>
      <c r="B1046" s="173" t="s">
        <v>1522</v>
      </c>
      <c r="C1046" s="199" t="str">
        <f t="array" ref="C1046">IF(B1046="","",IFERROR(INDEX('FUNCIONÁRIOS'!$B$4:$B$501,MATCH(B1046,'FUNCIONÁRIOS'!$C$4:$C$501,0)),""))</f>
        <v/>
      </c>
      <c r="D1046" s="199" t="str">
        <f t="array" ref="D1046">IF(B1046="","",IFERROR(INDEX('FUNCIONÁRIOS'!$D$4:$D$501,MATCH(B1046,'FUNCIONÁRIOS'!$C$4:$C$501,0)),""))</f>
        <v/>
      </c>
      <c r="E1046" s="199" t="str">
        <f t="array" ref="E1046">IF(B1046="","",IFERROR(INDEX('FUNCIONÁRIOS'!$E$4:$E$501,MATCH(B1046,'FUNCIONÁRIOS'!$C$4:$C$501,0)),""))</f>
        <v/>
      </c>
      <c r="F1046" s="138">
        <v>46170.0</v>
      </c>
      <c r="G1046" s="115" t="str">
        <f t="shared" si="54"/>
        <v>✅ 10:10</v>
      </c>
      <c r="H1046" s="174" t="s">
        <v>1697</v>
      </c>
      <c r="I1046" s="117" t="str">
        <f t="shared" si="48"/>
        <v>→ Selecione a linha e use o menu ⏱️ Ponto</v>
      </c>
      <c r="J1046" s="180"/>
      <c r="K1046" s="179"/>
      <c r="L1046" s="119" t="str">
        <f t="shared" si="49"/>
        <v>🟢 No Evento</v>
      </c>
    </row>
    <row r="1047" ht="15.75" customHeight="1">
      <c r="A1047" s="13"/>
      <c r="B1047" s="173" t="s">
        <v>1524</v>
      </c>
      <c r="C1047" s="199" t="str">
        <f t="array" ref="C1047">IF(B1047="","",IFERROR(INDEX('FUNCIONÁRIOS'!$B$4:$B$501,MATCH(B1047,'FUNCIONÁRIOS'!$C$4:$C$501,0)),""))</f>
        <v/>
      </c>
      <c r="D1047" s="199" t="str">
        <f t="array" ref="D1047">IF(B1047="","",IFERROR(INDEX('FUNCIONÁRIOS'!$D$4:$D$501,MATCH(B1047,'FUNCIONÁRIOS'!$C$4:$C$501,0)),""))</f>
        <v/>
      </c>
      <c r="E1047" s="199" t="str">
        <f t="array" ref="E1047">IF(B1047="","",IFERROR(INDEX('FUNCIONÁRIOS'!$E$4:$E$501,MATCH(B1047,'FUNCIONÁRIOS'!$C$4:$C$501,0)),""))</f>
        <v/>
      </c>
      <c r="F1047" s="138">
        <v>46170.0</v>
      </c>
      <c r="G1047" s="115" t="str">
        <f t="shared" si="54"/>
        <v>→ Selecione a linha e use o menu ⏱️ Ponto</v>
      </c>
      <c r="H1047" s="174"/>
      <c r="I1047" s="117" t="str">
        <f t="shared" si="48"/>
        <v>→ Selecione a linha e use o menu ⏱️ Ponto</v>
      </c>
      <c r="J1047" s="180"/>
      <c r="K1047" s="179"/>
      <c r="L1047" s="119" t="str">
        <f t="shared" si="49"/>
        <v>⏳ Não entrou</v>
      </c>
    </row>
    <row r="1048" ht="15.75" customHeight="1">
      <c r="A1048" s="13"/>
      <c r="B1048" s="173" t="s">
        <v>380</v>
      </c>
      <c r="C1048" s="199" t="str">
        <f t="array" ref="C1048">IF(B1048="","",IFERROR(INDEX('FUNCIONÁRIOS'!$B$4:$B$501,MATCH(B1048,'FUNCIONÁRIOS'!$C$4:$C$501,0)),""))</f>
        <v>GO TO </v>
      </c>
      <c r="D1048" s="199" t="str">
        <f t="array" ref="D1048">IF(B1048="","",IFERROR(INDEX('FUNCIONÁRIOS'!$D$4:$D$501,MATCH(B1048,'FUNCIONÁRIOS'!$C$4:$C$501,0)),""))</f>
        <v>MONTADOR</v>
      </c>
      <c r="E1048" s="199" t="str">
        <f t="array" ref="E1048">IF(B1048="","",IFERROR(INDEX('FUNCIONÁRIOS'!$E$4:$E$501,MATCH(B1048,'FUNCIONÁRIOS'!$C$4:$C$501,0)),""))</f>
        <v>NÃO</v>
      </c>
      <c r="F1048" s="138">
        <v>46170.0</v>
      </c>
      <c r="G1048" s="115" t="str">
        <f t="shared" si="54"/>
        <v>✅ 10:11</v>
      </c>
      <c r="H1048" s="174" t="s">
        <v>1900</v>
      </c>
      <c r="I1048" s="117" t="str">
        <f t="shared" si="48"/>
        <v>→ Selecione a linha e use o menu ⏱️ Ponto</v>
      </c>
      <c r="J1048" s="180"/>
      <c r="K1048" s="179"/>
      <c r="L1048" s="119" t="str">
        <f t="shared" si="49"/>
        <v>🟢 No Evento</v>
      </c>
    </row>
    <row r="1049" ht="15.75" customHeight="1">
      <c r="A1049" s="13"/>
      <c r="B1049" s="173"/>
      <c r="C1049" s="199" t="str">
        <f t="array" ref="C1049">IF(B1049="","",IFERROR(INDEX('FUNCIONÁRIOS'!$B$4:$B$501,MATCH(B1049,'FUNCIONÁRIOS'!$C$4:$C$501,0)),""))</f>
        <v/>
      </c>
      <c r="D1049" s="199" t="str">
        <f t="array" ref="D1049">IF(B1049="","",IFERROR(INDEX('FUNCIONÁRIOS'!$D$4:$D$501,MATCH(B1049,'FUNCIONÁRIOS'!$C$4:$C$501,0)),""))</f>
        <v/>
      </c>
      <c r="E1049" s="199" t="str">
        <f t="array" ref="E1049">IF(B1049="","",IFERROR(INDEX('FUNCIONÁRIOS'!$E$4:$E$501,MATCH(B1049,'FUNCIONÁRIOS'!$C$4:$C$501,0)),""))</f>
        <v/>
      </c>
      <c r="F1049" s="138">
        <v>46170.0</v>
      </c>
      <c r="G1049" s="115" t="str">
        <f t="shared" si="54"/>
        <v>→ Selecione a linha e use o menu ⏱️ Ponto</v>
      </c>
      <c r="H1049" s="174"/>
      <c r="I1049" s="117" t="str">
        <f t="shared" si="48"/>
        <v>→ Selecione a linha e use o menu ⏱️ Ponto</v>
      </c>
      <c r="J1049" s="180"/>
      <c r="K1049" s="179"/>
      <c r="L1049" s="119" t="str">
        <f t="shared" si="49"/>
        <v/>
      </c>
    </row>
    <row r="1050" ht="15.75" customHeight="1">
      <c r="A1050" s="13"/>
      <c r="B1050" s="173" t="s">
        <v>1526</v>
      </c>
      <c r="C1050" s="199" t="str">
        <f t="array" ref="C1050">IF(B1050="","",IFERROR(INDEX('FUNCIONÁRIOS'!$B$4:$B$501,MATCH(B1050,'FUNCIONÁRIOS'!$C$4:$C$501,0)),""))</f>
        <v/>
      </c>
      <c r="D1050" s="199" t="str">
        <f t="array" ref="D1050">IF(B1050="","",IFERROR(INDEX('FUNCIONÁRIOS'!$D$4:$D$501,MATCH(B1050,'FUNCIONÁRIOS'!$C$4:$C$501,0)),""))</f>
        <v/>
      </c>
      <c r="E1050" s="199" t="str">
        <f t="array" ref="E1050">IF(B1050="","",IFERROR(INDEX('FUNCIONÁRIOS'!$E$4:$E$501,MATCH(B1050,'FUNCIONÁRIOS'!$C$4:$C$501,0)),""))</f>
        <v/>
      </c>
      <c r="F1050" s="138">
        <v>46170.0</v>
      </c>
      <c r="G1050" s="115" t="str">
        <f t="shared" si="54"/>
        <v>✅ 10:12</v>
      </c>
      <c r="H1050" s="174" t="s">
        <v>1830</v>
      </c>
      <c r="I1050" s="117" t="str">
        <f t="shared" si="48"/>
        <v>→ Selecione a linha e use o menu ⏱️ Ponto</v>
      </c>
      <c r="J1050" s="180"/>
      <c r="K1050" s="179"/>
      <c r="L1050" s="119" t="str">
        <f t="shared" si="49"/>
        <v>🟢 No Evento</v>
      </c>
    </row>
    <row r="1051" ht="15.75" customHeight="1">
      <c r="A1051" s="13"/>
      <c r="B1051" s="173" t="s">
        <v>1527</v>
      </c>
      <c r="C1051" s="199" t="str">
        <f t="array" ref="C1051">IF(B1051="","",IFERROR(INDEX('FUNCIONÁRIOS'!$B$4:$B$501,MATCH(B1051,'FUNCIONÁRIOS'!$C$4:$C$501,0)),""))</f>
        <v/>
      </c>
      <c r="D1051" s="199" t="str">
        <f t="array" ref="D1051">IF(B1051="","",IFERROR(INDEX('FUNCIONÁRIOS'!$D$4:$D$501,MATCH(B1051,'FUNCIONÁRIOS'!$C$4:$C$501,0)),""))</f>
        <v/>
      </c>
      <c r="E1051" s="199" t="str">
        <f t="array" ref="E1051">IF(B1051="","",IFERROR(INDEX('FUNCIONÁRIOS'!$E$4:$E$501,MATCH(B1051,'FUNCIONÁRIOS'!$C$4:$C$501,0)),""))</f>
        <v/>
      </c>
      <c r="F1051" s="138">
        <v>46170.0</v>
      </c>
      <c r="G1051" s="115" t="str">
        <f t="shared" si="54"/>
        <v>→ Selecione a linha e use o menu ⏱️ Ponto</v>
      </c>
      <c r="H1051" s="174"/>
      <c r="I1051" s="117" t="str">
        <f t="shared" si="48"/>
        <v>→ Selecione a linha e use o menu ⏱️ Ponto</v>
      </c>
      <c r="J1051" s="180"/>
      <c r="K1051" s="179"/>
      <c r="L1051" s="119" t="str">
        <f t="shared" si="49"/>
        <v>⏳ Não entrou</v>
      </c>
    </row>
    <row r="1052" ht="15.75" customHeight="1">
      <c r="A1052" s="13"/>
      <c r="B1052" s="173" t="s">
        <v>573</v>
      </c>
      <c r="C1052" s="199" t="str">
        <f t="array" ref="C1052">IF(B1052="","",IFERROR(INDEX('FUNCIONÁRIOS'!$B$4:$B$501,MATCH(B1052,'FUNCIONÁRIOS'!$C$4:$C$501,0)),""))</f>
        <v>GO TO </v>
      </c>
      <c r="D1052" s="199" t="str">
        <f t="array" ref="D1052">IF(B1052="","",IFERROR(INDEX('FUNCIONÁRIOS'!$D$4:$D$501,MATCH(B1052,'FUNCIONÁRIOS'!$C$4:$C$501,0)),""))</f>
        <v>CENOGRAFIA </v>
      </c>
      <c r="E1052" s="199" t="str">
        <f t="array" ref="E1052">IF(B1052="","",IFERROR(INDEX('FUNCIONÁRIOS'!$E$4:$E$501,MATCH(B1052,'FUNCIONÁRIOS'!$C$4:$C$501,0)),""))</f>
        <v>NÃO</v>
      </c>
      <c r="F1052" s="138">
        <v>46170.0</v>
      </c>
      <c r="G1052" s="115" t="str">
        <f t="shared" si="54"/>
        <v>✅ 10:15</v>
      </c>
      <c r="H1052" s="174" t="s">
        <v>1832</v>
      </c>
      <c r="I1052" s="117" t="str">
        <f t="shared" si="48"/>
        <v>→ Selecione a linha e use o menu ⏱️ Ponto</v>
      </c>
      <c r="J1052" s="180"/>
      <c r="K1052" s="179"/>
      <c r="L1052" s="119" t="str">
        <f t="shared" si="49"/>
        <v>🟢 No Evento</v>
      </c>
    </row>
    <row r="1053" ht="15.75" customHeight="1">
      <c r="A1053" s="13"/>
      <c r="B1053" s="173" t="s">
        <v>1529</v>
      </c>
      <c r="C1053" s="199" t="str">
        <f t="array" ref="C1053">IF(B1053="","",IFERROR(INDEX('FUNCIONÁRIOS'!$B$4:$B$501,MATCH(B1053,'FUNCIONÁRIOS'!$C$4:$C$501,0)),""))</f>
        <v/>
      </c>
      <c r="D1053" s="199" t="str">
        <f t="array" ref="D1053">IF(B1053="","",IFERROR(INDEX('FUNCIONÁRIOS'!$D$4:$D$501,MATCH(B1053,'FUNCIONÁRIOS'!$C$4:$C$501,0)),""))</f>
        <v/>
      </c>
      <c r="E1053" s="199" t="str">
        <f t="array" ref="E1053">IF(B1053="","",IFERROR(INDEX('FUNCIONÁRIOS'!$E$4:$E$501,MATCH(B1053,'FUNCIONÁRIOS'!$C$4:$C$501,0)),""))</f>
        <v/>
      </c>
      <c r="F1053" s="138">
        <v>46170.0</v>
      </c>
      <c r="G1053" s="115" t="str">
        <f t="shared" si="54"/>
        <v>✅ 10:16</v>
      </c>
      <c r="H1053" s="174" t="s">
        <v>1833</v>
      </c>
      <c r="I1053" s="117" t="str">
        <f t="shared" si="48"/>
        <v>→ Selecione a linha e use o menu ⏱️ Ponto</v>
      </c>
      <c r="J1053" s="180"/>
      <c r="K1053" s="179"/>
      <c r="L1053" s="119" t="str">
        <f t="shared" si="49"/>
        <v>🟢 No Evento</v>
      </c>
    </row>
    <row r="1054" ht="15.75" customHeight="1">
      <c r="A1054" s="13"/>
      <c r="B1054" s="173"/>
      <c r="C1054" s="199" t="str">
        <f t="array" ref="C1054">IF(B1054="","",IFERROR(INDEX('FUNCIONÁRIOS'!$B$4:$B$501,MATCH(B1054,'FUNCIONÁRIOS'!$C$4:$C$501,0)),""))</f>
        <v/>
      </c>
      <c r="D1054" s="199" t="str">
        <f t="array" ref="D1054">IF(B1054="","",IFERROR(INDEX('FUNCIONÁRIOS'!$D$4:$D$501,MATCH(B1054,'FUNCIONÁRIOS'!$C$4:$C$501,0)),""))</f>
        <v/>
      </c>
      <c r="E1054" s="199" t="str">
        <f t="array" ref="E1054">IF(B1054="","",IFERROR(INDEX('FUNCIONÁRIOS'!$E$4:$E$501,MATCH(B1054,'FUNCIONÁRIOS'!$C$4:$C$501,0)),""))</f>
        <v/>
      </c>
      <c r="F1054" s="138">
        <v>46170.0</v>
      </c>
      <c r="G1054" s="115" t="str">
        <f t="shared" si="54"/>
        <v>→ Selecione a linha e use o menu ⏱️ Ponto</v>
      </c>
      <c r="H1054" s="174"/>
      <c r="I1054" s="117" t="str">
        <f t="shared" si="48"/>
        <v>→ Selecione a linha e use o menu ⏱️ Ponto</v>
      </c>
      <c r="J1054" s="180"/>
      <c r="K1054" s="179"/>
      <c r="L1054" s="119" t="str">
        <f t="shared" si="49"/>
        <v/>
      </c>
    </row>
    <row r="1055" ht="15.75" customHeight="1">
      <c r="A1055" s="13"/>
      <c r="B1055" s="173" t="s">
        <v>574</v>
      </c>
      <c r="C1055" s="199" t="str">
        <f t="array" ref="C1055">IF(B1055="","",IFERROR(INDEX('FUNCIONÁRIOS'!$B$4:$B$501,MATCH(B1055,'FUNCIONÁRIOS'!$C$4:$C$501,0)),""))</f>
        <v>GO TO </v>
      </c>
      <c r="D1055" s="199" t="str">
        <f t="array" ref="D1055">IF(B1055="","",IFERROR(INDEX('FUNCIONÁRIOS'!$D$4:$D$501,MATCH(B1055,'FUNCIONÁRIOS'!$C$4:$C$501,0)),""))</f>
        <v>CENOGRAFIA </v>
      </c>
      <c r="E1055" s="199" t="str">
        <f t="array" ref="E1055">IF(B1055="","",IFERROR(INDEX('FUNCIONÁRIOS'!$E$4:$E$501,MATCH(B1055,'FUNCIONÁRIOS'!$C$4:$C$501,0)),""))</f>
        <v>NÃO</v>
      </c>
      <c r="F1055" s="138">
        <v>46170.0</v>
      </c>
      <c r="G1055" s="115" t="str">
        <f t="shared" si="54"/>
        <v>✅ 10:16</v>
      </c>
      <c r="H1055" s="174" t="s">
        <v>1833</v>
      </c>
      <c r="I1055" s="117" t="str">
        <f t="shared" si="48"/>
        <v>→ Selecione a linha e use o menu ⏱️ Ponto</v>
      </c>
      <c r="J1055" s="180"/>
      <c r="K1055" s="179"/>
      <c r="L1055" s="119" t="str">
        <f t="shared" si="49"/>
        <v>🟢 No Evento</v>
      </c>
    </row>
    <row r="1056" ht="15.75" customHeight="1">
      <c r="A1056" s="13"/>
      <c r="B1056" s="173" t="s">
        <v>1259</v>
      </c>
      <c r="C1056" s="199" t="str">
        <f t="array" ref="C1056">IF(B1056="","",IFERROR(INDEX('FUNCIONÁRIOS'!$B$4:$B$501,MATCH(B1056,'FUNCIONÁRIOS'!$C$4:$C$501,0)),""))</f>
        <v/>
      </c>
      <c r="D1056" s="199" t="str">
        <f t="array" ref="D1056">IF(B1056="","",IFERROR(INDEX('FUNCIONÁRIOS'!$D$4:$D$501,MATCH(B1056,'FUNCIONÁRIOS'!$C$4:$C$501,0)),""))</f>
        <v/>
      </c>
      <c r="E1056" s="199" t="str">
        <f t="array" ref="E1056">IF(B1056="","",IFERROR(INDEX('FUNCIONÁRIOS'!$E$4:$E$501,MATCH(B1056,'FUNCIONÁRIOS'!$C$4:$C$501,0)),""))</f>
        <v/>
      </c>
      <c r="F1056" s="138">
        <v>46170.0</v>
      </c>
      <c r="G1056" s="115" t="str">
        <f t="shared" si="54"/>
        <v>✅ 10:17</v>
      </c>
      <c r="H1056" s="174" t="s">
        <v>1834</v>
      </c>
      <c r="I1056" s="117" t="str">
        <f t="shared" si="48"/>
        <v>→ Selecione a linha e use o menu ⏱️ Ponto</v>
      </c>
      <c r="J1056" s="180"/>
      <c r="K1056" s="179"/>
      <c r="L1056" s="119" t="str">
        <f t="shared" si="49"/>
        <v>🟢 No Evento</v>
      </c>
    </row>
    <row r="1057" ht="15.75" customHeight="1">
      <c r="A1057" s="13"/>
      <c r="B1057" s="173" t="s">
        <v>654</v>
      </c>
      <c r="C1057" s="199" t="str">
        <f t="array" ref="C1057">IF(B1057="","",IFERROR(INDEX('FUNCIONÁRIOS'!$B$4:$B$501,MATCH(B1057,'FUNCIONÁRIOS'!$C$4:$C$501,0)),""))</f>
        <v>STUDIO K MULTI EVENTOS LTDA </v>
      </c>
      <c r="D1057" s="199" t="str">
        <f t="array" ref="D1057">IF(B1057="","",IFERROR(INDEX('FUNCIONÁRIOS'!$D$4:$D$501,MATCH(B1057,'FUNCIONÁRIOS'!$C$4:$C$501,0)),""))</f>
        <v>TECNICO EM SONORIZAÇÃO</v>
      </c>
      <c r="E1057" s="199" t="str">
        <f t="array" ref="E1057">IF(B1057="","",IFERROR(INDEX('FUNCIONÁRIOS'!$E$4:$E$501,MATCH(B1057,'FUNCIONÁRIOS'!$C$4:$C$501,0)),""))</f>
        <v>NÃO</v>
      </c>
      <c r="F1057" s="138">
        <v>46170.0</v>
      </c>
      <c r="G1057" s="115" t="str">
        <f t="shared" si="54"/>
        <v>✅ 10:17</v>
      </c>
      <c r="H1057" s="174" t="s">
        <v>1834</v>
      </c>
      <c r="I1057" s="117" t="str">
        <f t="shared" si="48"/>
        <v>→ Selecione a linha e use o menu ⏱️ Ponto</v>
      </c>
      <c r="J1057" s="180"/>
      <c r="K1057" s="179"/>
      <c r="L1057" s="119" t="str">
        <f t="shared" si="49"/>
        <v>🟢 No Evento</v>
      </c>
    </row>
    <row r="1058" ht="15.75" customHeight="1">
      <c r="A1058" s="13"/>
      <c r="B1058" s="173" t="s">
        <v>276</v>
      </c>
      <c r="C1058" s="199" t="str">
        <f t="array" ref="C1058">IF(B1058="","",IFERROR(INDEX('FUNCIONÁRIOS'!$B$4:$B$501,MATCH(B1058,'FUNCIONÁRIOS'!$C$4:$C$501,0)),""))</f>
        <v>GYNLIGHT</v>
      </c>
      <c r="D1058" s="199" t="str">
        <f t="array" ref="D1058">IF(B1058="","",IFERROR(INDEX('FUNCIONÁRIOS'!$D$4:$D$501,MATCH(B1058,'FUNCIONÁRIOS'!$C$4:$C$501,0)),""))</f>
        <v>Técnico em Iluminação</v>
      </c>
      <c r="E1058" s="199" t="str">
        <f t="array" ref="E1058">IF(B1058="","",IFERROR(INDEX('FUNCIONÁRIOS'!$E$4:$E$501,MATCH(B1058,'FUNCIONÁRIOS'!$C$4:$C$501,0)),""))</f>
        <v>NÃO</v>
      </c>
      <c r="F1058" s="138">
        <v>46170.0</v>
      </c>
      <c r="G1058" s="115" t="str">
        <f t="shared" si="54"/>
        <v>✅ 10:18</v>
      </c>
      <c r="H1058" s="174" t="s">
        <v>1961</v>
      </c>
      <c r="I1058" s="117" t="str">
        <f t="shared" si="48"/>
        <v>→ Selecione a linha e use o menu ⏱️ Ponto</v>
      </c>
      <c r="J1058" s="180"/>
      <c r="K1058" s="179"/>
      <c r="L1058" s="119" t="str">
        <f t="shared" si="49"/>
        <v>🟢 No Evento</v>
      </c>
    </row>
    <row r="1059" ht="15.75" customHeight="1">
      <c r="A1059" s="13"/>
      <c r="B1059" s="173" t="s">
        <v>1530</v>
      </c>
      <c r="C1059" s="203" t="s">
        <v>1962</v>
      </c>
      <c r="D1059" s="203" t="s">
        <v>97</v>
      </c>
      <c r="E1059" s="199" t="str">
        <f t="array" ref="E1059">IF(B1059="","",IFERROR(INDEX('FUNCIONÁRIOS'!$E$4:$E$501,MATCH(B1059,'FUNCIONÁRIOS'!$C$4:$C$501,0)),""))</f>
        <v/>
      </c>
      <c r="F1059" s="138">
        <v>46170.0</v>
      </c>
      <c r="G1059" s="115" t="str">
        <f t="shared" si="54"/>
        <v>✅ 10:20</v>
      </c>
      <c r="H1059" s="174" t="s">
        <v>1709</v>
      </c>
      <c r="I1059" s="117" t="str">
        <f t="shared" si="48"/>
        <v>→ Selecione a linha e use o menu ⏱️ Ponto</v>
      </c>
      <c r="J1059" s="180"/>
      <c r="K1059" s="179"/>
      <c r="L1059" s="119" t="str">
        <f t="shared" si="49"/>
        <v>🟢 No Evento</v>
      </c>
    </row>
    <row r="1060" ht="15.75" customHeight="1">
      <c r="A1060" s="13"/>
      <c r="B1060" s="173" t="s">
        <v>1537</v>
      </c>
      <c r="C1060" s="199" t="str">
        <f t="array" ref="C1060">IF(B1060="","",IFERROR(INDEX('FUNCIONÁRIOS'!$B$4:$B$501,MATCH(B1060,'FUNCIONÁRIOS'!$C$4:$C$501,0)),""))</f>
        <v/>
      </c>
      <c r="D1060" s="199" t="str">
        <f t="array" ref="D1060">IF(B1060="","",IFERROR(INDEX('FUNCIONÁRIOS'!$D$4:$D$501,MATCH(B1060,'FUNCIONÁRIOS'!$C$4:$C$501,0)),""))</f>
        <v/>
      </c>
      <c r="E1060" s="199" t="str">
        <f t="array" ref="E1060">IF(B1060="","",IFERROR(INDEX('FUNCIONÁRIOS'!$E$4:$E$501,MATCH(B1060,'FUNCIONÁRIOS'!$C$4:$C$501,0)),""))</f>
        <v/>
      </c>
      <c r="F1060" s="138">
        <v>46170.0</v>
      </c>
      <c r="G1060" s="115" t="str">
        <f t="shared" si="54"/>
        <v>✅ 10:27</v>
      </c>
      <c r="H1060" s="174" t="s">
        <v>1905</v>
      </c>
      <c r="I1060" s="117" t="str">
        <f t="shared" si="48"/>
        <v>→ Selecione a linha e use o menu ⏱️ Ponto</v>
      </c>
      <c r="J1060" s="180"/>
      <c r="K1060" s="179"/>
      <c r="L1060" s="119" t="str">
        <f t="shared" si="49"/>
        <v>🟢 No Evento</v>
      </c>
    </row>
    <row r="1061" ht="15.75" customHeight="1">
      <c r="A1061" s="13"/>
      <c r="B1061" s="173" t="s">
        <v>1237</v>
      </c>
      <c r="C1061" s="199" t="str">
        <f t="array" ref="C1061">IF(B1061="","",IFERROR(INDEX('FUNCIONÁRIOS'!$B$4:$B$501,MATCH(B1061,'FUNCIONÁRIOS'!$C$4:$C$501,0)),""))</f>
        <v/>
      </c>
      <c r="D1061" s="199" t="str">
        <f t="array" ref="D1061">IF(B1061="","",IFERROR(INDEX('FUNCIONÁRIOS'!$D$4:$D$501,MATCH(B1061,'FUNCIONÁRIOS'!$C$4:$C$501,0)),""))</f>
        <v/>
      </c>
      <c r="E1061" s="199" t="str">
        <f t="array" ref="E1061">IF(B1061="","",IFERROR(INDEX('FUNCIONÁRIOS'!$E$4:$E$501,MATCH(B1061,'FUNCIONÁRIOS'!$C$4:$C$501,0)),""))</f>
        <v/>
      </c>
      <c r="F1061" s="138">
        <v>46170.0</v>
      </c>
      <c r="G1061" s="115" t="str">
        <f t="shared" si="54"/>
        <v>✅ 10:28</v>
      </c>
      <c r="H1061" s="174" t="s">
        <v>1837</v>
      </c>
      <c r="I1061" s="117" t="str">
        <f t="shared" si="48"/>
        <v>→ Selecione a linha e use o menu ⏱️ Ponto</v>
      </c>
      <c r="J1061" s="180"/>
      <c r="K1061" s="179"/>
      <c r="L1061" s="119" t="str">
        <f t="shared" si="49"/>
        <v>🟢 No Evento</v>
      </c>
    </row>
    <row r="1062" ht="15.75" customHeight="1">
      <c r="A1062" s="13"/>
      <c r="B1062" s="173" t="s">
        <v>1532</v>
      </c>
      <c r="C1062" s="199" t="str">
        <f t="array" ref="C1062">IF(B1062="","",IFERROR(INDEX('FUNCIONÁRIOS'!$B$4:$B$501,MATCH(B1062,'FUNCIONÁRIOS'!$C$4:$C$501,0)),""))</f>
        <v/>
      </c>
      <c r="D1062" s="199" t="str">
        <f t="array" ref="D1062">IF(B1062="","",IFERROR(INDEX('FUNCIONÁRIOS'!$D$4:$D$501,MATCH(B1062,'FUNCIONÁRIOS'!$C$4:$C$501,0)),""))</f>
        <v/>
      </c>
      <c r="E1062" s="199" t="str">
        <f t="array" ref="E1062">IF(B1062="","",IFERROR(INDEX('FUNCIONÁRIOS'!$E$4:$E$501,MATCH(B1062,'FUNCIONÁRIOS'!$C$4:$C$501,0)),""))</f>
        <v/>
      </c>
      <c r="F1062" s="138">
        <v>46170.0</v>
      </c>
      <c r="G1062" s="115" t="str">
        <f t="shared" si="54"/>
        <v>✅ 10:28</v>
      </c>
      <c r="H1062" s="174" t="s">
        <v>1837</v>
      </c>
      <c r="I1062" s="117" t="str">
        <f t="shared" si="48"/>
        <v>→ Selecione a linha e use o menu ⏱️ Ponto</v>
      </c>
      <c r="J1062" s="180"/>
      <c r="K1062" s="179"/>
      <c r="L1062" s="119" t="str">
        <f t="shared" si="49"/>
        <v>🟢 No Evento</v>
      </c>
    </row>
    <row r="1063" ht="15.75" customHeight="1">
      <c r="A1063" s="13"/>
      <c r="B1063" s="173" t="s">
        <v>1534</v>
      </c>
      <c r="C1063" s="199" t="str">
        <f t="array" ref="C1063">IF(B1063="","",IFERROR(INDEX('FUNCIONÁRIOS'!$B$4:$B$501,MATCH(B1063,'FUNCIONÁRIOS'!$C$4:$C$501,0)),""))</f>
        <v/>
      </c>
      <c r="D1063" s="199" t="str">
        <f t="array" ref="D1063">IF(B1063="","",IFERROR(INDEX('FUNCIONÁRIOS'!$D$4:$D$501,MATCH(B1063,'FUNCIONÁRIOS'!$C$4:$C$501,0)),""))</f>
        <v/>
      </c>
      <c r="E1063" s="199" t="str">
        <f t="array" ref="E1063">IF(B1063="","",IFERROR(INDEX('FUNCIONÁRIOS'!$E$4:$E$501,MATCH(B1063,'FUNCIONÁRIOS'!$C$4:$C$501,0)),""))</f>
        <v/>
      </c>
      <c r="F1063" s="138">
        <v>46170.0</v>
      </c>
      <c r="G1063" s="115" t="str">
        <f t="shared" si="54"/>
        <v>✅ 10:28</v>
      </c>
      <c r="H1063" s="174" t="s">
        <v>1837</v>
      </c>
      <c r="I1063" s="117" t="str">
        <f t="shared" si="48"/>
        <v>→ Selecione a linha e use o menu ⏱️ Ponto</v>
      </c>
      <c r="J1063" s="180"/>
      <c r="K1063" s="179"/>
      <c r="L1063" s="119" t="str">
        <f t="shared" si="49"/>
        <v>🟢 No Evento</v>
      </c>
    </row>
    <row r="1064" ht="15.75" customHeight="1">
      <c r="A1064" s="13"/>
      <c r="B1064" s="173" t="s">
        <v>1535</v>
      </c>
      <c r="C1064" s="199" t="str">
        <f t="array" ref="C1064">IF(B1064="","",IFERROR(INDEX('FUNCIONÁRIOS'!$B$4:$B$501,MATCH(B1064,'FUNCIONÁRIOS'!$C$4:$C$501,0)),""))</f>
        <v/>
      </c>
      <c r="D1064" s="199" t="str">
        <f t="array" ref="D1064">IF(B1064="","",IFERROR(INDEX('FUNCIONÁRIOS'!$D$4:$D$501,MATCH(B1064,'FUNCIONÁRIOS'!$C$4:$C$501,0)),""))</f>
        <v/>
      </c>
      <c r="E1064" s="199" t="str">
        <f t="array" ref="E1064">IF(B1064="","",IFERROR(INDEX('FUNCIONÁRIOS'!$E$4:$E$501,MATCH(B1064,'FUNCIONÁRIOS'!$C$4:$C$501,0)),""))</f>
        <v/>
      </c>
      <c r="F1064" s="138">
        <v>46170.0</v>
      </c>
      <c r="G1064" s="115" t="str">
        <f t="shared" si="54"/>
        <v>✅ 10:29</v>
      </c>
      <c r="H1064" s="174" t="s">
        <v>1963</v>
      </c>
      <c r="I1064" s="117" t="str">
        <f t="shared" si="48"/>
        <v>→ Selecione a linha e use o menu ⏱️ Ponto</v>
      </c>
      <c r="J1064" s="180"/>
      <c r="K1064" s="179"/>
      <c r="L1064" s="119" t="str">
        <f t="shared" si="49"/>
        <v>🟢 No Evento</v>
      </c>
    </row>
    <row r="1065" ht="15.75" customHeight="1">
      <c r="A1065" s="13"/>
      <c r="B1065" s="173" t="s">
        <v>1536</v>
      </c>
      <c r="C1065" s="199" t="str">
        <f t="array" ref="C1065">IF(B1065="","",IFERROR(INDEX('FUNCIONÁRIOS'!$B$4:$B$501,MATCH(B1065,'FUNCIONÁRIOS'!$C$4:$C$501,0)),""))</f>
        <v/>
      </c>
      <c r="D1065" s="199" t="str">
        <f t="array" ref="D1065">IF(B1065="","",IFERROR(INDEX('FUNCIONÁRIOS'!$D$4:$D$501,MATCH(B1065,'FUNCIONÁRIOS'!$C$4:$C$501,0)),""))</f>
        <v/>
      </c>
      <c r="E1065" s="199" t="str">
        <f t="array" ref="E1065">IF(B1065="","",IFERROR(INDEX('FUNCIONÁRIOS'!$E$4:$E$501,MATCH(B1065,'FUNCIONÁRIOS'!$C$4:$C$501,0)),""))</f>
        <v/>
      </c>
      <c r="F1065" s="138">
        <v>46170.0</v>
      </c>
      <c r="G1065" s="115" t="str">
        <f t="shared" si="54"/>
        <v>✅ 10:29</v>
      </c>
      <c r="H1065" s="174" t="s">
        <v>1963</v>
      </c>
      <c r="I1065" s="117" t="str">
        <f t="shared" si="48"/>
        <v>→ Selecione a linha e use o menu ⏱️ Ponto</v>
      </c>
      <c r="J1065" s="180"/>
      <c r="K1065" s="179"/>
      <c r="L1065" s="119" t="str">
        <f t="shared" si="49"/>
        <v>🟢 No Evento</v>
      </c>
    </row>
    <row r="1066" ht="15.75" customHeight="1">
      <c r="A1066" s="13"/>
      <c r="B1066" s="173" t="s">
        <v>785</v>
      </c>
      <c r="C1066" s="199" t="str">
        <f t="array" ref="C1066">IF(B1066="","",IFERROR(INDEX('FUNCIONÁRIOS'!$B$4:$B$501,MATCH(B1066,'FUNCIONÁRIOS'!$C$4:$C$501,0)),""))</f>
        <v>PRIVILEGE EVENTOS </v>
      </c>
      <c r="D1066" s="199" t="str">
        <f t="array" ref="D1066">IF(B1066="","",IFERROR(INDEX('FUNCIONÁRIOS'!$D$4:$D$501,MATCH(B1066,'FUNCIONÁRIOS'!$C$4:$C$501,0)),""))</f>
        <v>MONTADOR </v>
      </c>
      <c r="E1066" s="199" t="str">
        <f t="array" ref="E1066">IF(B1066="","",IFERROR(INDEX('FUNCIONÁRIOS'!$E$4:$E$501,MATCH(B1066,'FUNCIONÁRIOS'!$C$4:$C$501,0)),""))</f>
        <v>NÃO</v>
      </c>
      <c r="F1066" s="138">
        <v>46170.0</v>
      </c>
      <c r="G1066" s="115" t="str">
        <f t="shared" si="54"/>
        <v>✅ 10:29</v>
      </c>
      <c r="H1066" s="174" t="s">
        <v>1963</v>
      </c>
      <c r="I1066" s="117" t="str">
        <f t="shared" si="48"/>
        <v>→ Selecione a linha e use o menu ⏱️ Ponto</v>
      </c>
      <c r="J1066" s="180"/>
      <c r="K1066" s="179"/>
      <c r="L1066" s="119" t="str">
        <f t="shared" si="49"/>
        <v>🟢 No Evento</v>
      </c>
    </row>
    <row r="1067" ht="15.75" customHeight="1">
      <c r="A1067" s="13"/>
      <c r="B1067" s="173"/>
      <c r="C1067" s="199" t="str">
        <f t="array" ref="C1067">IF(B1067="","",IFERROR(INDEX('FUNCIONÁRIOS'!$B$4:$B$501,MATCH(B1067,'FUNCIONÁRIOS'!$C$4:$C$501,0)),""))</f>
        <v/>
      </c>
      <c r="D1067" s="199" t="str">
        <f t="array" ref="D1067">IF(B1067="","",IFERROR(INDEX('FUNCIONÁRIOS'!$D$4:$D$501,MATCH(B1067,'FUNCIONÁRIOS'!$C$4:$C$501,0)),""))</f>
        <v/>
      </c>
      <c r="E1067" s="199" t="str">
        <f t="array" ref="E1067">IF(B1067="","",IFERROR(INDEX('FUNCIONÁRIOS'!$E$4:$E$501,MATCH(B1067,'FUNCIONÁRIOS'!$C$4:$C$501,0)),""))</f>
        <v/>
      </c>
      <c r="F1067" s="138">
        <v>46170.0</v>
      </c>
      <c r="G1067" s="115" t="str">
        <f t="shared" si="54"/>
        <v>→ Selecione a linha e use o menu ⏱️ Ponto</v>
      </c>
      <c r="H1067" s="174"/>
      <c r="I1067" s="117" t="str">
        <f t="shared" si="48"/>
        <v>→ Selecione a linha e use o menu ⏱️ Ponto</v>
      </c>
      <c r="J1067" s="180"/>
      <c r="K1067" s="179"/>
      <c r="L1067" s="119" t="str">
        <f t="shared" si="49"/>
        <v/>
      </c>
    </row>
    <row r="1068" ht="15.75" customHeight="1">
      <c r="A1068" s="13"/>
      <c r="B1068" s="173" t="s">
        <v>786</v>
      </c>
      <c r="C1068" s="199" t="str">
        <f t="array" ref="C1068">IF(B1068="","",IFERROR(INDEX('FUNCIONÁRIOS'!$B$4:$B$501,MATCH(B1068,'FUNCIONÁRIOS'!$C$4:$C$501,0)),""))</f>
        <v>PRIVILEGE EVENTOS </v>
      </c>
      <c r="D1068" s="199" t="str">
        <f t="array" ref="D1068">IF(B1068="","",IFERROR(INDEX('FUNCIONÁRIOS'!$D$4:$D$501,MATCH(B1068,'FUNCIONÁRIOS'!$C$4:$C$501,0)),""))</f>
        <v>MONTADOR </v>
      </c>
      <c r="E1068" s="199" t="str">
        <f t="array" ref="E1068">IF(B1068="","",IFERROR(INDEX('FUNCIONÁRIOS'!$E$4:$E$501,MATCH(B1068,'FUNCIONÁRIOS'!$C$4:$C$501,0)),""))</f>
        <v>NÃO</v>
      </c>
      <c r="F1068" s="138">
        <v>46170.0</v>
      </c>
      <c r="G1068" s="115" t="str">
        <f t="shared" si="54"/>
        <v>✅ 10:29</v>
      </c>
      <c r="H1068" s="174" t="s">
        <v>1963</v>
      </c>
      <c r="I1068" s="117" t="str">
        <f t="shared" si="48"/>
        <v>→ Selecione a linha e use o menu ⏱️ Ponto</v>
      </c>
      <c r="J1068" s="180"/>
      <c r="K1068" s="179"/>
      <c r="L1068" s="119" t="str">
        <f t="shared" si="49"/>
        <v>🟢 No Evento</v>
      </c>
    </row>
    <row r="1069" ht="15.75" customHeight="1">
      <c r="A1069" s="13"/>
      <c r="B1069" s="173" t="s">
        <v>442</v>
      </c>
      <c r="C1069" s="199" t="str">
        <f t="array" ref="C1069">IF(B1069="","",IFERROR(INDEX('FUNCIONÁRIOS'!$B$4:$B$501,MATCH(B1069,'FUNCIONÁRIOS'!$C$4:$C$501,0)),""))</f>
        <v>SHOWNEWS</v>
      </c>
      <c r="D1069" s="199" t="str">
        <f t="array" ref="D1069">IF(B1069="","",IFERROR(INDEX('FUNCIONÁRIOS'!$D$4:$D$501,MATCH(B1069,'FUNCIONÁRIOS'!$C$4:$C$501,0)),""))</f>
        <v>Montador</v>
      </c>
      <c r="E1069" s="199" t="str">
        <f t="array" ref="E1069">IF(B1069="","",IFERROR(INDEX('FUNCIONÁRIOS'!$E$4:$E$501,MATCH(B1069,'FUNCIONÁRIOS'!$C$4:$C$501,0)),""))</f>
        <v>NÃO</v>
      </c>
      <c r="F1069" s="138">
        <v>46170.0</v>
      </c>
      <c r="G1069" s="115" t="str">
        <f t="shared" si="54"/>
        <v>✅ 10:30</v>
      </c>
      <c r="H1069" s="174" t="s">
        <v>1964</v>
      </c>
      <c r="I1069" s="117" t="str">
        <f t="shared" si="48"/>
        <v>→ Selecione a linha e use o menu ⏱️ Ponto</v>
      </c>
      <c r="J1069" s="180"/>
      <c r="K1069" s="179"/>
      <c r="L1069" s="119" t="str">
        <f t="shared" si="49"/>
        <v>🟢 No Evento</v>
      </c>
    </row>
    <row r="1070" ht="15.75" customHeight="1">
      <c r="A1070" s="13"/>
      <c r="B1070" s="173" t="s">
        <v>1539</v>
      </c>
      <c r="C1070" s="199" t="str">
        <f t="array" ref="C1070">IF(B1070="","",IFERROR(INDEX('FUNCIONÁRIOS'!$B$4:$B$501,MATCH(B1070,'FUNCIONÁRIOS'!$C$4:$C$501,0)),""))</f>
        <v/>
      </c>
      <c r="D1070" s="199" t="str">
        <f t="array" ref="D1070">IF(B1070="","",IFERROR(INDEX('FUNCIONÁRIOS'!$D$4:$D$501,MATCH(B1070,'FUNCIONÁRIOS'!$C$4:$C$501,0)),""))</f>
        <v/>
      </c>
      <c r="E1070" s="199" t="str">
        <f t="array" ref="E1070">IF(B1070="","",IFERROR(INDEX('FUNCIONÁRIOS'!$E$4:$E$501,MATCH(B1070,'FUNCIONÁRIOS'!$C$4:$C$501,0)),""))</f>
        <v/>
      </c>
      <c r="F1070" s="138">
        <v>46170.0</v>
      </c>
      <c r="G1070" s="115" t="str">
        <f t="shared" si="54"/>
        <v>✅ 10:32</v>
      </c>
      <c r="H1070" s="174" t="s">
        <v>1906</v>
      </c>
      <c r="I1070" s="117" t="str">
        <f t="shared" si="48"/>
        <v>→ Selecione a linha e use o menu ⏱️ Ponto</v>
      </c>
      <c r="J1070" s="180"/>
      <c r="K1070" s="179"/>
      <c r="L1070" s="119" t="str">
        <f t="shared" si="49"/>
        <v>🟢 No Evento</v>
      </c>
    </row>
    <row r="1071" ht="15.75" customHeight="1">
      <c r="A1071" s="13"/>
      <c r="B1071" s="173" t="s">
        <v>358</v>
      </c>
      <c r="C1071" s="199" t="str">
        <f t="array" ref="C1071">IF(B1071="","",IFERROR(INDEX('FUNCIONÁRIOS'!$B$4:$B$501,MATCH(B1071,'FUNCIONÁRIOS'!$C$4:$C$501,0)),""))</f>
        <v>GO TO </v>
      </c>
      <c r="D1071" s="199" t="str">
        <f t="array" ref="D1071">IF(B1071="","",IFERROR(INDEX('FUNCIONÁRIOS'!$D$4:$D$501,MATCH(B1071,'FUNCIONÁRIOS'!$C$4:$C$501,0)),""))</f>
        <v>MONTADOR</v>
      </c>
      <c r="E1071" s="199" t="str">
        <f t="array" ref="E1071">IF(B1071="","",IFERROR(INDEX('FUNCIONÁRIOS'!$E$4:$E$501,MATCH(B1071,'FUNCIONÁRIOS'!$C$4:$C$501,0)),""))</f>
        <v>NÃO</v>
      </c>
      <c r="F1071" s="138">
        <v>46170.0</v>
      </c>
      <c r="G1071" s="115" t="str">
        <f t="shared" si="54"/>
        <v>✅ 10:33</v>
      </c>
      <c r="H1071" s="174" t="s">
        <v>1907</v>
      </c>
      <c r="I1071" s="117" t="str">
        <f t="shared" si="48"/>
        <v>→ Selecione a linha e use o menu ⏱️ Ponto</v>
      </c>
      <c r="J1071" s="180"/>
      <c r="K1071" s="179"/>
      <c r="L1071" s="119" t="str">
        <f t="shared" si="49"/>
        <v>🟢 No Evento</v>
      </c>
    </row>
    <row r="1072" ht="15.75" customHeight="1">
      <c r="A1072" s="13"/>
      <c r="B1072" s="173" t="s">
        <v>1241</v>
      </c>
      <c r="C1072" s="199" t="str">
        <f t="array" ref="C1072">IF(B1072="","",IFERROR(INDEX('FUNCIONÁRIOS'!$B$4:$B$501,MATCH(B1072,'FUNCIONÁRIOS'!$C$4:$C$501,0)),""))</f>
        <v/>
      </c>
      <c r="D1072" s="199" t="str">
        <f t="array" ref="D1072">IF(B1072="","",IFERROR(INDEX('FUNCIONÁRIOS'!$D$4:$D$501,MATCH(B1072,'FUNCIONÁRIOS'!$C$4:$C$501,0)),""))</f>
        <v/>
      </c>
      <c r="E1072" s="199" t="str">
        <f t="array" ref="E1072">IF(B1072="","",IFERROR(INDEX('FUNCIONÁRIOS'!$E$4:$E$501,MATCH(B1072,'FUNCIONÁRIOS'!$C$4:$C$501,0)),""))</f>
        <v/>
      </c>
      <c r="F1072" s="138">
        <v>46170.0</v>
      </c>
      <c r="G1072" s="115" t="str">
        <f t="shared" si="54"/>
        <v>✅ 10:33</v>
      </c>
      <c r="H1072" s="174" t="s">
        <v>1907</v>
      </c>
      <c r="I1072" s="117" t="str">
        <f t="shared" si="48"/>
        <v>→ Selecione a linha e use o menu ⏱️ Ponto</v>
      </c>
      <c r="J1072" s="180"/>
      <c r="K1072" s="179"/>
      <c r="L1072" s="119" t="str">
        <f t="shared" si="49"/>
        <v>🟢 No Evento</v>
      </c>
    </row>
    <row r="1073" ht="15.75" customHeight="1">
      <c r="A1073" s="13"/>
      <c r="B1073" s="173" t="s">
        <v>416</v>
      </c>
      <c r="C1073" s="199" t="str">
        <f t="array" ref="C1073">IF(B1073="","",IFERROR(INDEX('FUNCIONÁRIOS'!$B$4:$B$501,MATCH(B1073,'FUNCIONÁRIOS'!$C$4:$C$501,0)),""))</f>
        <v>GO TO </v>
      </c>
      <c r="D1073" s="199" t="str">
        <f t="array" ref="D1073">IF(B1073="","",IFERROR(INDEX('FUNCIONÁRIOS'!$D$4:$D$501,MATCH(B1073,'FUNCIONÁRIOS'!$C$4:$C$501,0)),""))</f>
        <v>MONTADOR</v>
      </c>
      <c r="E1073" s="199" t="str">
        <f t="array" ref="E1073">IF(B1073="","",IFERROR(INDEX('FUNCIONÁRIOS'!$E$4:$E$501,MATCH(B1073,'FUNCIONÁRIOS'!$C$4:$C$501,0)),""))</f>
        <v>NÃO 23:14</v>
      </c>
      <c r="F1073" s="138">
        <v>46170.0</v>
      </c>
      <c r="G1073" s="226" t="str">
        <f t="shared" si="54"/>
        <v>✅ 10:39</v>
      </c>
      <c r="H1073" s="174" t="s">
        <v>1965</v>
      </c>
      <c r="I1073" s="117" t="str">
        <f t="shared" si="48"/>
        <v>→ Selecione a linha e use o menu ⏱️ Ponto</v>
      </c>
      <c r="J1073" s="180"/>
      <c r="K1073" s="179"/>
      <c r="L1073" s="119" t="str">
        <f t="shared" si="49"/>
        <v>🟢 No Evento</v>
      </c>
    </row>
    <row r="1074" ht="15.75" customHeight="1">
      <c r="A1074" s="13"/>
      <c r="B1074" s="173" t="s">
        <v>549</v>
      </c>
      <c r="C1074" s="199" t="str">
        <f t="array" ref="C1074">IF(B1074="","",IFERROR(INDEX('FUNCIONÁRIOS'!$B$4:$B$501,MATCH(B1074,'FUNCIONÁRIOS'!$C$4:$C$501,0)),""))</f>
        <v>GO TO </v>
      </c>
      <c r="D1074" s="199" t="str">
        <f t="array" ref="D1074">IF(B1074="","",IFERROR(INDEX('FUNCIONÁRIOS'!$D$4:$D$501,MATCH(B1074,'FUNCIONÁRIOS'!$C$4:$C$501,0)),""))</f>
        <v>CENOGRAFIA </v>
      </c>
      <c r="E1074" s="199" t="str">
        <f t="array" ref="E1074">IF(B1074="","",IFERROR(INDEX('FUNCIONÁRIOS'!$E$4:$E$501,MATCH(B1074,'FUNCIONÁRIOS'!$C$4:$C$501,0)),""))</f>
        <v>NÃO</v>
      </c>
      <c r="F1074" s="138">
        <v>46170.0</v>
      </c>
      <c r="G1074" s="115" t="str">
        <f t="shared" si="54"/>
        <v>✅ 10:40</v>
      </c>
      <c r="H1074" s="174" t="s">
        <v>1966</v>
      </c>
      <c r="I1074" s="117" t="str">
        <f t="shared" si="48"/>
        <v>→ Selecione a linha e use o menu ⏱️ Ponto</v>
      </c>
      <c r="J1074" s="180"/>
      <c r="K1074" s="179"/>
      <c r="L1074" s="119" t="str">
        <f t="shared" si="49"/>
        <v>🟢 No Evento</v>
      </c>
    </row>
    <row r="1075" ht="15.75" customHeight="1">
      <c r="A1075" s="13"/>
      <c r="B1075" s="173" t="s">
        <v>505</v>
      </c>
      <c r="C1075" s="199" t="str">
        <f t="array" ref="C1075">IF(B1075="","",IFERROR(INDEX('FUNCIONÁRIOS'!$B$4:$B$501,MATCH(B1075,'FUNCIONÁRIOS'!$C$4:$C$501,0)),""))</f>
        <v>GO TO </v>
      </c>
      <c r="D1075" s="199" t="str">
        <f t="array" ref="D1075">IF(B1075="","",IFERROR(INDEX('FUNCIONÁRIOS'!$D$4:$D$501,MATCH(B1075,'FUNCIONÁRIOS'!$C$4:$C$501,0)),""))</f>
        <v>Auxiliar de Serralheiro</v>
      </c>
      <c r="E1075" s="199" t="str">
        <f t="array" ref="E1075">IF(B1075="","",IFERROR(INDEX('FUNCIONÁRIOS'!$E$4:$E$501,MATCH(B1075,'FUNCIONÁRIOS'!$C$4:$C$501,0)),""))</f>
        <v>NÃO</v>
      </c>
      <c r="F1075" s="138">
        <v>46170.0</v>
      </c>
      <c r="G1075" s="115" t="str">
        <f t="shared" si="54"/>
        <v>✅ 10:40</v>
      </c>
      <c r="H1075" s="174" t="s">
        <v>1966</v>
      </c>
      <c r="I1075" s="117" t="str">
        <f t="shared" si="48"/>
        <v>→ Selecione a linha e use o menu ⏱️ Ponto</v>
      </c>
      <c r="J1075" s="180"/>
      <c r="K1075" s="179"/>
      <c r="L1075" s="119" t="str">
        <f t="shared" si="49"/>
        <v>🟢 No Evento</v>
      </c>
    </row>
    <row r="1076" ht="15.75" customHeight="1">
      <c r="A1076" s="13"/>
      <c r="B1076" s="173" t="s">
        <v>1540</v>
      </c>
      <c r="C1076" s="199" t="str">
        <f t="array" ref="C1076">IF(B1076="","",IFERROR(INDEX('FUNCIONÁRIOS'!$B$4:$B$501,MATCH(B1076,'FUNCIONÁRIOS'!$C$4:$C$501,0)),""))</f>
        <v/>
      </c>
      <c r="D1076" s="199" t="str">
        <f t="array" ref="D1076">IF(B1076="","",IFERROR(INDEX('FUNCIONÁRIOS'!$D$4:$D$501,MATCH(B1076,'FUNCIONÁRIOS'!$C$4:$C$501,0)),""))</f>
        <v/>
      </c>
      <c r="E1076" s="199" t="str">
        <f t="array" ref="E1076">IF(B1076="","",IFERROR(INDEX('FUNCIONÁRIOS'!$E$4:$E$501,MATCH(B1076,'FUNCIONÁRIOS'!$C$4:$C$501,0)),""))</f>
        <v/>
      </c>
      <c r="F1076" s="138">
        <v>46170.0</v>
      </c>
      <c r="G1076" s="115" t="str">
        <f t="shared" si="54"/>
        <v>✅ 10:46</v>
      </c>
      <c r="H1076" s="174" t="s">
        <v>1840</v>
      </c>
      <c r="I1076" s="117" t="str">
        <f t="shared" si="48"/>
        <v>→ Selecione a linha e use o menu ⏱️ Ponto</v>
      </c>
      <c r="J1076" s="180"/>
      <c r="K1076" s="179"/>
      <c r="L1076" s="119" t="str">
        <f t="shared" si="49"/>
        <v>🟢 No Evento</v>
      </c>
    </row>
    <row r="1077" ht="15.75" customHeight="1">
      <c r="A1077" s="13"/>
      <c r="B1077" s="173" t="s">
        <v>1541</v>
      </c>
      <c r="C1077" s="199" t="str">
        <f t="array" ref="C1077">IF(B1077="","",IFERROR(INDEX('FUNCIONÁRIOS'!$B$4:$B$501,MATCH(B1077,'FUNCIONÁRIOS'!$C$4:$C$501,0)),""))</f>
        <v/>
      </c>
      <c r="D1077" s="199" t="str">
        <f t="array" ref="D1077">IF(B1077="","",IFERROR(INDEX('FUNCIONÁRIOS'!$D$4:$D$501,MATCH(B1077,'FUNCIONÁRIOS'!$C$4:$C$501,0)),""))</f>
        <v/>
      </c>
      <c r="E1077" s="199" t="str">
        <f t="array" ref="E1077">IF(B1077="","",IFERROR(INDEX('FUNCIONÁRIOS'!$E$4:$E$501,MATCH(B1077,'FUNCIONÁRIOS'!$C$4:$C$501,0)),""))</f>
        <v/>
      </c>
      <c r="F1077" s="138">
        <v>46170.0</v>
      </c>
      <c r="G1077" s="115" t="str">
        <f t="shared" si="54"/>
        <v>✅ 10:47</v>
      </c>
      <c r="H1077" s="174" t="s">
        <v>1967</v>
      </c>
      <c r="I1077" s="117" t="str">
        <f t="shared" si="48"/>
        <v>→ Selecione a linha e use o menu ⏱️ Ponto</v>
      </c>
      <c r="J1077" s="180"/>
      <c r="K1077" s="179"/>
      <c r="L1077" s="119" t="str">
        <f t="shared" si="49"/>
        <v>🟢 No Evento</v>
      </c>
    </row>
    <row r="1078" ht="15.75" customHeight="1">
      <c r="A1078" s="13"/>
      <c r="B1078" s="173" t="s">
        <v>1543</v>
      </c>
      <c r="C1078" s="199" t="str">
        <f t="array" ref="C1078">IF(B1078="","",IFERROR(INDEX('FUNCIONÁRIOS'!$B$4:$B$501,MATCH(B1078,'FUNCIONÁRIOS'!$C$4:$C$501,0)),""))</f>
        <v/>
      </c>
      <c r="D1078" s="199" t="str">
        <f t="array" ref="D1078">IF(B1078="","",IFERROR(INDEX('FUNCIONÁRIOS'!$D$4:$D$501,MATCH(B1078,'FUNCIONÁRIOS'!$C$4:$C$501,0)),""))</f>
        <v/>
      </c>
      <c r="E1078" s="199" t="str">
        <f t="array" ref="E1078">IF(B1078="","",IFERROR(INDEX('FUNCIONÁRIOS'!$E$4:$E$501,MATCH(B1078,'FUNCIONÁRIOS'!$C$4:$C$501,0)),""))</f>
        <v/>
      </c>
      <c r="F1078" s="138">
        <v>46170.0</v>
      </c>
      <c r="G1078" s="115" t="str">
        <f t="shared" si="54"/>
        <v>✅ 10:48</v>
      </c>
      <c r="H1078" s="174" t="s">
        <v>1968</v>
      </c>
      <c r="I1078" s="117" t="str">
        <f t="shared" si="48"/>
        <v>→ Selecione a linha e use o menu ⏱️ Ponto</v>
      </c>
      <c r="J1078" s="180"/>
      <c r="K1078" s="179"/>
      <c r="L1078" s="119" t="str">
        <f t="shared" si="49"/>
        <v>🟢 No Evento</v>
      </c>
    </row>
    <row r="1079" ht="15.75" customHeight="1">
      <c r="A1079" s="13"/>
      <c r="B1079" s="173"/>
      <c r="C1079" s="199" t="str">
        <f t="array" ref="C1079">IF(B1079="","",IFERROR(INDEX('FUNCIONÁRIOS'!$B$4:$B$501,MATCH(B1079,'FUNCIONÁRIOS'!$C$4:$C$501,0)),""))</f>
        <v/>
      </c>
      <c r="D1079" s="199" t="str">
        <f t="array" ref="D1079">IF(B1079="","",IFERROR(INDEX('FUNCIONÁRIOS'!$D$4:$D$501,MATCH(B1079,'FUNCIONÁRIOS'!$C$4:$C$501,0)),""))</f>
        <v/>
      </c>
      <c r="E1079" s="199" t="str">
        <f t="array" ref="E1079">IF(B1079="","",IFERROR(INDEX('FUNCIONÁRIOS'!$E$4:$E$501,MATCH(B1079,'FUNCIONÁRIOS'!$C$4:$C$501,0)),""))</f>
        <v/>
      </c>
      <c r="F1079" s="138">
        <v>46170.0</v>
      </c>
      <c r="G1079" s="115" t="str">
        <f t="shared" si="54"/>
        <v>→ Selecione a linha e use o menu ⏱️ Ponto</v>
      </c>
      <c r="H1079" s="174"/>
      <c r="I1079" s="117" t="str">
        <f t="shared" si="48"/>
        <v>→ Selecione a linha e use o menu ⏱️ Ponto</v>
      </c>
      <c r="J1079" s="180"/>
      <c r="K1079" s="179"/>
      <c r="L1079" s="119" t="str">
        <f t="shared" si="49"/>
        <v/>
      </c>
    </row>
    <row r="1080" ht="15.75" customHeight="1">
      <c r="A1080" s="13"/>
      <c r="B1080" s="173" t="s">
        <v>1544</v>
      </c>
      <c r="C1080" s="199" t="str">
        <f t="array" ref="C1080">IF(B1080="","",IFERROR(INDEX('FUNCIONÁRIOS'!$B$4:$B$501,MATCH(B1080,'FUNCIONÁRIOS'!$C$4:$C$501,0)),""))</f>
        <v/>
      </c>
      <c r="D1080" s="199" t="str">
        <f t="array" ref="D1080">IF(B1080="","",IFERROR(INDEX('FUNCIONÁRIOS'!$D$4:$D$501,MATCH(B1080,'FUNCIONÁRIOS'!$C$4:$C$501,0)),""))</f>
        <v/>
      </c>
      <c r="E1080" s="199" t="str">
        <f t="array" ref="E1080">IF(B1080="","",IFERROR(INDEX('FUNCIONÁRIOS'!$E$4:$E$501,MATCH(B1080,'FUNCIONÁRIOS'!$C$4:$C$501,0)),""))</f>
        <v/>
      </c>
      <c r="F1080" s="138">
        <v>46170.0</v>
      </c>
      <c r="G1080" s="115" t="str">
        <f t="shared" si="54"/>
        <v>✅ 10:50</v>
      </c>
      <c r="H1080" s="174" t="s">
        <v>1969</v>
      </c>
      <c r="I1080" s="117" t="str">
        <f t="shared" si="48"/>
        <v>→ Selecione a linha e use o menu ⏱️ Ponto</v>
      </c>
      <c r="J1080" s="180"/>
      <c r="K1080" s="179"/>
      <c r="L1080" s="119" t="str">
        <f t="shared" si="49"/>
        <v>🟢 No Evento</v>
      </c>
    </row>
    <row r="1081" ht="15.75" customHeight="1">
      <c r="A1081" s="13"/>
      <c r="B1081" s="173" t="s">
        <v>1546</v>
      </c>
      <c r="C1081" s="199" t="str">
        <f t="array" ref="C1081">IF(B1081="","",IFERROR(INDEX('FUNCIONÁRIOS'!$B$4:$B$501,MATCH(B1081,'FUNCIONÁRIOS'!$C$4:$C$501,0)),""))</f>
        <v/>
      </c>
      <c r="D1081" s="199" t="str">
        <f t="array" ref="D1081">IF(B1081="","",IFERROR(INDEX('FUNCIONÁRIOS'!$D$4:$D$501,MATCH(B1081,'FUNCIONÁRIOS'!$C$4:$C$501,0)),""))</f>
        <v/>
      </c>
      <c r="E1081" s="199" t="str">
        <f t="array" ref="E1081">IF(B1081="","",IFERROR(INDEX('FUNCIONÁRIOS'!$E$4:$E$501,MATCH(B1081,'FUNCIONÁRIOS'!$C$4:$C$501,0)),""))</f>
        <v/>
      </c>
      <c r="F1081" s="138">
        <v>46170.0</v>
      </c>
      <c r="G1081" s="115" t="str">
        <f t="shared" si="54"/>
        <v>✅ 10:52</v>
      </c>
      <c r="H1081" s="174" t="s">
        <v>1911</v>
      </c>
      <c r="I1081" s="117" t="str">
        <f t="shared" si="48"/>
        <v>→ Selecione a linha e use o menu ⏱️ Ponto</v>
      </c>
      <c r="J1081" s="180"/>
      <c r="K1081" s="179"/>
      <c r="L1081" s="119" t="str">
        <f t="shared" si="49"/>
        <v>🟢 No Evento</v>
      </c>
    </row>
    <row r="1082" ht="15.75" customHeight="1">
      <c r="A1082" s="13"/>
      <c r="B1082" s="173" t="s">
        <v>1545</v>
      </c>
      <c r="C1082" s="199" t="str">
        <f t="array" ref="C1082">IF(B1082="","",IFERROR(INDEX('FUNCIONÁRIOS'!$B$4:$B$501,MATCH(B1082,'FUNCIONÁRIOS'!$C$4:$C$501,0)),""))</f>
        <v/>
      </c>
      <c r="D1082" s="199" t="str">
        <f t="array" ref="D1082">IF(B1082="","",IFERROR(INDEX('FUNCIONÁRIOS'!$D$4:$D$501,MATCH(B1082,'FUNCIONÁRIOS'!$C$4:$C$501,0)),""))</f>
        <v/>
      </c>
      <c r="E1082" s="199" t="str">
        <f t="array" ref="E1082">IF(B1082="","",IFERROR(INDEX('FUNCIONÁRIOS'!$E$4:$E$501,MATCH(B1082,'FUNCIONÁRIOS'!$C$4:$C$501,0)),""))</f>
        <v/>
      </c>
      <c r="F1082" s="138">
        <v>46170.0</v>
      </c>
      <c r="G1082" s="115" t="str">
        <f t="shared" si="54"/>
        <v>✅ 10:52</v>
      </c>
      <c r="H1082" s="174" t="s">
        <v>1911</v>
      </c>
      <c r="I1082" s="117" t="str">
        <f t="shared" si="48"/>
        <v>→ Selecione a linha e use o menu ⏱️ Ponto</v>
      </c>
      <c r="J1082" s="180"/>
      <c r="K1082" s="179"/>
      <c r="L1082" s="119" t="str">
        <f t="shared" si="49"/>
        <v>🟢 No Evento</v>
      </c>
    </row>
    <row r="1083" ht="15.75" customHeight="1">
      <c r="A1083" s="13"/>
      <c r="B1083" s="173" t="s">
        <v>1310</v>
      </c>
      <c r="C1083" s="203" t="s">
        <v>1970</v>
      </c>
      <c r="D1083" s="199"/>
      <c r="E1083" s="199" t="str">
        <f t="array" ref="E1083">IF(B1083="","",IFERROR(INDEX('FUNCIONÁRIOS'!$E$4:$E$501,MATCH(B1083,'FUNCIONÁRIOS'!$C$4:$C$501,0)),""))</f>
        <v/>
      </c>
      <c r="F1083" s="138">
        <v>46170.0</v>
      </c>
      <c r="G1083" s="115" t="str">
        <f t="shared" si="54"/>
        <v>✅ 10:54</v>
      </c>
      <c r="H1083" s="174" t="s">
        <v>1912</v>
      </c>
      <c r="I1083" s="117" t="str">
        <f t="shared" si="48"/>
        <v>→ Selecione a linha e use o menu ⏱️ Ponto</v>
      </c>
      <c r="J1083" s="180"/>
      <c r="K1083" s="179"/>
      <c r="L1083" s="119" t="str">
        <f t="shared" si="49"/>
        <v>🟢 No Evento</v>
      </c>
    </row>
    <row r="1084" ht="15.75" customHeight="1">
      <c r="A1084" s="13"/>
      <c r="B1084" s="173" t="s">
        <v>1547</v>
      </c>
      <c r="C1084" s="199" t="str">
        <f t="array" ref="C1084">IF(B1084="","",IFERROR(INDEX('FUNCIONÁRIOS'!$B$4:$B$501,MATCH(B1084,'FUNCIONÁRIOS'!$C$4:$C$501,0)),""))</f>
        <v/>
      </c>
      <c r="D1084" s="199" t="str">
        <f t="array" ref="D1084">IF(B1084="","",IFERROR(INDEX('FUNCIONÁRIOS'!$D$4:$D$501,MATCH(B1084,'FUNCIONÁRIOS'!$C$4:$C$501,0)),""))</f>
        <v/>
      </c>
      <c r="E1084" s="199" t="str">
        <f t="array" ref="E1084">IF(B1084="","",IFERROR(INDEX('FUNCIONÁRIOS'!$E$4:$E$501,MATCH(B1084,'FUNCIONÁRIOS'!$C$4:$C$501,0)),""))</f>
        <v/>
      </c>
      <c r="F1084" s="138">
        <v>46170.0</v>
      </c>
      <c r="G1084" s="115" t="str">
        <f t="shared" si="54"/>
        <v>✅ 10:54</v>
      </c>
      <c r="H1084" s="174" t="s">
        <v>1912</v>
      </c>
      <c r="I1084" s="117" t="str">
        <f t="shared" si="48"/>
        <v>→ Selecione a linha e use o menu ⏱️ Ponto</v>
      </c>
      <c r="J1084" s="180"/>
      <c r="K1084" s="179"/>
      <c r="L1084" s="119" t="str">
        <f t="shared" si="49"/>
        <v>🟢 No Evento</v>
      </c>
    </row>
    <row r="1085" ht="15.75" customHeight="1">
      <c r="A1085" s="13"/>
      <c r="B1085" s="173" t="s">
        <v>1548</v>
      </c>
      <c r="C1085" s="203" t="s">
        <v>1971</v>
      </c>
      <c r="D1085" s="199" t="str">
        <f t="array" ref="D1085">IF(B1085="","",IFERROR(INDEX('FUNCIONÁRIOS'!$D$4:$D$501,MATCH(B1085,'FUNCIONÁRIOS'!$C$4:$C$501,0)),""))</f>
        <v/>
      </c>
      <c r="E1085" s="199" t="str">
        <f t="array" ref="E1085">IF(B1085="","",IFERROR(INDEX('FUNCIONÁRIOS'!$E$4:$E$501,MATCH(B1085,'FUNCIONÁRIOS'!$C$4:$C$501,0)),""))</f>
        <v/>
      </c>
      <c r="F1085" s="138">
        <v>46170.0</v>
      </c>
      <c r="G1085" s="115" t="str">
        <f t="shared" si="54"/>
        <v>✅ 10:56</v>
      </c>
      <c r="H1085" s="174" t="s">
        <v>1972</v>
      </c>
      <c r="I1085" s="117" t="str">
        <f t="shared" si="48"/>
        <v>→ Selecione a linha e use o menu ⏱️ Ponto</v>
      </c>
      <c r="J1085" s="180"/>
      <c r="K1085" s="179"/>
      <c r="L1085" s="119" t="str">
        <f t="shared" si="49"/>
        <v>🟢 No Evento</v>
      </c>
    </row>
    <row r="1086" ht="15.75" customHeight="1">
      <c r="A1086" s="13"/>
      <c r="B1086" s="173" t="s">
        <v>1549</v>
      </c>
      <c r="C1086" s="199" t="str">
        <f t="array" ref="C1086">IF(B1086="","",IFERROR(INDEX('FUNCIONÁRIOS'!$B$4:$B$501,MATCH(B1086,'FUNCIONÁRIOS'!$C$4:$C$501,0)),""))</f>
        <v/>
      </c>
      <c r="D1086" s="199" t="str">
        <f t="array" ref="D1086">IF(B1086="","",IFERROR(INDEX('FUNCIONÁRIOS'!$D$4:$D$501,MATCH(B1086,'FUNCIONÁRIOS'!$C$4:$C$501,0)),""))</f>
        <v/>
      </c>
      <c r="E1086" s="199" t="str">
        <f t="array" ref="E1086">IF(B1086="","",IFERROR(INDEX('FUNCIONÁRIOS'!$E$4:$E$501,MATCH(B1086,'FUNCIONÁRIOS'!$C$4:$C$501,0)),""))</f>
        <v/>
      </c>
      <c r="F1086" s="138">
        <v>46170.0</v>
      </c>
      <c r="G1086" s="115" t="str">
        <f t="shared" si="54"/>
        <v>✅ 10:56</v>
      </c>
      <c r="H1086" s="174" t="s">
        <v>1972</v>
      </c>
      <c r="I1086" s="117" t="str">
        <f t="shared" si="48"/>
        <v>→ Selecione a linha e use o menu ⏱️ Ponto</v>
      </c>
      <c r="J1086" s="180"/>
      <c r="K1086" s="179"/>
      <c r="L1086" s="119" t="str">
        <f t="shared" si="49"/>
        <v>🟢 No Evento</v>
      </c>
    </row>
    <row r="1087" ht="15.75" customHeight="1">
      <c r="A1087" s="13"/>
      <c r="B1087" s="173" t="s">
        <v>1551</v>
      </c>
      <c r="C1087" s="203" t="s">
        <v>1971</v>
      </c>
      <c r="D1087" s="199" t="str">
        <f t="array" ref="D1087">IF(B1087="","",IFERROR(INDEX('FUNCIONÁRIOS'!$D$4:$D$501,MATCH(B1087,'FUNCIONÁRIOS'!$C$4:$C$501,0)),""))</f>
        <v/>
      </c>
      <c r="E1087" s="199" t="str">
        <f t="array" ref="E1087">IF(B1087="","",IFERROR(INDEX('FUNCIONÁRIOS'!$E$4:$E$501,MATCH(B1087,'FUNCIONÁRIOS'!$C$4:$C$501,0)),""))</f>
        <v/>
      </c>
      <c r="F1087" s="138">
        <v>46170.0</v>
      </c>
      <c r="G1087" s="115" t="str">
        <f t="shared" si="54"/>
        <v>✅ 10:58</v>
      </c>
      <c r="H1087" s="174" t="s">
        <v>1973</v>
      </c>
      <c r="I1087" s="117" t="str">
        <f t="shared" si="48"/>
        <v>→ Selecione a linha e use o menu ⏱️ Ponto</v>
      </c>
      <c r="J1087" s="180"/>
      <c r="K1087" s="179"/>
      <c r="L1087" s="119" t="str">
        <f t="shared" si="49"/>
        <v>🟢 No Evento</v>
      </c>
    </row>
    <row r="1088" ht="15.75" customHeight="1">
      <c r="A1088" s="13"/>
      <c r="B1088" s="173" t="s">
        <v>1556</v>
      </c>
      <c r="C1088" s="199" t="str">
        <f t="array" ref="C1088">IF(B1088="","",IFERROR(INDEX('FUNCIONÁRIOS'!$B$4:$B$501,MATCH(B1088,'FUNCIONÁRIOS'!$C$4:$C$501,0)),""))</f>
        <v/>
      </c>
      <c r="D1088" s="199" t="str">
        <f t="array" ref="D1088">IF(B1088="","",IFERROR(INDEX('FUNCIONÁRIOS'!$D$4:$D$501,MATCH(B1088,'FUNCIONÁRIOS'!$C$4:$C$501,0)),""))</f>
        <v/>
      </c>
      <c r="E1088" s="199" t="str">
        <f t="array" ref="E1088">IF(B1088="","",IFERROR(INDEX('FUNCIONÁRIOS'!$E$4:$E$501,MATCH(B1088,'FUNCIONÁRIOS'!$C$4:$C$501,0)),""))</f>
        <v/>
      </c>
      <c r="F1088" s="138">
        <v>46170.0</v>
      </c>
      <c r="G1088" s="115" t="str">
        <f t="shared" si="54"/>
        <v>✅ 10:58</v>
      </c>
      <c r="H1088" s="174" t="s">
        <v>1973</v>
      </c>
      <c r="I1088" s="117" t="str">
        <f t="shared" si="48"/>
        <v>→ Selecione a linha e use o menu ⏱️ Ponto</v>
      </c>
      <c r="J1088" s="180"/>
      <c r="K1088" s="179"/>
      <c r="L1088" s="119" t="str">
        <f t="shared" si="49"/>
        <v>🟢 No Evento</v>
      </c>
    </row>
    <row r="1089" ht="15.75" customHeight="1">
      <c r="A1089" s="13"/>
      <c r="B1089" s="173" t="s">
        <v>1557</v>
      </c>
      <c r="C1089" s="199" t="str">
        <f t="array" ref="C1089">IF(B1089="","",IFERROR(INDEX('FUNCIONÁRIOS'!$B$4:$B$501,MATCH(B1089,'FUNCIONÁRIOS'!$C$4:$C$501,0)),""))</f>
        <v/>
      </c>
      <c r="D1089" s="199" t="str">
        <f t="array" ref="D1089">IF(B1089="","",IFERROR(INDEX('FUNCIONÁRIOS'!$D$4:$D$501,MATCH(B1089,'FUNCIONÁRIOS'!$C$4:$C$501,0)),""))</f>
        <v/>
      </c>
      <c r="E1089" s="199" t="str">
        <f t="array" ref="E1089">IF(B1089="","",IFERROR(INDEX('FUNCIONÁRIOS'!$E$4:$E$501,MATCH(B1089,'FUNCIONÁRIOS'!$C$4:$C$501,0)),""))</f>
        <v/>
      </c>
      <c r="F1089" s="138">
        <v>46170.0</v>
      </c>
      <c r="G1089" s="115" t="str">
        <f t="shared" si="54"/>
        <v>✅ 11:00</v>
      </c>
      <c r="H1089" s="174" t="s">
        <v>1974</v>
      </c>
      <c r="I1089" s="117" t="str">
        <f t="shared" si="48"/>
        <v>→ Selecione a linha e use o menu ⏱️ Ponto</v>
      </c>
      <c r="J1089" s="180"/>
      <c r="K1089" s="179"/>
      <c r="L1089" s="119" t="str">
        <f t="shared" si="49"/>
        <v>🟢 No Evento</v>
      </c>
    </row>
    <row r="1090" ht="15.75" customHeight="1">
      <c r="A1090" s="13"/>
      <c r="B1090" s="173" t="s">
        <v>1561</v>
      </c>
      <c r="C1090" s="199" t="str">
        <f t="array" ref="C1090">IF(B1090="","",IFERROR(INDEX('FUNCIONÁRIOS'!$B$4:$B$501,MATCH(B1090,'FUNCIONÁRIOS'!$C$4:$C$501,0)),""))</f>
        <v/>
      </c>
      <c r="D1090" s="199" t="str">
        <f t="array" ref="D1090">IF(B1090="","",IFERROR(INDEX('FUNCIONÁRIOS'!$D$4:$D$501,MATCH(B1090,'FUNCIONÁRIOS'!$C$4:$C$501,0)),""))</f>
        <v/>
      </c>
      <c r="E1090" s="199" t="str">
        <f t="array" ref="E1090">IF(B1090="","",IFERROR(INDEX('FUNCIONÁRIOS'!$E$4:$E$501,MATCH(B1090,'FUNCIONÁRIOS'!$C$4:$C$501,0)),""))</f>
        <v/>
      </c>
      <c r="F1090" s="138">
        <v>46170.0</v>
      </c>
      <c r="G1090" s="115" t="str">
        <f t="shared" si="54"/>
        <v>✅ 11:02</v>
      </c>
      <c r="H1090" s="174" t="s">
        <v>1975</v>
      </c>
      <c r="I1090" s="117" t="str">
        <f t="shared" si="48"/>
        <v>→ Selecione a linha e use o menu ⏱️ Ponto</v>
      </c>
      <c r="J1090" s="180"/>
      <c r="K1090" s="179"/>
      <c r="L1090" s="119" t="str">
        <f t="shared" si="49"/>
        <v>🟢 No Evento</v>
      </c>
    </row>
    <row r="1091" ht="15.75" customHeight="1">
      <c r="A1091" s="13"/>
      <c r="B1091" s="173" t="s">
        <v>1562</v>
      </c>
      <c r="C1091" s="199" t="str">
        <f t="array" ref="C1091">IF(B1091="","",IFERROR(INDEX('FUNCIONÁRIOS'!$B$4:$B$501,MATCH(B1091,'FUNCIONÁRIOS'!$C$4:$C$501,0)),""))</f>
        <v/>
      </c>
      <c r="D1091" s="199" t="str">
        <f t="array" ref="D1091">IF(B1091="","",IFERROR(INDEX('FUNCIONÁRIOS'!$D$4:$D$501,MATCH(B1091,'FUNCIONÁRIOS'!$C$4:$C$501,0)),""))</f>
        <v/>
      </c>
      <c r="E1091" s="199" t="str">
        <f t="array" ref="E1091">IF(B1091="","",IFERROR(INDEX('FUNCIONÁRIOS'!$E$4:$E$501,MATCH(B1091,'FUNCIONÁRIOS'!$C$4:$C$501,0)),""))</f>
        <v/>
      </c>
      <c r="F1091" s="138">
        <v>46170.0</v>
      </c>
      <c r="G1091" s="115" t="str">
        <f t="shared" si="54"/>
        <v>✅ 11:02</v>
      </c>
      <c r="H1091" s="174" t="s">
        <v>1975</v>
      </c>
      <c r="I1091" s="117" t="str">
        <f t="shared" si="48"/>
        <v>→ Selecione a linha e use o menu ⏱️ Ponto</v>
      </c>
      <c r="J1091" s="180"/>
      <c r="K1091" s="179"/>
      <c r="L1091" s="119" t="str">
        <f t="shared" si="49"/>
        <v>🟢 No Evento</v>
      </c>
    </row>
    <row r="1092" ht="15.75" customHeight="1">
      <c r="A1092" s="13"/>
      <c r="B1092" s="173" t="s">
        <v>1559</v>
      </c>
      <c r="C1092" s="199" t="str">
        <f t="array" ref="C1092">IF(B1092="","",IFERROR(INDEX('FUNCIONÁRIOS'!$B$4:$B$501,MATCH(B1092,'FUNCIONÁRIOS'!$C$4:$C$501,0)),""))</f>
        <v/>
      </c>
      <c r="D1092" s="199" t="str">
        <f t="array" ref="D1092">IF(B1092="","",IFERROR(INDEX('FUNCIONÁRIOS'!$D$4:$D$501,MATCH(B1092,'FUNCIONÁRIOS'!$C$4:$C$501,0)),""))</f>
        <v/>
      </c>
      <c r="E1092" s="199" t="str">
        <f t="array" ref="E1092">IF(B1092="","",IFERROR(INDEX('FUNCIONÁRIOS'!$E$4:$E$501,MATCH(B1092,'FUNCIONÁRIOS'!$C$4:$C$501,0)),""))</f>
        <v/>
      </c>
      <c r="F1092" s="138">
        <v>46170.0</v>
      </c>
      <c r="G1092" s="115" t="str">
        <f t="shared" si="54"/>
        <v>✅ 11:03</v>
      </c>
      <c r="H1092" s="174" t="s">
        <v>1976</v>
      </c>
      <c r="I1092" s="117" t="str">
        <f t="shared" si="48"/>
        <v>→ Selecione a linha e use o menu ⏱️ Ponto</v>
      </c>
      <c r="J1092" s="180"/>
      <c r="K1092" s="179"/>
      <c r="L1092" s="119" t="str">
        <f t="shared" si="49"/>
        <v>🟢 No Evento</v>
      </c>
    </row>
    <row r="1093" ht="15.75" customHeight="1">
      <c r="A1093" s="13"/>
      <c r="B1093" s="173"/>
      <c r="C1093" s="199" t="str">
        <f t="array" ref="C1093">IF(B1093="","",IFERROR(INDEX('FUNCIONÁRIOS'!$B$4:$B$501,MATCH(B1093,'FUNCIONÁRIOS'!$C$4:$C$501,0)),""))</f>
        <v/>
      </c>
      <c r="D1093" s="199" t="str">
        <f t="array" ref="D1093">IF(B1093="","",IFERROR(INDEX('FUNCIONÁRIOS'!$D$4:$D$501,MATCH(B1093,'FUNCIONÁRIOS'!$C$4:$C$501,0)),""))</f>
        <v/>
      </c>
      <c r="E1093" s="199" t="str">
        <f t="array" ref="E1093">IF(B1093="","",IFERROR(INDEX('FUNCIONÁRIOS'!$E$4:$E$501,MATCH(B1093,'FUNCIONÁRIOS'!$C$4:$C$501,0)),""))</f>
        <v/>
      </c>
      <c r="F1093" s="138">
        <v>46170.0</v>
      </c>
      <c r="G1093" s="115" t="str">
        <f t="shared" si="54"/>
        <v>→ Selecione a linha e use o menu ⏱️ Ponto</v>
      </c>
      <c r="H1093" s="174"/>
      <c r="I1093" s="117" t="str">
        <f t="shared" si="48"/>
        <v>→ Selecione a linha e use o menu ⏱️ Ponto</v>
      </c>
      <c r="J1093" s="180"/>
      <c r="K1093" s="179"/>
      <c r="L1093" s="119" t="str">
        <f t="shared" si="49"/>
        <v/>
      </c>
    </row>
    <row r="1094" ht="15.75" customHeight="1">
      <c r="A1094" s="13"/>
      <c r="B1094" s="173" t="s">
        <v>840</v>
      </c>
      <c r="C1094" s="199" t="str">
        <f t="array" ref="C1094">IF(B1094="","",IFERROR(INDEX('FUNCIONÁRIOS'!$B$4:$B$501,MATCH(B1094,'FUNCIONÁRIOS'!$C$4:$C$501,0)),""))</f>
        <v>VALADARES EVENTOS </v>
      </c>
      <c r="D1094" s="199" t="str">
        <f t="array" ref="D1094">IF(B1094="","",IFERROR(INDEX('FUNCIONÁRIOS'!$D$4:$D$501,MATCH(B1094,'FUNCIONÁRIOS'!$C$4:$C$501,0)),""))</f>
        <v>MONTADOR </v>
      </c>
      <c r="E1094" s="199" t="str">
        <f t="array" ref="E1094">IF(B1094="","",IFERROR(INDEX('FUNCIONÁRIOS'!$E$4:$E$501,MATCH(B1094,'FUNCIONÁRIOS'!$C$4:$C$501,0)),""))</f>
        <v>NÃO</v>
      </c>
      <c r="F1094" s="138">
        <v>46170.0</v>
      </c>
      <c r="G1094" s="115" t="str">
        <f t="shared" si="54"/>
        <v>✅ 11:05</v>
      </c>
      <c r="H1094" s="174" t="s">
        <v>1711</v>
      </c>
      <c r="I1094" s="117" t="str">
        <f t="shared" si="48"/>
        <v>→ Selecione a linha e use o menu ⏱️ Ponto</v>
      </c>
      <c r="J1094" s="180"/>
      <c r="K1094" s="179"/>
      <c r="L1094" s="119" t="str">
        <f t="shared" si="49"/>
        <v>🟢 No Evento</v>
      </c>
    </row>
    <row r="1095" ht="15.75" customHeight="1">
      <c r="A1095" s="13"/>
      <c r="B1095" s="173" t="s">
        <v>1212</v>
      </c>
      <c r="C1095" s="199" t="str">
        <f t="array" ref="C1095">IF(B1095="","",IFERROR(INDEX('FUNCIONÁRIOS'!$B$4:$B$501,MATCH(B1095,'FUNCIONÁRIOS'!$C$4:$C$501,0)),""))</f>
        <v/>
      </c>
      <c r="D1095" s="199" t="str">
        <f t="array" ref="D1095">IF(B1095="","",IFERROR(INDEX('FUNCIONÁRIOS'!$D$4:$D$501,MATCH(B1095,'FUNCIONÁRIOS'!$C$4:$C$501,0)),""))</f>
        <v/>
      </c>
      <c r="E1095" s="199" t="str">
        <f t="array" ref="E1095">IF(B1095="","",IFERROR(INDEX('FUNCIONÁRIOS'!$E$4:$E$501,MATCH(B1095,'FUNCIONÁRIOS'!$C$4:$C$501,0)),""))</f>
        <v/>
      </c>
      <c r="F1095" s="138">
        <v>46170.0</v>
      </c>
      <c r="G1095" s="115" t="str">
        <f t="shared" si="54"/>
        <v>✅ 11:11</v>
      </c>
      <c r="H1095" s="174" t="s">
        <v>1977</v>
      </c>
      <c r="I1095" s="117" t="str">
        <f t="shared" si="48"/>
        <v>→ Selecione a linha e use o menu ⏱️ Ponto</v>
      </c>
      <c r="J1095" s="180"/>
      <c r="K1095" s="179"/>
      <c r="L1095" s="119" t="str">
        <f t="shared" si="49"/>
        <v>🟢 No Evento</v>
      </c>
    </row>
    <row r="1096" ht="15.75" customHeight="1">
      <c r="A1096" s="13"/>
      <c r="B1096" s="173" t="s">
        <v>1215</v>
      </c>
      <c r="C1096" s="199" t="str">
        <f t="array" ref="C1096">IF(B1096="","",IFERROR(INDEX('FUNCIONÁRIOS'!$B$4:$B$501,MATCH(B1096,'FUNCIONÁRIOS'!$C$4:$C$501,0)),""))</f>
        <v/>
      </c>
      <c r="D1096" s="199" t="str">
        <f t="array" ref="D1096">IF(B1096="","",IFERROR(INDEX('FUNCIONÁRIOS'!$D$4:$D$501,MATCH(B1096,'FUNCIONÁRIOS'!$C$4:$C$501,0)),""))</f>
        <v/>
      </c>
      <c r="E1096" s="199" t="str">
        <f t="array" ref="E1096">IF(B1096="","",IFERROR(INDEX('FUNCIONÁRIOS'!$E$4:$E$501,MATCH(B1096,'FUNCIONÁRIOS'!$C$4:$C$501,0)),""))</f>
        <v/>
      </c>
      <c r="F1096" s="138">
        <v>46170.0</v>
      </c>
      <c r="G1096" s="115" t="str">
        <f t="shared" si="54"/>
        <v>✅ 11:11</v>
      </c>
      <c r="H1096" s="174" t="s">
        <v>1977</v>
      </c>
      <c r="I1096" s="117" t="str">
        <f t="shared" si="48"/>
        <v>→ Selecione a linha e use o menu ⏱️ Ponto</v>
      </c>
      <c r="J1096" s="180"/>
      <c r="K1096" s="179"/>
      <c r="L1096" s="119" t="str">
        <f t="shared" si="49"/>
        <v>🟢 No Evento</v>
      </c>
    </row>
    <row r="1097" ht="15.75" customHeight="1">
      <c r="A1097" s="13"/>
      <c r="B1097" s="173" t="s">
        <v>1214</v>
      </c>
      <c r="C1097" s="199" t="str">
        <f t="array" ref="C1097">IF(B1097="","",IFERROR(INDEX('FUNCIONÁRIOS'!$B$4:$B$501,MATCH(B1097,'FUNCIONÁRIOS'!$C$4:$C$501,0)),""))</f>
        <v/>
      </c>
      <c r="D1097" s="199" t="str">
        <f t="array" ref="D1097">IF(B1097="","",IFERROR(INDEX('FUNCIONÁRIOS'!$D$4:$D$501,MATCH(B1097,'FUNCIONÁRIOS'!$C$4:$C$501,0)),""))</f>
        <v/>
      </c>
      <c r="E1097" s="199" t="str">
        <f t="array" ref="E1097">IF(B1097="","",IFERROR(INDEX('FUNCIONÁRIOS'!$E$4:$E$501,MATCH(B1097,'FUNCIONÁRIOS'!$C$4:$C$501,0)),""))</f>
        <v/>
      </c>
      <c r="F1097" s="138">
        <v>46170.0</v>
      </c>
      <c r="G1097" s="115" t="str">
        <f t="shared" si="54"/>
        <v>✅ 11:11</v>
      </c>
      <c r="H1097" s="174" t="s">
        <v>1977</v>
      </c>
      <c r="I1097" s="117" t="str">
        <f t="shared" si="48"/>
        <v>→ Selecione a linha e use o menu ⏱️ Ponto</v>
      </c>
      <c r="J1097" s="180"/>
      <c r="K1097" s="179"/>
      <c r="L1097" s="119" t="str">
        <f t="shared" si="49"/>
        <v>🟢 No Evento</v>
      </c>
    </row>
    <row r="1098" ht="15.75" customHeight="1">
      <c r="A1098" s="13"/>
      <c r="B1098" s="173" t="s">
        <v>465</v>
      </c>
      <c r="C1098" s="199" t="str">
        <f t="array" ref="C1098">IF(B1098="","",IFERROR(INDEX('FUNCIONÁRIOS'!$B$4:$B$501,MATCH(B1098,'FUNCIONÁRIOS'!$C$4:$C$501,0)),""))</f>
        <v>PIZZA GYN</v>
      </c>
      <c r="D1098" s="199" t="str">
        <f t="array" ref="D1098">IF(B1098="","",IFERROR(INDEX('FUNCIONÁRIOS'!$D$4:$D$501,MATCH(B1098,'FUNCIONÁRIOS'!$C$4:$C$501,0)),""))</f>
        <v>cordenador</v>
      </c>
      <c r="E1098" s="199" t="str">
        <f t="array" ref="E1098">IF(B1098="","",IFERROR(INDEX('FUNCIONÁRIOS'!$E$4:$E$501,MATCH(B1098,'FUNCIONÁRIOS'!$C$4:$C$501,0)),""))</f>
        <v>SIM</v>
      </c>
      <c r="F1098" s="138">
        <v>46170.0</v>
      </c>
      <c r="G1098" s="115" t="str">
        <f t="shared" si="54"/>
        <v>✅ 11:12</v>
      </c>
      <c r="H1098" s="174" t="s">
        <v>1844</v>
      </c>
      <c r="I1098" s="117" t="str">
        <f t="shared" si="48"/>
        <v>→ Selecione a linha e use o menu ⏱️ Ponto</v>
      </c>
      <c r="J1098" s="180"/>
      <c r="K1098" s="179"/>
      <c r="L1098" s="119" t="str">
        <f t="shared" si="49"/>
        <v>🟢 No Evento</v>
      </c>
    </row>
    <row r="1099" ht="15.75" customHeight="1">
      <c r="A1099" s="13"/>
      <c r="B1099" s="173" t="s">
        <v>1390</v>
      </c>
      <c r="C1099" s="199" t="str">
        <f t="array" ref="C1099">IF(B1099="","",IFERROR(INDEX('FUNCIONÁRIOS'!$B$4:$B$501,MATCH(B1099,'FUNCIONÁRIOS'!$C$4:$C$501,0)),""))</f>
        <v/>
      </c>
      <c r="D1099" s="199" t="str">
        <f t="array" ref="D1099">IF(B1099="","",IFERROR(INDEX('FUNCIONÁRIOS'!$D$4:$D$501,MATCH(B1099,'FUNCIONÁRIOS'!$C$4:$C$501,0)),""))</f>
        <v/>
      </c>
      <c r="E1099" s="199" t="str">
        <f t="array" ref="E1099">IF(B1099="","",IFERROR(INDEX('FUNCIONÁRIOS'!$E$4:$E$501,MATCH(B1099,'FUNCIONÁRIOS'!$C$4:$C$501,0)),""))</f>
        <v/>
      </c>
      <c r="F1099" s="138">
        <v>46170.0</v>
      </c>
      <c r="G1099" s="115" t="str">
        <f t="shared" si="54"/>
        <v>✅ 11:14</v>
      </c>
      <c r="H1099" s="174" t="s">
        <v>1715</v>
      </c>
      <c r="I1099" s="117" t="str">
        <f t="shared" si="48"/>
        <v>→ Selecione a linha e use o menu ⏱️ Ponto</v>
      </c>
      <c r="J1099" s="180"/>
      <c r="K1099" s="179"/>
      <c r="L1099" s="119" t="str">
        <f t="shared" si="49"/>
        <v>🟢 No Evento</v>
      </c>
    </row>
    <row r="1100" ht="15.75" customHeight="1">
      <c r="A1100" s="13"/>
      <c r="B1100" s="173" t="s">
        <v>457</v>
      </c>
      <c r="C1100" s="199" t="str">
        <f t="array" ref="C1100">IF(B1100="","",IFERROR(INDEX('FUNCIONÁRIOS'!$B$4:$B$501,MATCH(B1100,'FUNCIONÁRIOS'!$C$4:$C$501,0)),""))</f>
        <v>VOU DE CHURROS</v>
      </c>
      <c r="D1100" s="199" t="str">
        <f t="array" ref="D1100">IF(B1100="","",IFERROR(INDEX('FUNCIONÁRIOS'!$D$4:$D$501,MATCH(B1100,'FUNCIONÁRIOS'!$C$4:$C$501,0)),""))</f>
        <v>Coordenadora</v>
      </c>
      <c r="E1100" s="199" t="str">
        <f t="array" ref="E1100">IF(B1100="","",IFERROR(INDEX('FUNCIONÁRIOS'!$E$4:$E$501,MATCH(B1100,'FUNCIONÁRIOS'!$C$4:$C$501,0)),""))</f>
        <v>SIM</v>
      </c>
      <c r="F1100" s="138">
        <v>46170.0</v>
      </c>
      <c r="G1100" s="115" t="str">
        <f t="shared" si="54"/>
        <v>✅ 11:14</v>
      </c>
      <c r="H1100" s="174" t="s">
        <v>1715</v>
      </c>
      <c r="I1100" s="117" t="str">
        <f t="shared" si="48"/>
        <v>→ Selecione a linha e use o menu ⏱️ Ponto</v>
      </c>
      <c r="J1100" s="180"/>
      <c r="K1100" s="179"/>
      <c r="L1100" s="119" t="str">
        <f t="shared" si="49"/>
        <v>🟢 No Evento</v>
      </c>
    </row>
    <row r="1101" ht="15.75" customHeight="1">
      <c r="A1101" s="13"/>
      <c r="B1101" s="173" t="s">
        <v>1563</v>
      </c>
      <c r="C1101" s="199" t="str">
        <f t="array" ref="C1101">IF(B1101="","",IFERROR(INDEX('FUNCIONÁRIOS'!$B$4:$B$501,MATCH(B1101,'FUNCIONÁRIOS'!$C$4:$C$501,0)),""))</f>
        <v/>
      </c>
      <c r="D1101" s="199" t="str">
        <f t="array" ref="D1101">IF(B1101="","",IFERROR(INDEX('FUNCIONÁRIOS'!$D$4:$D$501,MATCH(B1101,'FUNCIONÁRIOS'!$C$4:$C$501,0)),""))</f>
        <v/>
      </c>
      <c r="E1101" s="199" t="str">
        <f t="array" ref="E1101">IF(B1101="","",IFERROR(INDEX('FUNCIONÁRIOS'!$E$4:$E$501,MATCH(B1101,'FUNCIONÁRIOS'!$C$4:$C$501,0)),""))</f>
        <v/>
      </c>
      <c r="F1101" s="138">
        <v>46170.0</v>
      </c>
      <c r="G1101" s="115" t="str">
        <f t="shared" si="54"/>
        <v>✅ 11:15</v>
      </c>
      <c r="H1101" s="174" t="s">
        <v>1716</v>
      </c>
      <c r="I1101" s="117" t="str">
        <f t="shared" si="48"/>
        <v>→ Selecione a linha e use o menu ⏱️ Ponto</v>
      </c>
      <c r="J1101" s="180"/>
      <c r="K1101" s="179"/>
      <c r="L1101" s="119" t="str">
        <f t="shared" si="49"/>
        <v>🟢 No Evento</v>
      </c>
    </row>
    <row r="1102" ht="15.75" customHeight="1">
      <c r="A1102" s="13"/>
      <c r="B1102" s="173" t="s">
        <v>1395</v>
      </c>
      <c r="C1102" s="199" t="str">
        <f t="array" ref="C1102">IF(B1102="","",IFERROR(INDEX('FUNCIONÁRIOS'!$B$4:$B$501,MATCH(B1102,'FUNCIONÁRIOS'!$C$4:$C$501,0)),""))</f>
        <v/>
      </c>
      <c r="D1102" s="199" t="str">
        <f t="array" ref="D1102">IF(B1102="","",IFERROR(INDEX('FUNCIONÁRIOS'!$D$4:$D$501,MATCH(B1102,'FUNCIONÁRIOS'!$C$4:$C$501,0)),""))</f>
        <v/>
      </c>
      <c r="E1102" s="199" t="str">
        <f t="array" ref="E1102">IF(B1102="","",IFERROR(INDEX('FUNCIONÁRIOS'!$E$4:$E$501,MATCH(B1102,'FUNCIONÁRIOS'!$C$4:$C$501,0)),""))</f>
        <v/>
      </c>
      <c r="F1102" s="138">
        <v>46170.0</v>
      </c>
      <c r="G1102" s="115" t="str">
        <f t="shared" si="54"/>
        <v>✅ 11:17</v>
      </c>
      <c r="H1102" s="174" t="s">
        <v>1915</v>
      </c>
      <c r="I1102" s="117" t="str">
        <f t="shared" si="48"/>
        <v>→ Selecione a linha e use o menu ⏱️ Ponto</v>
      </c>
      <c r="J1102" s="180"/>
      <c r="K1102" s="179"/>
      <c r="L1102" s="119" t="str">
        <f t="shared" si="49"/>
        <v>🟢 No Evento</v>
      </c>
    </row>
    <row r="1103" ht="15.75" customHeight="1">
      <c r="A1103" s="13"/>
      <c r="B1103" s="173" t="s">
        <v>1565</v>
      </c>
      <c r="C1103" s="199" t="str">
        <f t="array" ref="C1103">IF(B1103="","",IFERROR(INDEX('FUNCIONÁRIOS'!$B$4:$B$501,MATCH(B1103,'FUNCIONÁRIOS'!$C$4:$C$501,0)),""))</f>
        <v/>
      </c>
      <c r="D1103" s="199" t="str">
        <f t="array" ref="D1103">IF(B1103="","",IFERROR(INDEX('FUNCIONÁRIOS'!$D$4:$D$501,MATCH(B1103,'FUNCIONÁRIOS'!$C$4:$C$501,0)),""))</f>
        <v/>
      </c>
      <c r="E1103" s="199" t="str">
        <f t="array" ref="E1103">IF(B1103="","",IFERROR(INDEX('FUNCIONÁRIOS'!$E$4:$E$501,MATCH(B1103,'FUNCIONÁRIOS'!$C$4:$C$501,0)),""))</f>
        <v/>
      </c>
      <c r="F1103" s="138">
        <v>46170.0</v>
      </c>
      <c r="G1103" s="115" t="str">
        <f t="shared" si="54"/>
        <v>✅ 11:17</v>
      </c>
      <c r="H1103" s="174" t="s">
        <v>1915</v>
      </c>
      <c r="I1103" s="117" t="str">
        <f t="shared" si="48"/>
        <v>→ Selecione a linha e use o menu ⏱️ Ponto</v>
      </c>
      <c r="J1103" s="180"/>
      <c r="K1103" s="179"/>
      <c r="L1103" s="119" t="str">
        <f t="shared" si="49"/>
        <v>🟢 No Evento</v>
      </c>
    </row>
    <row r="1104" ht="15.75" customHeight="1">
      <c r="A1104" s="13"/>
      <c r="B1104" s="173" t="s">
        <v>612</v>
      </c>
      <c r="C1104" s="199" t="str">
        <f t="array" ref="C1104">IF(B1104="","",IFERROR(INDEX('FUNCIONÁRIOS'!$B$4:$B$501,MATCH(B1104,'FUNCIONÁRIOS'!$C$4:$C$501,0)),""))</f>
        <v>STUDIO K MULTI EVENTOS LTDA </v>
      </c>
      <c r="D1104" s="199" t="str">
        <f t="array" ref="D1104">IF(B1104="","",IFERROR(INDEX('FUNCIONÁRIOS'!$D$4:$D$501,MATCH(B1104,'FUNCIONÁRIOS'!$C$4:$C$501,0)),""))</f>
        <v>DIRETOR SOCIO</v>
      </c>
      <c r="E1104" s="199" t="str">
        <f t="array" ref="E1104">IF(B1104="","",IFERROR(INDEX('FUNCIONÁRIOS'!$E$4:$E$501,MATCH(B1104,'FUNCIONÁRIOS'!$C$4:$C$501,0)),""))</f>
        <v>NÃO</v>
      </c>
      <c r="F1104" s="138">
        <v>46170.0</v>
      </c>
      <c r="G1104" s="115" t="str">
        <f t="shared" si="54"/>
        <v>✅ 11:18</v>
      </c>
      <c r="H1104" s="174" t="s">
        <v>1978</v>
      </c>
      <c r="I1104" s="117" t="str">
        <f t="shared" si="48"/>
        <v>→ Selecione a linha e use o menu ⏱️ Ponto</v>
      </c>
      <c r="J1104" s="180"/>
      <c r="K1104" s="179"/>
      <c r="L1104" s="119" t="str">
        <f t="shared" si="49"/>
        <v>🟢 No Evento</v>
      </c>
    </row>
    <row r="1105" ht="15.75" customHeight="1">
      <c r="A1105" s="13"/>
      <c r="B1105" s="173" t="s">
        <v>1566</v>
      </c>
      <c r="C1105" s="199" t="str">
        <f t="array" ref="C1105">IF(B1105="","",IFERROR(INDEX('FUNCIONÁRIOS'!$B$4:$B$501,MATCH(B1105,'FUNCIONÁRIOS'!$C$4:$C$501,0)),""))</f>
        <v/>
      </c>
      <c r="D1105" s="199" t="str">
        <f t="array" ref="D1105">IF(B1105="","",IFERROR(INDEX('FUNCIONÁRIOS'!$D$4:$D$501,MATCH(B1105,'FUNCIONÁRIOS'!$C$4:$C$501,0)),""))</f>
        <v/>
      </c>
      <c r="E1105" s="199" t="str">
        <f t="array" ref="E1105">IF(B1105="","",IFERROR(INDEX('FUNCIONÁRIOS'!$E$4:$E$501,MATCH(B1105,'FUNCIONÁRIOS'!$C$4:$C$501,0)),""))</f>
        <v/>
      </c>
      <c r="F1105" s="138">
        <v>46170.0</v>
      </c>
      <c r="G1105" s="115" t="str">
        <f t="shared" si="54"/>
        <v>✅ 11:38</v>
      </c>
      <c r="H1105" s="174" t="s">
        <v>1979</v>
      </c>
      <c r="I1105" s="117" t="str">
        <f t="shared" si="48"/>
        <v>→ Selecione a linha e use o menu ⏱️ Ponto</v>
      </c>
      <c r="J1105" s="180"/>
      <c r="K1105" s="179"/>
      <c r="L1105" s="119" t="str">
        <f t="shared" si="49"/>
        <v>🟢 No Evento</v>
      </c>
    </row>
    <row r="1106" ht="15.75" customHeight="1">
      <c r="A1106" s="13"/>
      <c r="B1106" s="173" t="s">
        <v>1568</v>
      </c>
      <c r="C1106" s="199" t="str">
        <f t="array" ref="C1106">IF(B1106="","",IFERROR(INDEX('FUNCIONÁRIOS'!$B$4:$B$501,MATCH(B1106,'FUNCIONÁRIOS'!$C$4:$C$501,0)),""))</f>
        <v/>
      </c>
      <c r="D1106" s="199" t="str">
        <f t="array" ref="D1106">IF(B1106="","",IFERROR(INDEX('FUNCIONÁRIOS'!$D$4:$D$501,MATCH(B1106,'FUNCIONÁRIOS'!$C$4:$C$501,0)),""))</f>
        <v/>
      </c>
      <c r="E1106" s="199" t="str">
        <f t="array" ref="E1106">IF(B1106="","",IFERROR(INDEX('FUNCIONÁRIOS'!$E$4:$E$501,MATCH(B1106,'FUNCIONÁRIOS'!$C$4:$C$501,0)),""))</f>
        <v/>
      </c>
      <c r="F1106" s="138">
        <v>46170.0</v>
      </c>
      <c r="G1106" s="115" t="str">
        <f t="shared" si="54"/>
        <v>✅ 11:38</v>
      </c>
      <c r="H1106" s="174" t="s">
        <v>1979</v>
      </c>
      <c r="I1106" s="117" t="str">
        <f t="shared" si="48"/>
        <v>→ Selecione a linha e use o menu ⏱️ Ponto</v>
      </c>
      <c r="J1106" s="180"/>
      <c r="K1106" s="179"/>
      <c r="L1106" s="119" t="str">
        <f t="shared" si="49"/>
        <v>🟢 No Evento</v>
      </c>
    </row>
    <row r="1107" ht="15.75" customHeight="1">
      <c r="A1107" s="13"/>
      <c r="B1107" s="173" t="s">
        <v>460</v>
      </c>
      <c r="C1107" s="199" t="str">
        <f t="array" ref="C1107">IF(B1107="","",IFERROR(INDEX('FUNCIONÁRIOS'!$B$4:$B$501,MATCH(B1107,'FUNCIONÁRIOS'!$C$4:$C$501,0)),""))</f>
        <v>PIZZA GYN</v>
      </c>
      <c r="D1107" s="199" t="str">
        <f t="array" ref="D1107">IF(B1107="","",IFERROR(INDEX('FUNCIONÁRIOS'!$D$4:$D$501,MATCH(B1107,'FUNCIONÁRIOS'!$C$4:$C$501,0)),""))</f>
        <v>Cordenador Técnico</v>
      </c>
      <c r="E1107" s="199" t="str">
        <f t="array" ref="E1107">IF(B1107="","",IFERROR(INDEX('FUNCIONÁRIOS'!$E$4:$E$501,MATCH(B1107,'FUNCIONÁRIOS'!$C$4:$C$501,0)),""))</f>
        <v>SIM</v>
      </c>
      <c r="F1107" s="138">
        <v>46170.0</v>
      </c>
      <c r="G1107" s="115" t="str">
        <f t="shared" si="54"/>
        <v>✅ 11:38</v>
      </c>
      <c r="H1107" s="174" t="s">
        <v>1979</v>
      </c>
      <c r="I1107" s="117" t="str">
        <f t="shared" si="48"/>
        <v>→ Selecione a linha e use o menu ⏱️ Ponto</v>
      </c>
      <c r="J1107" s="180"/>
      <c r="K1107" s="179"/>
      <c r="L1107" s="119" t="str">
        <f t="shared" si="49"/>
        <v>🟢 No Evento</v>
      </c>
    </row>
    <row r="1108" ht="15.75" customHeight="1">
      <c r="A1108" s="13"/>
      <c r="B1108" s="173" t="s">
        <v>1569</v>
      </c>
      <c r="C1108" s="199" t="str">
        <f t="array" ref="C1108">IF(B1108="","",IFERROR(INDEX('FUNCIONÁRIOS'!$B$4:$B$501,MATCH(B1108,'FUNCIONÁRIOS'!$C$4:$C$501,0)),""))</f>
        <v/>
      </c>
      <c r="D1108" s="199" t="str">
        <f t="array" ref="D1108">IF(B1108="","",IFERROR(INDEX('FUNCIONÁRIOS'!$D$4:$D$501,MATCH(B1108,'FUNCIONÁRIOS'!$C$4:$C$501,0)),""))</f>
        <v/>
      </c>
      <c r="E1108" s="199" t="str">
        <f t="array" ref="E1108">IF(B1108="","",IFERROR(INDEX('FUNCIONÁRIOS'!$E$4:$E$501,MATCH(B1108,'FUNCIONÁRIOS'!$C$4:$C$501,0)),""))</f>
        <v/>
      </c>
      <c r="F1108" s="138">
        <v>46170.0</v>
      </c>
      <c r="G1108" s="115" t="str">
        <f t="shared" si="54"/>
        <v>✅ 11:39</v>
      </c>
      <c r="H1108" s="174" t="s">
        <v>1732</v>
      </c>
      <c r="I1108" s="117" t="str">
        <f t="shared" si="48"/>
        <v>→ Selecione a linha e use o menu ⏱️ Ponto</v>
      </c>
      <c r="J1108" s="180"/>
      <c r="K1108" s="179"/>
      <c r="L1108" s="119" t="str">
        <f t="shared" si="49"/>
        <v>🟢 No Evento</v>
      </c>
    </row>
    <row r="1109" ht="15.75" customHeight="1">
      <c r="A1109" s="13"/>
      <c r="B1109" s="173" t="s">
        <v>1570</v>
      </c>
      <c r="C1109" s="199" t="str">
        <f t="array" ref="C1109">IF(B1109="","",IFERROR(INDEX('FUNCIONÁRIOS'!$B$4:$B$501,MATCH(B1109,'FUNCIONÁRIOS'!$C$4:$C$501,0)),""))</f>
        <v/>
      </c>
      <c r="D1109" s="199" t="str">
        <f t="array" ref="D1109">IF(B1109="","",IFERROR(INDEX('FUNCIONÁRIOS'!$D$4:$D$501,MATCH(B1109,'FUNCIONÁRIOS'!$C$4:$C$501,0)),""))</f>
        <v/>
      </c>
      <c r="E1109" s="199" t="str">
        <f t="array" ref="E1109">IF(B1109="","",IFERROR(INDEX('FUNCIONÁRIOS'!$E$4:$E$501,MATCH(B1109,'FUNCIONÁRIOS'!$C$4:$C$501,0)),""))</f>
        <v/>
      </c>
      <c r="F1109" s="138">
        <v>46170.0</v>
      </c>
      <c r="G1109" s="115" t="str">
        <f t="shared" si="54"/>
        <v>✅ 11:39</v>
      </c>
      <c r="H1109" s="174" t="s">
        <v>1732</v>
      </c>
      <c r="I1109" s="117" t="str">
        <f t="shared" si="48"/>
        <v>→ Selecione a linha e use o menu ⏱️ Ponto</v>
      </c>
      <c r="J1109" s="180"/>
      <c r="K1109" s="179"/>
      <c r="L1109" s="119" t="str">
        <f t="shared" si="49"/>
        <v>🟢 No Evento</v>
      </c>
    </row>
    <row r="1110" ht="15.75" customHeight="1">
      <c r="A1110" s="13"/>
      <c r="B1110" s="173"/>
      <c r="C1110" s="199" t="str">
        <f t="array" ref="C1110">IF(B1110="","",IFERROR(INDEX('FUNCIONÁRIOS'!$B$4:$B$501,MATCH(B1110,'FUNCIONÁRIOS'!$C$4:$C$501,0)),""))</f>
        <v/>
      </c>
      <c r="D1110" s="199" t="str">
        <f t="array" ref="D1110">IF(B1110="","",IFERROR(INDEX('FUNCIONÁRIOS'!$D$4:$D$501,MATCH(B1110,'FUNCIONÁRIOS'!$C$4:$C$501,0)),""))</f>
        <v/>
      </c>
      <c r="E1110" s="199" t="str">
        <f t="array" ref="E1110">IF(B1110="","",IFERROR(INDEX('FUNCIONÁRIOS'!$E$4:$E$501,MATCH(B1110,'FUNCIONÁRIOS'!$C$4:$C$501,0)),""))</f>
        <v/>
      </c>
      <c r="F1110" s="138">
        <v>46170.0</v>
      </c>
      <c r="G1110" s="115" t="str">
        <f t="shared" si="54"/>
        <v>→ Selecione a linha e use o menu ⏱️ Ponto</v>
      </c>
      <c r="H1110" s="174"/>
      <c r="I1110" s="117" t="str">
        <f t="shared" si="48"/>
        <v>→ Selecione a linha e use o menu ⏱️ Ponto</v>
      </c>
      <c r="J1110" s="180"/>
      <c r="K1110" s="179"/>
      <c r="L1110" s="119" t="str">
        <f t="shared" si="49"/>
        <v/>
      </c>
    </row>
    <row r="1111" ht="15.75" customHeight="1">
      <c r="A1111" s="13"/>
      <c r="B1111" s="173"/>
      <c r="C1111" s="199" t="str">
        <f t="array" ref="C1111">IF(B1111="","",IFERROR(INDEX('FUNCIONÁRIOS'!$B$4:$B$501,MATCH(B1111,'FUNCIONÁRIOS'!$C$4:$C$501,0)),""))</f>
        <v/>
      </c>
      <c r="D1111" s="199" t="str">
        <f t="array" ref="D1111">IF(B1111="","",IFERROR(INDEX('FUNCIONÁRIOS'!$D$4:$D$501,MATCH(B1111,'FUNCIONÁRIOS'!$C$4:$C$501,0)),""))</f>
        <v/>
      </c>
      <c r="E1111" s="199" t="str">
        <f t="array" ref="E1111">IF(B1111="","",IFERROR(INDEX('FUNCIONÁRIOS'!$E$4:$E$501,MATCH(B1111,'FUNCIONÁRIOS'!$C$4:$C$501,0)),""))</f>
        <v/>
      </c>
      <c r="F1111" s="138">
        <v>46170.0</v>
      </c>
      <c r="G1111" s="115" t="str">
        <f t="shared" si="54"/>
        <v>→ Selecione a linha e use o menu ⏱️ Ponto</v>
      </c>
      <c r="H1111" s="174"/>
      <c r="I1111" s="117" t="str">
        <f t="shared" si="48"/>
        <v>→ Selecione a linha e use o menu ⏱️ Ponto</v>
      </c>
      <c r="J1111" s="180"/>
      <c r="K1111" s="179"/>
      <c r="L1111" s="119" t="str">
        <f t="shared" si="49"/>
        <v/>
      </c>
    </row>
    <row r="1112" ht="15.75" customHeight="1">
      <c r="A1112" s="13"/>
      <c r="B1112" s="173"/>
      <c r="C1112" s="199" t="str">
        <f t="array" ref="C1112">IF(B1112="","",IFERROR(INDEX('FUNCIONÁRIOS'!$B$4:$B$501,MATCH(B1112,'FUNCIONÁRIOS'!$C$4:$C$501,0)),""))</f>
        <v/>
      </c>
      <c r="D1112" s="199" t="str">
        <f t="array" ref="D1112">IF(B1112="","",IFERROR(INDEX('FUNCIONÁRIOS'!$D$4:$D$501,MATCH(B1112,'FUNCIONÁRIOS'!$C$4:$C$501,0)),""))</f>
        <v/>
      </c>
      <c r="E1112" s="199" t="str">
        <f t="array" ref="E1112">IF(B1112="","",IFERROR(INDEX('FUNCIONÁRIOS'!$E$4:$E$501,MATCH(B1112,'FUNCIONÁRIOS'!$C$4:$C$501,0)),""))</f>
        <v/>
      </c>
      <c r="F1112" s="138">
        <v>46170.0</v>
      </c>
      <c r="G1112" s="115" t="str">
        <f t="shared" si="54"/>
        <v>→ Selecione a linha e use o menu ⏱️ Ponto</v>
      </c>
      <c r="H1112" s="174"/>
      <c r="I1112" s="117" t="str">
        <f t="shared" si="48"/>
        <v>→ Selecione a linha e use o menu ⏱️ Ponto</v>
      </c>
      <c r="J1112" s="180"/>
      <c r="K1112" s="179"/>
      <c r="L1112" s="119" t="str">
        <f t="shared" si="49"/>
        <v/>
      </c>
    </row>
    <row r="1113" ht="15.75" customHeight="1">
      <c r="A1113" s="13"/>
      <c r="B1113" s="173"/>
      <c r="C1113" s="199" t="str">
        <f t="array" ref="C1113">IF(B1113="","",IFERROR(INDEX('FUNCIONÁRIOS'!$B$4:$B$501,MATCH(B1113,'FUNCIONÁRIOS'!$C$4:$C$501,0)),""))</f>
        <v/>
      </c>
      <c r="D1113" s="199" t="str">
        <f t="array" ref="D1113">IF(B1113="","",IFERROR(INDEX('FUNCIONÁRIOS'!$D$4:$D$501,MATCH(B1113,'FUNCIONÁRIOS'!$C$4:$C$501,0)),""))</f>
        <v/>
      </c>
      <c r="E1113" s="199" t="str">
        <f t="array" ref="E1113">IF(B1113="","",IFERROR(INDEX('FUNCIONÁRIOS'!$E$4:$E$501,MATCH(B1113,'FUNCIONÁRIOS'!$C$4:$C$501,0)),""))</f>
        <v/>
      </c>
      <c r="F1113" s="138">
        <v>46170.0</v>
      </c>
      <c r="G1113" s="115" t="str">
        <f t="shared" si="54"/>
        <v>→ Selecione a linha e use o menu ⏱️ Ponto</v>
      </c>
      <c r="H1113" s="174"/>
      <c r="I1113" s="117" t="str">
        <f t="shared" si="48"/>
        <v>→ Selecione a linha e use o menu ⏱️ Ponto</v>
      </c>
      <c r="J1113" s="180"/>
      <c r="K1113" s="179"/>
      <c r="L1113" s="119" t="str">
        <f t="shared" si="49"/>
        <v/>
      </c>
    </row>
    <row r="1114" ht="15.75" customHeight="1">
      <c r="A1114" s="13"/>
      <c r="B1114" s="173"/>
      <c r="C1114" s="199" t="str">
        <f t="array" ref="C1114">IF(B1114="","",IFERROR(INDEX('FUNCIONÁRIOS'!$B$4:$B$501,MATCH(B1114,'FUNCIONÁRIOS'!$C$4:$C$501,0)),""))</f>
        <v/>
      </c>
      <c r="D1114" s="199" t="str">
        <f t="array" ref="D1114">IF(B1114="","",IFERROR(INDEX('FUNCIONÁRIOS'!$D$4:$D$501,MATCH(B1114,'FUNCIONÁRIOS'!$C$4:$C$501,0)),""))</f>
        <v/>
      </c>
      <c r="E1114" s="199" t="str">
        <f t="array" ref="E1114">IF(B1114="","",IFERROR(INDEX('FUNCIONÁRIOS'!$E$4:$E$501,MATCH(B1114,'FUNCIONÁRIOS'!$C$4:$C$501,0)),""))</f>
        <v/>
      </c>
      <c r="F1114" s="138">
        <v>46170.0</v>
      </c>
      <c r="G1114" s="115" t="str">
        <f t="shared" si="54"/>
        <v>→ Selecione a linha e use o menu ⏱️ Ponto</v>
      </c>
      <c r="H1114" s="174"/>
      <c r="I1114" s="117" t="str">
        <f t="shared" si="48"/>
        <v>→ Selecione a linha e use o menu ⏱️ Ponto</v>
      </c>
      <c r="J1114" s="180"/>
      <c r="K1114" s="179"/>
      <c r="L1114" s="119" t="str">
        <f t="shared" si="49"/>
        <v/>
      </c>
    </row>
    <row r="1115" ht="15.75" customHeight="1">
      <c r="A1115" s="13"/>
      <c r="B1115" s="173"/>
      <c r="C1115" s="199" t="str">
        <f t="array" ref="C1115">IF(B1115="","",IFERROR(INDEX('FUNCIONÁRIOS'!$B$4:$B$501,MATCH(B1115,'FUNCIONÁRIOS'!$C$4:$C$501,0)),""))</f>
        <v/>
      </c>
      <c r="D1115" s="199" t="str">
        <f t="array" ref="D1115">IF(B1115="","",IFERROR(INDEX('FUNCIONÁRIOS'!$D$4:$D$501,MATCH(B1115,'FUNCIONÁRIOS'!$C$4:$C$501,0)),""))</f>
        <v/>
      </c>
      <c r="E1115" s="199" t="str">
        <f t="array" ref="E1115">IF(B1115="","",IFERROR(INDEX('FUNCIONÁRIOS'!$E$4:$E$501,MATCH(B1115,'FUNCIONÁRIOS'!$C$4:$C$501,0)),""))</f>
        <v/>
      </c>
      <c r="F1115" s="138">
        <v>46170.0</v>
      </c>
      <c r="G1115" s="115" t="str">
        <f t="shared" si="54"/>
        <v>→ Selecione a linha e use o menu ⏱️ Ponto</v>
      </c>
      <c r="H1115" s="174"/>
      <c r="I1115" s="117" t="str">
        <f t="shared" si="48"/>
        <v>→ Selecione a linha e use o menu ⏱️ Ponto</v>
      </c>
      <c r="J1115" s="180"/>
      <c r="K1115" s="179"/>
      <c r="L1115" s="119" t="str">
        <f t="shared" si="49"/>
        <v/>
      </c>
    </row>
    <row r="1116" ht="15.75" customHeight="1">
      <c r="A1116" s="13"/>
      <c r="B1116" s="173"/>
      <c r="C1116" s="199" t="str">
        <f t="array" ref="C1116">IF(B1116="","",IFERROR(INDEX('FUNCIONÁRIOS'!$B$4:$B$501,MATCH(B1116,'FUNCIONÁRIOS'!$C$4:$C$501,0)),""))</f>
        <v/>
      </c>
      <c r="D1116" s="199" t="str">
        <f t="array" ref="D1116">IF(B1116="","",IFERROR(INDEX('FUNCIONÁRIOS'!$D$4:$D$501,MATCH(B1116,'FUNCIONÁRIOS'!$C$4:$C$501,0)),""))</f>
        <v/>
      </c>
      <c r="E1116" s="199" t="str">
        <f t="array" ref="E1116">IF(B1116="","",IFERROR(INDEX('FUNCIONÁRIOS'!$E$4:$E$501,MATCH(B1116,'FUNCIONÁRIOS'!$C$4:$C$501,0)),""))</f>
        <v/>
      </c>
      <c r="F1116" s="138">
        <v>46170.0</v>
      </c>
      <c r="G1116" s="115" t="str">
        <f t="shared" si="54"/>
        <v>→ Selecione a linha e use o menu ⏱️ Ponto</v>
      </c>
      <c r="H1116" s="174"/>
      <c r="I1116" s="117" t="str">
        <f t="shared" si="48"/>
        <v>→ Selecione a linha e use o menu ⏱️ Ponto</v>
      </c>
      <c r="J1116" s="180"/>
      <c r="K1116" s="179"/>
      <c r="L1116" s="119" t="str">
        <f t="shared" si="49"/>
        <v/>
      </c>
    </row>
    <row r="1117" ht="15.75" customHeight="1">
      <c r="A1117" s="13"/>
      <c r="B1117" s="173"/>
      <c r="C1117" s="199" t="str">
        <f t="array" ref="C1117">IF(B1117="","",IFERROR(INDEX('FUNCIONÁRIOS'!$B$4:$B$501,MATCH(B1117,'FUNCIONÁRIOS'!$C$4:$C$501,0)),""))</f>
        <v/>
      </c>
      <c r="D1117" s="199" t="str">
        <f t="array" ref="D1117">IF(B1117="","",IFERROR(INDEX('FUNCIONÁRIOS'!$D$4:$D$501,MATCH(B1117,'FUNCIONÁRIOS'!$C$4:$C$501,0)),""))</f>
        <v/>
      </c>
      <c r="E1117" s="199" t="str">
        <f t="array" ref="E1117">IF(B1117="","",IFERROR(INDEX('FUNCIONÁRIOS'!$E$4:$E$501,MATCH(B1117,'FUNCIONÁRIOS'!$C$4:$C$501,0)),""))</f>
        <v/>
      </c>
      <c r="F1117" s="138">
        <v>46170.0</v>
      </c>
      <c r="G1117" s="115" t="str">
        <f t="shared" si="54"/>
        <v>→ Selecione a linha e use o menu ⏱️ Ponto</v>
      </c>
      <c r="H1117" s="174"/>
      <c r="I1117" s="117" t="str">
        <f t="shared" si="48"/>
        <v>→ Selecione a linha e use o menu ⏱️ Ponto</v>
      </c>
      <c r="J1117" s="180"/>
      <c r="K1117" s="179"/>
      <c r="L1117" s="119" t="str">
        <f t="shared" si="49"/>
        <v/>
      </c>
    </row>
    <row r="1118" ht="15.75" customHeight="1">
      <c r="A1118" s="13"/>
      <c r="B1118" s="173"/>
      <c r="C1118" s="199" t="str">
        <f t="array" ref="C1118">IF(B1118="","",IFERROR(INDEX('FUNCIONÁRIOS'!$B$4:$B$501,MATCH(B1118,'FUNCIONÁRIOS'!$C$4:$C$501,0)),""))</f>
        <v/>
      </c>
      <c r="D1118" s="199" t="str">
        <f t="array" ref="D1118">IF(B1118="","",IFERROR(INDEX('FUNCIONÁRIOS'!$D$4:$D$501,MATCH(B1118,'FUNCIONÁRIOS'!$C$4:$C$501,0)),""))</f>
        <v/>
      </c>
      <c r="E1118" s="199" t="str">
        <f t="array" ref="E1118">IF(B1118="","",IFERROR(INDEX('FUNCIONÁRIOS'!$E$4:$E$501,MATCH(B1118,'FUNCIONÁRIOS'!$C$4:$C$501,0)),""))</f>
        <v/>
      </c>
      <c r="F1118" s="138">
        <v>46170.0</v>
      </c>
      <c r="G1118" s="115" t="str">
        <f t="shared" si="54"/>
        <v>→ Selecione a linha e use o menu ⏱️ Ponto</v>
      </c>
      <c r="H1118" s="174"/>
      <c r="I1118" s="117" t="str">
        <f t="shared" si="48"/>
        <v>→ Selecione a linha e use o menu ⏱️ Ponto</v>
      </c>
      <c r="J1118" s="180"/>
      <c r="K1118" s="179"/>
      <c r="L1118" s="119" t="str">
        <f t="shared" si="49"/>
        <v/>
      </c>
    </row>
    <row r="1119" ht="15.75" customHeight="1">
      <c r="A1119" s="13"/>
      <c r="B1119" s="173"/>
      <c r="C1119" s="199" t="str">
        <f t="array" ref="C1119">IF(B1119="","",IFERROR(INDEX('FUNCIONÁRIOS'!$B$4:$B$501,MATCH(B1119,'FUNCIONÁRIOS'!$C$4:$C$501,0)),""))</f>
        <v/>
      </c>
      <c r="D1119" s="199" t="str">
        <f t="array" ref="D1119">IF(B1119="","",IFERROR(INDEX('FUNCIONÁRIOS'!$D$4:$D$501,MATCH(B1119,'FUNCIONÁRIOS'!$C$4:$C$501,0)),""))</f>
        <v/>
      </c>
      <c r="E1119" s="199" t="str">
        <f t="array" ref="E1119">IF(B1119="","",IFERROR(INDEX('FUNCIONÁRIOS'!$E$4:$E$501,MATCH(B1119,'FUNCIONÁRIOS'!$C$4:$C$501,0)),""))</f>
        <v/>
      </c>
      <c r="F1119" s="138">
        <v>46170.0</v>
      </c>
      <c r="G1119" s="115" t="str">
        <f t="shared" si="54"/>
        <v>→ Selecione a linha e use o menu ⏱️ Ponto</v>
      </c>
      <c r="H1119" s="174"/>
      <c r="I1119" s="117" t="str">
        <f t="shared" si="48"/>
        <v>→ Selecione a linha e use o menu ⏱️ Ponto</v>
      </c>
      <c r="J1119" s="180"/>
      <c r="K1119" s="179"/>
      <c r="L1119" s="119" t="str">
        <f t="shared" si="49"/>
        <v/>
      </c>
    </row>
    <row r="1120" ht="15.75" customHeight="1">
      <c r="A1120" s="13"/>
      <c r="B1120" s="173"/>
      <c r="C1120" s="199" t="str">
        <f t="array" ref="C1120">IF(B1120="","",IFERROR(INDEX('FUNCIONÁRIOS'!$B$4:$B$501,MATCH(B1120,'FUNCIONÁRIOS'!$C$4:$C$501,0)),""))</f>
        <v/>
      </c>
      <c r="D1120" s="199" t="str">
        <f t="array" ref="D1120">IF(B1120="","",IFERROR(INDEX('FUNCIONÁRIOS'!$D$4:$D$501,MATCH(B1120,'FUNCIONÁRIOS'!$C$4:$C$501,0)),""))</f>
        <v/>
      </c>
      <c r="E1120" s="199" t="str">
        <f t="array" ref="E1120">IF(B1120="","",IFERROR(INDEX('FUNCIONÁRIOS'!$E$4:$E$501,MATCH(B1120,'FUNCIONÁRIOS'!$C$4:$C$501,0)),""))</f>
        <v/>
      </c>
      <c r="F1120" s="138">
        <v>46170.0</v>
      </c>
      <c r="G1120" s="115" t="str">
        <f t="shared" si="54"/>
        <v>→ Selecione a linha e use o menu ⏱️ Ponto</v>
      </c>
      <c r="H1120" s="174"/>
      <c r="I1120" s="117" t="str">
        <f t="shared" si="48"/>
        <v>→ Selecione a linha e use o menu ⏱️ Ponto</v>
      </c>
      <c r="J1120" s="180"/>
      <c r="K1120" s="179"/>
      <c r="L1120" s="119" t="str">
        <f t="shared" si="49"/>
        <v/>
      </c>
    </row>
    <row r="1121" ht="15.75" customHeight="1">
      <c r="A1121" s="13"/>
      <c r="B1121" s="173"/>
      <c r="C1121" s="199" t="str">
        <f t="array" ref="C1121">IF(B1121="","",IFERROR(INDEX('FUNCIONÁRIOS'!$B$4:$B$501,MATCH(B1121,'FUNCIONÁRIOS'!$C$4:$C$501,0)),""))</f>
        <v/>
      </c>
      <c r="D1121" s="199" t="str">
        <f t="array" ref="D1121">IF(B1121="","",IFERROR(INDEX('FUNCIONÁRIOS'!$D$4:$D$501,MATCH(B1121,'FUNCIONÁRIOS'!$C$4:$C$501,0)),""))</f>
        <v/>
      </c>
      <c r="E1121" s="199" t="str">
        <f t="array" ref="E1121">IF(B1121="","",IFERROR(INDEX('FUNCIONÁRIOS'!$E$4:$E$501,MATCH(B1121,'FUNCIONÁRIOS'!$C$4:$C$501,0)),""))</f>
        <v/>
      </c>
      <c r="F1121" s="138">
        <v>46170.0</v>
      </c>
      <c r="G1121" s="115" t="str">
        <f t="shared" si="54"/>
        <v>→ Selecione a linha e use o menu ⏱️ Ponto</v>
      </c>
      <c r="H1121" s="174"/>
      <c r="I1121" s="117" t="str">
        <f t="shared" si="48"/>
        <v>→ Selecione a linha e use o menu ⏱️ Ponto</v>
      </c>
      <c r="J1121" s="180"/>
      <c r="K1121" s="179"/>
      <c r="L1121" s="119" t="str">
        <f t="shared" si="49"/>
        <v/>
      </c>
    </row>
    <row r="1122" ht="15.75" customHeight="1">
      <c r="A1122" s="13"/>
      <c r="B1122" s="173"/>
      <c r="C1122" s="199" t="str">
        <f t="array" ref="C1122">IF(B1122="","",IFERROR(INDEX('FUNCIONÁRIOS'!$B$4:$B$501,MATCH(B1122,'FUNCIONÁRIOS'!$C$4:$C$501,0)),""))</f>
        <v/>
      </c>
      <c r="D1122" s="199" t="str">
        <f t="array" ref="D1122">IF(B1122="","",IFERROR(INDEX('FUNCIONÁRIOS'!$D$4:$D$501,MATCH(B1122,'FUNCIONÁRIOS'!$C$4:$C$501,0)),""))</f>
        <v/>
      </c>
      <c r="E1122" s="199" t="str">
        <f t="array" ref="E1122">IF(B1122="","",IFERROR(INDEX('FUNCIONÁRIOS'!$E$4:$E$501,MATCH(B1122,'FUNCIONÁRIOS'!$C$4:$C$501,0)),""))</f>
        <v/>
      </c>
      <c r="F1122" s="138">
        <v>46170.0</v>
      </c>
      <c r="G1122" s="115" t="str">
        <f t="shared" si="54"/>
        <v>→ Selecione a linha e use o menu ⏱️ Ponto</v>
      </c>
      <c r="H1122" s="174"/>
      <c r="I1122" s="117" t="str">
        <f t="shared" si="48"/>
        <v>→ Selecione a linha e use o menu ⏱️ Ponto</v>
      </c>
      <c r="J1122" s="180"/>
      <c r="K1122" s="179"/>
      <c r="L1122" s="119" t="str">
        <f t="shared" si="49"/>
        <v/>
      </c>
    </row>
    <row r="1123" ht="15.75" customHeight="1">
      <c r="A1123" s="13"/>
      <c r="B1123" s="173"/>
      <c r="C1123" s="199" t="str">
        <f t="array" ref="C1123">IF(B1123="","",IFERROR(INDEX('FUNCIONÁRIOS'!$B$4:$B$501,MATCH(B1123,'FUNCIONÁRIOS'!$C$4:$C$501,0)),""))</f>
        <v/>
      </c>
      <c r="D1123" s="199" t="str">
        <f t="array" ref="D1123">IF(B1123="","",IFERROR(INDEX('FUNCIONÁRIOS'!$D$4:$D$501,MATCH(B1123,'FUNCIONÁRIOS'!$C$4:$C$501,0)),""))</f>
        <v/>
      </c>
      <c r="E1123" s="199" t="str">
        <f t="array" ref="E1123">IF(B1123="","",IFERROR(INDEX('FUNCIONÁRIOS'!$E$4:$E$501,MATCH(B1123,'FUNCIONÁRIOS'!$C$4:$C$501,0)),""))</f>
        <v/>
      </c>
      <c r="F1123" s="138">
        <v>46170.0</v>
      </c>
      <c r="G1123" s="115" t="str">
        <f t="shared" si="54"/>
        <v>→ Selecione a linha e use o menu ⏱️ Ponto</v>
      </c>
      <c r="H1123" s="174"/>
      <c r="I1123" s="117" t="str">
        <f t="shared" si="48"/>
        <v>→ Selecione a linha e use o menu ⏱️ Ponto</v>
      </c>
      <c r="J1123" s="180"/>
      <c r="K1123" s="179"/>
      <c r="L1123" s="119" t="str">
        <f t="shared" si="49"/>
        <v/>
      </c>
    </row>
    <row r="1124" ht="15.75" customHeight="1">
      <c r="A1124" s="13"/>
      <c r="B1124" s="173"/>
      <c r="C1124" s="199" t="str">
        <f t="array" ref="C1124">IF(B1124="","",IFERROR(INDEX('FUNCIONÁRIOS'!$B$4:$B$501,MATCH(B1124,'FUNCIONÁRIOS'!$C$4:$C$501,0)),""))</f>
        <v/>
      </c>
      <c r="D1124" s="199" t="str">
        <f t="array" ref="D1124">IF(B1124="","",IFERROR(INDEX('FUNCIONÁRIOS'!$D$4:$D$501,MATCH(B1124,'FUNCIONÁRIOS'!$C$4:$C$501,0)),""))</f>
        <v/>
      </c>
      <c r="E1124" s="199" t="str">
        <f t="array" ref="E1124">IF(B1124="","",IFERROR(INDEX('FUNCIONÁRIOS'!$E$4:$E$501,MATCH(B1124,'FUNCIONÁRIOS'!$C$4:$C$501,0)),""))</f>
        <v/>
      </c>
      <c r="F1124" s="138">
        <v>46170.0</v>
      </c>
      <c r="G1124" s="115" t="str">
        <f t="shared" si="54"/>
        <v>→ Selecione a linha e use o menu ⏱️ Ponto</v>
      </c>
      <c r="H1124" s="174"/>
      <c r="I1124" s="117" t="str">
        <f t="shared" si="48"/>
        <v>→ Selecione a linha e use o menu ⏱️ Ponto</v>
      </c>
      <c r="J1124" s="180"/>
      <c r="K1124" s="179"/>
      <c r="L1124" s="119" t="str">
        <f t="shared" si="49"/>
        <v/>
      </c>
    </row>
    <row r="1125" ht="15.75" customHeight="1">
      <c r="A1125" s="13"/>
      <c r="B1125" s="173"/>
      <c r="C1125" s="199" t="str">
        <f t="array" ref="C1125">IF(B1125="","",IFERROR(INDEX('FUNCIONÁRIOS'!$B$4:$B$501,MATCH(B1125,'FUNCIONÁRIOS'!$C$4:$C$501,0)),""))</f>
        <v/>
      </c>
      <c r="D1125" s="199" t="str">
        <f t="array" ref="D1125">IF(B1125="","",IFERROR(INDEX('FUNCIONÁRIOS'!$D$4:$D$501,MATCH(B1125,'FUNCIONÁRIOS'!$C$4:$C$501,0)),""))</f>
        <v/>
      </c>
      <c r="E1125" s="199" t="str">
        <f t="array" ref="E1125">IF(B1125="","",IFERROR(INDEX('FUNCIONÁRIOS'!$E$4:$E$501,MATCH(B1125,'FUNCIONÁRIOS'!$C$4:$C$501,0)),""))</f>
        <v/>
      </c>
      <c r="F1125" s="138">
        <v>46170.0</v>
      </c>
      <c r="G1125" s="115" t="str">
        <f t="shared" si="54"/>
        <v>→ Selecione a linha e use o menu ⏱️ Ponto</v>
      </c>
      <c r="H1125" s="174"/>
      <c r="I1125" s="117" t="str">
        <f t="shared" si="48"/>
        <v>→ Selecione a linha e use o menu ⏱️ Ponto</v>
      </c>
      <c r="J1125" s="180"/>
      <c r="K1125" s="179"/>
      <c r="L1125" s="119" t="str">
        <f t="shared" si="49"/>
        <v/>
      </c>
    </row>
    <row r="1126" ht="15.75" customHeight="1">
      <c r="A1126" s="13"/>
      <c r="B1126" s="173"/>
      <c r="C1126" s="199" t="str">
        <f t="array" ref="C1126">IF(B1126="","",IFERROR(INDEX('FUNCIONÁRIOS'!$B$4:$B$501,MATCH(B1126,'FUNCIONÁRIOS'!$C$4:$C$501,0)),""))</f>
        <v/>
      </c>
      <c r="D1126" s="199" t="str">
        <f t="array" ref="D1126">IF(B1126="","",IFERROR(INDEX('FUNCIONÁRIOS'!$D$4:$D$501,MATCH(B1126,'FUNCIONÁRIOS'!$C$4:$C$501,0)),""))</f>
        <v/>
      </c>
      <c r="E1126" s="199" t="str">
        <f t="array" ref="E1126">IF(B1126="","",IFERROR(INDEX('FUNCIONÁRIOS'!$E$4:$E$501,MATCH(B1126,'FUNCIONÁRIOS'!$C$4:$C$501,0)),""))</f>
        <v/>
      </c>
      <c r="F1126" s="138">
        <v>46170.0</v>
      </c>
      <c r="G1126" s="115" t="str">
        <f t="shared" si="54"/>
        <v>→ Selecione a linha e use o menu ⏱️ Ponto</v>
      </c>
      <c r="H1126" s="174"/>
      <c r="I1126" s="117" t="str">
        <f t="shared" si="48"/>
        <v>→ Selecione a linha e use o menu ⏱️ Ponto</v>
      </c>
      <c r="J1126" s="180"/>
      <c r="K1126" s="179"/>
      <c r="L1126" s="119" t="str">
        <f t="shared" si="49"/>
        <v/>
      </c>
    </row>
    <row r="1127" ht="15.75" customHeight="1">
      <c r="A1127" s="13"/>
      <c r="B1127" s="173"/>
      <c r="C1127" s="199" t="str">
        <f t="array" ref="C1127">IF(B1127="","",IFERROR(INDEX('FUNCIONÁRIOS'!$B$4:$B$501,MATCH(B1127,'FUNCIONÁRIOS'!$C$4:$C$501,0)),""))</f>
        <v/>
      </c>
      <c r="D1127" s="199" t="str">
        <f t="array" ref="D1127">IF(B1127="","",IFERROR(INDEX('FUNCIONÁRIOS'!$D$4:$D$501,MATCH(B1127,'FUNCIONÁRIOS'!$C$4:$C$501,0)),""))</f>
        <v/>
      </c>
      <c r="E1127" s="199" t="str">
        <f t="array" ref="E1127">IF(B1127="","",IFERROR(INDEX('FUNCIONÁRIOS'!$E$4:$E$501,MATCH(B1127,'FUNCIONÁRIOS'!$C$4:$C$501,0)),""))</f>
        <v/>
      </c>
      <c r="F1127" s="138">
        <v>46170.0</v>
      </c>
      <c r="G1127" s="115" t="str">
        <f t="shared" si="54"/>
        <v>→ Selecione a linha e use o menu ⏱️ Ponto</v>
      </c>
      <c r="H1127" s="174"/>
      <c r="I1127" s="117" t="str">
        <f t="shared" si="48"/>
        <v>→ Selecione a linha e use o menu ⏱️ Ponto</v>
      </c>
      <c r="J1127" s="180"/>
      <c r="K1127" s="179"/>
      <c r="L1127" s="119" t="str">
        <f t="shared" si="49"/>
        <v/>
      </c>
    </row>
    <row r="1128" ht="15.75" customHeight="1">
      <c r="A1128" s="13"/>
      <c r="B1128" s="173"/>
      <c r="C1128" s="199" t="str">
        <f t="array" ref="C1128">IF(B1128="","",IFERROR(INDEX('FUNCIONÁRIOS'!$B$4:$B$501,MATCH(B1128,'FUNCIONÁRIOS'!$C$4:$C$501,0)),""))</f>
        <v/>
      </c>
      <c r="D1128" s="199" t="str">
        <f t="array" ref="D1128">IF(B1128="","",IFERROR(INDEX('FUNCIONÁRIOS'!$D$4:$D$501,MATCH(B1128,'FUNCIONÁRIOS'!$C$4:$C$501,0)),""))</f>
        <v/>
      </c>
      <c r="E1128" s="199" t="str">
        <f t="array" ref="E1128">IF(B1128="","",IFERROR(INDEX('FUNCIONÁRIOS'!$E$4:$E$501,MATCH(B1128,'FUNCIONÁRIOS'!$C$4:$C$501,0)),""))</f>
        <v/>
      </c>
      <c r="F1128" s="138">
        <v>46170.0</v>
      </c>
      <c r="G1128" s="115" t="str">
        <f t="shared" si="54"/>
        <v>→ Selecione a linha e use o menu ⏱️ Ponto</v>
      </c>
      <c r="H1128" s="174"/>
      <c r="I1128" s="117" t="str">
        <f t="shared" si="48"/>
        <v>→ Selecione a linha e use o menu ⏱️ Ponto</v>
      </c>
      <c r="J1128" s="180"/>
      <c r="K1128" s="179"/>
      <c r="L1128" s="119" t="str">
        <f t="shared" si="49"/>
        <v/>
      </c>
    </row>
    <row r="1129" ht="15.75" customHeight="1">
      <c r="A1129" s="13"/>
      <c r="B1129" s="173"/>
      <c r="C1129" s="199" t="str">
        <f t="array" ref="C1129">IF(B1129="","",IFERROR(INDEX('FUNCIONÁRIOS'!$B$4:$B$501,MATCH(B1129,'FUNCIONÁRIOS'!$C$4:$C$501,0)),""))</f>
        <v/>
      </c>
      <c r="D1129" s="199" t="str">
        <f t="array" ref="D1129">IF(B1129="","",IFERROR(INDEX('FUNCIONÁRIOS'!$D$4:$D$501,MATCH(B1129,'FUNCIONÁRIOS'!$C$4:$C$501,0)),""))</f>
        <v/>
      </c>
      <c r="E1129" s="199" t="str">
        <f t="array" ref="E1129">IF(B1129="","",IFERROR(INDEX('FUNCIONÁRIOS'!$E$4:$E$501,MATCH(B1129,'FUNCIONÁRIOS'!$C$4:$C$501,0)),""))</f>
        <v/>
      </c>
      <c r="F1129" s="138">
        <v>46170.0</v>
      </c>
      <c r="G1129" s="115" t="str">
        <f t="shared" si="54"/>
        <v>→ Selecione a linha e use o menu ⏱️ Ponto</v>
      </c>
      <c r="H1129" s="174"/>
      <c r="I1129" s="117" t="str">
        <f t="shared" si="48"/>
        <v>→ Selecione a linha e use o menu ⏱️ Ponto</v>
      </c>
      <c r="J1129" s="180"/>
      <c r="K1129" s="179"/>
      <c r="L1129" s="119" t="str">
        <f t="shared" si="49"/>
        <v/>
      </c>
    </row>
    <row r="1130" ht="15.75" customHeight="1">
      <c r="A1130" s="13"/>
      <c r="B1130" s="173"/>
      <c r="C1130" s="199" t="str">
        <f t="array" ref="C1130">IF(B1130="","",IFERROR(INDEX('FUNCIONÁRIOS'!$B$4:$B$501,MATCH(B1130,'FUNCIONÁRIOS'!$C$4:$C$501,0)),""))</f>
        <v/>
      </c>
      <c r="D1130" s="199" t="str">
        <f t="array" ref="D1130">IF(B1130="","",IFERROR(INDEX('FUNCIONÁRIOS'!$D$4:$D$501,MATCH(B1130,'FUNCIONÁRIOS'!$C$4:$C$501,0)),""))</f>
        <v/>
      </c>
      <c r="E1130" s="199" t="str">
        <f t="array" ref="E1130">IF(B1130="","",IFERROR(INDEX('FUNCIONÁRIOS'!$E$4:$E$501,MATCH(B1130,'FUNCIONÁRIOS'!$C$4:$C$501,0)),""))</f>
        <v/>
      </c>
      <c r="F1130" s="138">
        <v>46170.0</v>
      </c>
      <c r="G1130" s="115" t="str">
        <f t="shared" si="54"/>
        <v>→ Selecione a linha e use o menu ⏱️ Ponto</v>
      </c>
      <c r="H1130" s="174"/>
      <c r="I1130" s="117" t="str">
        <f t="shared" si="48"/>
        <v>→ Selecione a linha e use o menu ⏱️ Ponto</v>
      </c>
      <c r="J1130" s="180"/>
      <c r="K1130" s="179"/>
      <c r="L1130" s="119" t="str">
        <f t="shared" si="49"/>
        <v/>
      </c>
    </row>
    <row r="1131" ht="15.75" customHeight="1">
      <c r="A1131" s="13"/>
      <c r="B1131" s="173"/>
      <c r="C1131" s="199" t="str">
        <f t="array" ref="C1131">IF(B1131="","",IFERROR(INDEX('FUNCIONÁRIOS'!$B$4:$B$501,MATCH(B1131,'FUNCIONÁRIOS'!$C$4:$C$501,0)),""))</f>
        <v/>
      </c>
      <c r="D1131" s="199" t="str">
        <f t="array" ref="D1131">IF(B1131="","",IFERROR(INDEX('FUNCIONÁRIOS'!$D$4:$D$501,MATCH(B1131,'FUNCIONÁRIOS'!$C$4:$C$501,0)),""))</f>
        <v/>
      </c>
      <c r="E1131" s="199" t="str">
        <f t="array" ref="E1131">IF(B1131="","",IFERROR(INDEX('FUNCIONÁRIOS'!$E$4:$E$501,MATCH(B1131,'FUNCIONÁRIOS'!$C$4:$C$501,0)),""))</f>
        <v/>
      </c>
      <c r="F1131" s="138">
        <v>46170.0</v>
      </c>
      <c r="G1131" s="115" t="str">
        <f t="shared" si="54"/>
        <v>→ Selecione a linha e use o menu ⏱️ Ponto</v>
      </c>
      <c r="H1131" s="174"/>
      <c r="I1131" s="117" t="str">
        <f t="shared" si="48"/>
        <v>→ Selecione a linha e use o menu ⏱️ Ponto</v>
      </c>
      <c r="J1131" s="180"/>
      <c r="K1131" s="179"/>
      <c r="L1131" s="119" t="str">
        <f t="shared" si="49"/>
        <v/>
      </c>
    </row>
    <row r="1132" ht="15.75" customHeight="1">
      <c r="A1132" s="13"/>
      <c r="B1132" s="173"/>
      <c r="C1132" s="199" t="str">
        <f t="array" ref="C1132">IF(B1132="","",IFERROR(INDEX('FUNCIONÁRIOS'!$B$4:$B$501,MATCH(B1132,'FUNCIONÁRIOS'!$C$4:$C$501,0)),""))</f>
        <v/>
      </c>
      <c r="D1132" s="199" t="str">
        <f t="array" ref="D1132">IF(B1132="","",IFERROR(INDEX('FUNCIONÁRIOS'!$D$4:$D$501,MATCH(B1132,'FUNCIONÁRIOS'!$C$4:$C$501,0)),""))</f>
        <v/>
      </c>
      <c r="E1132" s="199" t="str">
        <f t="array" ref="E1132">IF(B1132="","",IFERROR(INDEX('FUNCIONÁRIOS'!$E$4:$E$501,MATCH(B1132,'FUNCIONÁRIOS'!$C$4:$C$501,0)),""))</f>
        <v/>
      </c>
      <c r="F1132" s="138">
        <v>46170.0</v>
      </c>
      <c r="G1132" s="115" t="str">
        <f t="shared" si="54"/>
        <v>→ Selecione a linha e use o menu ⏱️ Ponto</v>
      </c>
      <c r="H1132" s="174"/>
      <c r="I1132" s="117" t="str">
        <f t="shared" si="48"/>
        <v>→ Selecione a linha e use o menu ⏱️ Ponto</v>
      </c>
      <c r="J1132" s="180"/>
      <c r="K1132" s="179"/>
      <c r="L1132" s="119" t="str">
        <f t="shared" si="49"/>
        <v/>
      </c>
    </row>
    <row r="1133" ht="15.75" customHeight="1">
      <c r="A1133" s="13"/>
      <c r="B1133" s="173"/>
      <c r="C1133" s="199" t="str">
        <f t="array" ref="C1133">IF(B1133="","",IFERROR(INDEX('FUNCIONÁRIOS'!$B$4:$B$501,MATCH(B1133,'FUNCIONÁRIOS'!$C$4:$C$501,0)),""))</f>
        <v/>
      </c>
      <c r="D1133" s="199" t="str">
        <f t="array" ref="D1133">IF(B1133="","",IFERROR(INDEX('FUNCIONÁRIOS'!$D$4:$D$501,MATCH(B1133,'FUNCIONÁRIOS'!$C$4:$C$501,0)),""))</f>
        <v/>
      </c>
      <c r="E1133" s="199" t="str">
        <f t="array" ref="E1133">IF(B1133="","",IFERROR(INDEX('FUNCIONÁRIOS'!$E$4:$E$501,MATCH(B1133,'FUNCIONÁRIOS'!$C$4:$C$501,0)),""))</f>
        <v/>
      </c>
      <c r="F1133" s="138">
        <v>46170.0</v>
      </c>
      <c r="G1133" s="115" t="str">
        <f t="shared" si="54"/>
        <v>→ Selecione a linha e use o menu ⏱️ Ponto</v>
      </c>
      <c r="H1133" s="174"/>
      <c r="I1133" s="117" t="str">
        <f t="shared" si="48"/>
        <v>→ Selecione a linha e use o menu ⏱️ Ponto</v>
      </c>
      <c r="J1133" s="180"/>
      <c r="K1133" s="179"/>
      <c r="L1133" s="119" t="str">
        <f t="shared" si="49"/>
        <v/>
      </c>
    </row>
    <row r="1134" ht="15.75" customHeight="1">
      <c r="A1134" s="13"/>
      <c r="B1134" s="173"/>
      <c r="C1134" s="199" t="str">
        <f t="array" ref="C1134">IF(B1134="","",IFERROR(INDEX('FUNCIONÁRIOS'!$B$4:$B$501,MATCH(B1134,'FUNCIONÁRIOS'!$C$4:$C$501,0)),""))</f>
        <v/>
      </c>
      <c r="D1134" s="199" t="str">
        <f t="array" ref="D1134">IF(B1134="","",IFERROR(INDEX('FUNCIONÁRIOS'!$D$4:$D$501,MATCH(B1134,'FUNCIONÁRIOS'!$C$4:$C$501,0)),""))</f>
        <v/>
      </c>
      <c r="E1134" s="199" t="str">
        <f t="array" ref="E1134">IF(B1134="","",IFERROR(INDEX('FUNCIONÁRIOS'!$E$4:$E$501,MATCH(B1134,'FUNCIONÁRIOS'!$C$4:$C$501,0)),""))</f>
        <v/>
      </c>
      <c r="F1134" s="138">
        <v>46170.0</v>
      </c>
      <c r="G1134" s="115" t="str">
        <f t="shared" si="54"/>
        <v>→ Selecione a linha e use o menu ⏱️ Ponto</v>
      </c>
      <c r="H1134" s="174"/>
      <c r="I1134" s="117" t="str">
        <f t="shared" si="48"/>
        <v>→ Selecione a linha e use o menu ⏱️ Ponto</v>
      </c>
      <c r="J1134" s="180"/>
      <c r="K1134" s="179"/>
      <c r="L1134" s="119" t="str">
        <f t="shared" si="49"/>
        <v/>
      </c>
    </row>
    <row r="1135" ht="15.75" customHeight="1">
      <c r="A1135" s="13"/>
      <c r="B1135" s="13"/>
      <c r="C1135" s="13"/>
      <c r="D1135" s="13"/>
      <c r="E1135" s="13"/>
      <c r="F1135" s="138">
        <v>46170.0</v>
      </c>
      <c r="G1135" s="13"/>
      <c r="H1135" s="107"/>
      <c r="I1135" s="13"/>
      <c r="J1135" s="107"/>
      <c r="K1135" s="107"/>
      <c r="L1135" s="13"/>
    </row>
    <row r="1136" ht="15.75" customHeight="1">
      <c r="A1136" s="13"/>
      <c r="B1136" s="13"/>
      <c r="C1136" s="13"/>
      <c r="D1136" s="13"/>
      <c r="E1136" s="13"/>
      <c r="F1136" s="138">
        <v>46170.0</v>
      </c>
      <c r="G1136" s="13"/>
      <c r="H1136" s="107"/>
      <c r="I1136" s="13"/>
      <c r="J1136" s="107"/>
      <c r="K1136" s="107"/>
      <c r="L1136" s="13"/>
    </row>
    <row r="1137" ht="15.75" customHeight="1">
      <c r="A1137" s="13"/>
      <c r="B1137" s="13"/>
      <c r="C1137" s="13"/>
      <c r="D1137" s="13"/>
      <c r="E1137" s="13"/>
      <c r="F1137" s="138">
        <v>46170.0</v>
      </c>
      <c r="G1137" s="13"/>
      <c r="H1137" s="107"/>
      <c r="I1137" s="13"/>
      <c r="J1137" s="107"/>
      <c r="K1137" s="107"/>
      <c r="L1137" s="13"/>
    </row>
    <row r="1138" ht="15.75" customHeight="1">
      <c r="A1138" s="13"/>
      <c r="B1138" s="13"/>
      <c r="C1138" s="13"/>
      <c r="D1138" s="13"/>
      <c r="E1138" s="13"/>
      <c r="F1138" s="138">
        <v>46170.0</v>
      </c>
      <c r="G1138" s="13"/>
      <c r="H1138" s="107"/>
      <c r="I1138" s="13"/>
      <c r="J1138" s="107"/>
      <c r="K1138" s="107"/>
      <c r="L1138" s="13"/>
    </row>
    <row r="1139" ht="15.75" customHeight="1">
      <c r="A1139" s="13"/>
      <c r="B1139" s="13"/>
      <c r="C1139" s="13"/>
      <c r="D1139" s="13"/>
      <c r="E1139" s="13"/>
      <c r="F1139" s="138">
        <v>46170.0</v>
      </c>
      <c r="G1139" s="13"/>
      <c r="H1139" s="107"/>
      <c r="I1139" s="13"/>
      <c r="J1139" s="107"/>
      <c r="K1139" s="107"/>
      <c r="L1139" s="13"/>
    </row>
    <row r="1140" ht="15.75" customHeight="1">
      <c r="A1140" s="13"/>
      <c r="B1140" s="13"/>
      <c r="C1140" s="13"/>
      <c r="D1140" s="13"/>
      <c r="E1140" s="13"/>
      <c r="F1140" s="138">
        <v>46170.0</v>
      </c>
      <c r="G1140" s="13"/>
      <c r="H1140" s="107"/>
      <c r="I1140" s="13"/>
      <c r="J1140" s="107"/>
      <c r="K1140" s="107"/>
      <c r="L1140" s="13"/>
    </row>
    <row r="1141" ht="15.75" customHeight="1">
      <c r="A1141" s="13"/>
      <c r="B1141" s="13"/>
      <c r="C1141" s="13"/>
      <c r="D1141" s="13"/>
      <c r="E1141" s="13"/>
      <c r="F1141" s="138">
        <v>46170.0</v>
      </c>
      <c r="G1141" s="13"/>
      <c r="H1141" s="107"/>
      <c r="I1141" s="13"/>
      <c r="J1141" s="107"/>
      <c r="K1141" s="107"/>
      <c r="L1141" s="13"/>
    </row>
    <row r="1142" ht="15.75" customHeight="1">
      <c r="A1142" s="13"/>
      <c r="B1142" s="13"/>
      <c r="C1142" s="13"/>
      <c r="D1142" s="13"/>
      <c r="E1142" s="13"/>
      <c r="F1142" s="138">
        <v>46170.0</v>
      </c>
      <c r="G1142" s="13"/>
      <c r="H1142" s="107"/>
      <c r="I1142" s="13"/>
      <c r="J1142" s="107"/>
      <c r="K1142" s="107"/>
      <c r="L1142" s="13"/>
    </row>
    <row r="1143" ht="15.75" customHeight="1">
      <c r="A1143" s="13"/>
      <c r="B1143" s="13"/>
      <c r="C1143" s="13"/>
      <c r="D1143" s="13"/>
      <c r="E1143" s="13"/>
      <c r="F1143" s="138">
        <v>46170.0</v>
      </c>
      <c r="G1143" s="13"/>
      <c r="H1143" s="107"/>
      <c r="I1143" s="13"/>
      <c r="J1143" s="107"/>
      <c r="K1143" s="107"/>
      <c r="L1143" s="13"/>
    </row>
    <row r="1144" ht="15.75" customHeight="1">
      <c r="A1144" s="13"/>
      <c r="B1144" s="13"/>
      <c r="C1144" s="13"/>
      <c r="D1144" s="13"/>
      <c r="E1144" s="13"/>
      <c r="F1144" s="138">
        <v>46170.0</v>
      </c>
      <c r="G1144" s="13"/>
      <c r="H1144" s="107"/>
      <c r="I1144" s="13"/>
      <c r="J1144" s="107"/>
      <c r="K1144" s="107"/>
      <c r="L1144" s="13"/>
    </row>
    <row r="1145" ht="15.75" customHeight="1">
      <c r="A1145" s="13"/>
      <c r="B1145" s="13"/>
      <c r="C1145" s="13"/>
      <c r="D1145" s="13"/>
      <c r="E1145" s="13"/>
      <c r="F1145" s="138">
        <v>46170.0</v>
      </c>
      <c r="G1145" s="13"/>
      <c r="H1145" s="107"/>
      <c r="I1145" s="13"/>
      <c r="J1145" s="107"/>
      <c r="K1145" s="107"/>
      <c r="L1145" s="13"/>
    </row>
    <row r="1146" ht="15.75" customHeight="1">
      <c r="A1146" s="13"/>
      <c r="B1146" s="13"/>
      <c r="C1146" s="13"/>
      <c r="D1146" s="13"/>
      <c r="E1146" s="13"/>
      <c r="F1146" s="227"/>
      <c r="G1146" s="13"/>
      <c r="H1146" s="107"/>
      <c r="I1146" s="13"/>
      <c r="J1146" s="107"/>
      <c r="K1146" s="107"/>
      <c r="L1146" s="13"/>
    </row>
    <row r="1147" ht="15.75" customHeight="1">
      <c r="A1147" s="13"/>
      <c r="B1147" s="13"/>
      <c r="C1147" s="13"/>
      <c r="D1147" s="13"/>
      <c r="E1147" s="13"/>
      <c r="F1147" s="227"/>
      <c r="G1147" s="13"/>
      <c r="H1147" s="107"/>
      <c r="I1147" s="13"/>
      <c r="J1147" s="107"/>
      <c r="K1147" s="107"/>
      <c r="L1147" s="13"/>
    </row>
    <row r="1148" ht="15.75" customHeight="1">
      <c r="A1148" s="13"/>
      <c r="B1148" s="13"/>
      <c r="C1148" s="13"/>
      <c r="D1148" s="13"/>
      <c r="E1148" s="13"/>
      <c r="F1148" s="227"/>
      <c r="G1148" s="13"/>
      <c r="H1148" s="107"/>
      <c r="I1148" s="13"/>
      <c r="J1148" s="107"/>
      <c r="K1148" s="107"/>
      <c r="L1148" s="13"/>
    </row>
    <row r="1149" ht="15.75" customHeight="1">
      <c r="A1149" s="13"/>
      <c r="B1149" s="13"/>
      <c r="C1149" s="13"/>
      <c r="D1149" s="13"/>
      <c r="E1149" s="13"/>
      <c r="F1149" s="227"/>
      <c r="G1149" s="13"/>
      <c r="H1149" s="107"/>
      <c r="I1149" s="13"/>
      <c r="J1149" s="107"/>
      <c r="K1149" s="107"/>
      <c r="L1149" s="13"/>
    </row>
    <row r="1150" ht="15.75" customHeight="1">
      <c r="A1150" s="13"/>
      <c r="B1150" s="13"/>
      <c r="C1150" s="13"/>
      <c r="D1150" s="13"/>
      <c r="E1150" s="13"/>
      <c r="F1150" s="227"/>
      <c r="G1150" s="13"/>
      <c r="H1150" s="107"/>
      <c r="I1150" s="13"/>
      <c r="J1150" s="107"/>
      <c r="K1150" s="107"/>
      <c r="L1150" s="13"/>
    </row>
    <row r="1151" ht="15.75" customHeight="1">
      <c r="A1151" s="13"/>
      <c r="B1151" s="13"/>
      <c r="C1151" s="13"/>
      <c r="D1151" s="13"/>
      <c r="E1151" s="13"/>
      <c r="F1151" s="227"/>
      <c r="G1151" s="13"/>
      <c r="H1151" s="107"/>
      <c r="I1151" s="13"/>
      <c r="J1151" s="107"/>
      <c r="K1151" s="107"/>
      <c r="L1151" s="13"/>
    </row>
    <row r="1152" ht="15.75" customHeight="1">
      <c r="A1152" s="13"/>
      <c r="B1152" s="13"/>
      <c r="C1152" s="13"/>
      <c r="D1152" s="13"/>
      <c r="E1152" s="13"/>
      <c r="F1152" s="227"/>
      <c r="G1152" s="13"/>
      <c r="H1152" s="107"/>
      <c r="I1152" s="13"/>
      <c r="J1152" s="107"/>
      <c r="K1152" s="107"/>
      <c r="L1152" s="13"/>
    </row>
    <row r="1153" ht="15.75" customHeight="1">
      <c r="A1153" s="13"/>
      <c r="B1153" s="13"/>
      <c r="C1153" s="13"/>
      <c r="D1153" s="13"/>
      <c r="E1153" s="13"/>
      <c r="F1153" s="227"/>
      <c r="G1153" s="13"/>
      <c r="H1153" s="107"/>
      <c r="I1153" s="13"/>
      <c r="J1153" s="107"/>
      <c r="K1153" s="107"/>
      <c r="L1153" s="13"/>
    </row>
    <row r="1154" ht="15.75" customHeight="1">
      <c r="A1154" s="13"/>
      <c r="B1154" s="13"/>
      <c r="C1154" s="13"/>
      <c r="D1154" s="13"/>
      <c r="E1154" s="13"/>
      <c r="F1154" s="227"/>
      <c r="G1154" s="13"/>
      <c r="H1154" s="107"/>
      <c r="I1154" s="13"/>
      <c r="J1154" s="107"/>
      <c r="K1154" s="107"/>
      <c r="L1154" s="13"/>
    </row>
    <row r="1155" ht="15.75" customHeight="1">
      <c r="A1155" s="13"/>
      <c r="B1155" s="13"/>
      <c r="C1155" s="13"/>
      <c r="D1155" s="13"/>
      <c r="E1155" s="13"/>
      <c r="F1155" s="227"/>
      <c r="G1155" s="13"/>
      <c r="H1155" s="107"/>
      <c r="I1155" s="13"/>
      <c r="J1155" s="107"/>
      <c r="K1155" s="107"/>
      <c r="L1155" s="13"/>
    </row>
    <row r="1156" ht="15.75" customHeight="1">
      <c r="A1156" s="13"/>
      <c r="B1156" s="13"/>
      <c r="C1156" s="13"/>
      <c r="D1156" s="13"/>
      <c r="E1156" s="13"/>
      <c r="F1156" s="227"/>
      <c r="G1156" s="13"/>
      <c r="H1156" s="107"/>
      <c r="I1156" s="13"/>
      <c r="J1156" s="107"/>
      <c r="K1156" s="107"/>
      <c r="L1156" s="13"/>
    </row>
    <row r="1157" ht="15.75" customHeight="1">
      <c r="A1157" s="13"/>
      <c r="B1157" s="13"/>
      <c r="C1157" s="13"/>
      <c r="D1157" s="13"/>
      <c r="E1157" s="13"/>
      <c r="F1157" s="227"/>
      <c r="G1157" s="13"/>
      <c r="H1157" s="107"/>
      <c r="I1157" s="13"/>
      <c r="J1157" s="107"/>
      <c r="K1157" s="107"/>
      <c r="L1157" s="13"/>
    </row>
    <row r="1158" ht="15.75" customHeight="1">
      <c r="A1158" s="13"/>
      <c r="B1158" s="13"/>
      <c r="C1158" s="13"/>
      <c r="D1158" s="13"/>
      <c r="E1158" s="13"/>
      <c r="F1158" s="227"/>
      <c r="G1158" s="13"/>
      <c r="H1158" s="107"/>
      <c r="I1158" s="13"/>
      <c r="J1158" s="107"/>
      <c r="K1158" s="107"/>
      <c r="L1158" s="13"/>
    </row>
    <row r="1159" ht="15.75" customHeight="1">
      <c r="A1159" s="13"/>
      <c r="B1159" s="13"/>
      <c r="C1159" s="13"/>
      <c r="D1159" s="13"/>
      <c r="E1159" s="13"/>
      <c r="F1159" s="227"/>
      <c r="G1159" s="13"/>
      <c r="H1159" s="107"/>
      <c r="I1159" s="13"/>
      <c r="J1159" s="107"/>
      <c r="K1159" s="107"/>
      <c r="L1159" s="13"/>
    </row>
    <row r="1160" ht="15.75" customHeight="1">
      <c r="A1160" s="13"/>
      <c r="B1160" s="13"/>
      <c r="C1160" s="13"/>
      <c r="D1160" s="13"/>
      <c r="E1160" s="13"/>
      <c r="F1160" s="227"/>
      <c r="G1160" s="13"/>
      <c r="H1160" s="107"/>
      <c r="I1160" s="13"/>
      <c r="J1160" s="107"/>
      <c r="K1160" s="107"/>
      <c r="L1160" s="13"/>
    </row>
    <row r="1161" ht="15.75" customHeight="1">
      <c r="A1161" s="13"/>
      <c r="B1161" s="13"/>
      <c r="C1161" s="13"/>
      <c r="D1161" s="13"/>
      <c r="E1161" s="13"/>
      <c r="F1161" s="227"/>
      <c r="G1161" s="13"/>
      <c r="H1161" s="107"/>
      <c r="I1161" s="13"/>
      <c r="J1161" s="107"/>
      <c r="K1161" s="107"/>
      <c r="L1161" s="13"/>
    </row>
    <row r="1162" ht="15.75" customHeight="1">
      <c r="A1162" s="13"/>
      <c r="B1162" s="13"/>
      <c r="C1162" s="13"/>
      <c r="D1162" s="13"/>
      <c r="E1162" s="13"/>
      <c r="F1162" s="227"/>
      <c r="G1162" s="13"/>
      <c r="H1162" s="107"/>
      <c r="I1162" s="13"/>
      <c r="J1162" s="107"/>
      <c r="K1162" s="107"/>
      <c r="L1162" s="13"/>
    </row>
    <row r="1163" ht="15.75" customHeight="1">
      <c r="A1163" s="13"/>
      <c r="B1163" s="13"/>
      <c r="C1163" s="13"/>
      <c r="D1163" s="13"/>
      <c r="E1163" s="13"/>
      <c r="F1163" s="227"/>
      <c r="G1163" s="13"/>
      <c r="H1163" s="107"/>
      <c r="I1163" s="13"/>
      <c r="J1163" s="107"/>
      <c r="K1163" s="107"/>
      <c r="L1163" s="13"/>
    </row>
    <row r="1164" ht="15.75" customHeight="1">
      <c r="A1164" s="13"/>
      <c r="B1164" s="13"/>
      <c r="C1164" s="13"/>
      <c r="D1164" s="13"/>
      <c r="E1164" s="13"/>
      <c r="F1164" s="227"/>
      <c r="G1164" s="13"/>
      <c r="H1164" s="107"/>
      <c r="I1164" s="13"/>
      <c r="J1164" s="107"/>
      <c r="K1164" s="107"/>
      <c r="L1164" s="13"/>
    </row>
    <row r="1165" ht="15.75" customHeight="1">
      <c r="A1165" s="13"/>
      <c r="B1165" s="13"/>
      <c r="C1165" s="13"/>
      <c r="D1165" s="13"/>
      <c r="E1165" s="13"/>
      <c r="F1165" s="227"/>
      <c r="G1165" s="13"/>
      <c r="H1165" s="107"/>
      <c r="I1165" s="13"/>
      <c r="J1165" s="107"/>
      <c r="K1165" s="107"/>
      <c r="L1165" s="13"/>
    </row>
    <row r="1166" ht="15.75" customHeight="1">
      <c r="A1166" s="13"/>
      <c r="B1166" s="13"/>
      <c r="C1166" s="13"/>
      <c r="D1166" s="13"/>
      <c r="E1166" s="13"/>
      <c r="F1166" s="227"/>
      <c r="G1166" s="13"/>
      <c r="H1166" s="107"/>
      <c r="I1166" s="13"/>
      <c r="J1166" s="107"/>
      <c r="K1166" s="107"/>
      <c r="L1166" s="13"/>
    </row>
    <row r="1167" ht="15.75" customHeight="1">
      <c r="A1167" s="13"/>
      <c r="B1167" s="13"/>
      <c r="C1167" s="13"/>
      <c r="D1167" s="13"/>
      <c r="E1167" s="13"/>
      <c r="F1167" s="227"/>
      <c r="G1167" s="13"/>
      <c r="H1167" s="107"/>
      <c r="I1167" s="13"/>
      <c r="J1167" s="107"/>
      <c r="K1167" s="107"/>
      <c r="L1167" s="13"/>
    </row>
    <row r="1168" ht="15.75" customHeight="1">
      <c r="A1168" s="13"/>
      <c r="B1168" s="13"/>
      <c r="C1168" s="13"/>
      <c r="D1168" s="13"/>
      <c r="E1168" s="13"/>
      <c r="F1168" s="227"/>
      <c r="G1168" s="13"/>
      <c r="H1168" s="107"/>
      <c r="I1168" s="13"/>
      <c r="J1168" s="107"/>
      <c r="K1168" s="107"/>
      <c r="L1168" s="13"/>
    </row>
    <row r="1169" ht="15.75" customHeight="1">
      <c r="A1169" s="13"/>
      <c r="B1169" s="13"/>
      <c r="C1169" s="13"/>
      <c r="D1169" s="13"/>
      <c r="E1169" s="13"/>
      <c r="F1169" s="227"/>
      <c r="G1169" s="13"/>
      <c r="H1169" s="107"/>
      <c r="I1169" s="13"/>
      <c r="J1169" s="107"/>
      <c r="K1169" s="107"/>
      <c r="L1169" s="13"/>
    </row>
    <row r="1170" ht="15.75" customHeight="1">
      <c r="A1170" s="13"/>
      <c r="B1170" s="13"/>
      <c r="C1170" s="13"/>
      <c r="D1170" s="13"/>
      <c r="E1170" s="13"/>
      <c r="F1170" s="227"/>
      <c r="G1170" s="13"/>
      <c r="H1170" s="107"/>
      <c r="I1170" s="13"/>
      <c r="J1170" s="107"/>
      <c r="K1170" s="107"/>
      <c r="L1170" s="13"/>
    </row>
    <row r="1171" ht="15.75" customHeight="1">
      <c r="A1171" s="13"/>
      <c r="B1171" s="13"/>
      <c r="C1171" s="13"/>
      <c r="D1171" s="13"/>
      <c r="E1171" s="13"/>
      <c r="F1171" s="227"/>
      <c r="G1171" s="13"/>
      <c r="H1171" s="107"/>
      <c r="I1171" s="13"/>
      <c r="J1171" s="107"/>
      <c r="K1171" s="107"/>
      <c r="L1171" s="13"/>
    </row>
    <row r="1172" ht="15.75" customHeight="1">
      <c r="A1172" s="13"/>
      <c r="B1172" s="13"/>
      <c r="C1172" s="13"/>
      <c r="D1172" s="13"/>
      <c r="E1172" s="13"/>
      <c r="F1172" s="227"/>
      <c r="G1172" s="13"/>
      <c r="H1172" s="107"/>
      <c r="I1172" s="13"/>
      <c r="J1172" s="107"/>
      <c r="K1172" s="107"/>
      <c r="L1172" s="13"/>
    </row>
    <row r="1173" ht="15.75" customHeight="1">
      <c r="A1173" s="13"/>
      <c r="B1173" s="13"/>
      <c r="C1173" s="13"/>
      <c r="D1173" s="13"/>
      <c r="E1173" s="13"/>
      <c r="F1173" s="227"/>
      <c r="G1173" s="13"/>
      <c r="H1173" s="107"/>
      <c r="I1173" s="13"/>
      <c r="J1173" s="107"/>
      <c r="K1173" s="107"/>
      <c r="L1173" s="13"/>
    </row>
    <row r="1174" ht="15.75" customHeight="1">
      <c r="A1174" s="13"/>
      <c r="B1174" s="13"/>
      <c r="C1174" s="13"/>
      <c r="D1174" s="13"/>
      <c r="E1174" s="13"/>
      <c r="F1174" s="227"/>
      <c r="G1174" s="13"/>
      <c r="H1174" s="107"/>
      <c r="I1174" s="13"/>
      <c r="J1174" s="107"/>
      <c r="K1174" s="107"/>
      <c r="L1174" s="13"/>
    </row>
    <row r="1175" ht="15.75" customHeight="1">
      <c r="A1175" s="13"/>
      <c r="B1175" s="13"/>
      <c r="C1175" s="13"/>
      <c r="D1175" s="13"/>
      <c r="E1175" s="13"/>
      <c r="F1175" s="227"/>
      <c r="G1175" s="13"/>
      <c r="H1175" s="107"/>
      <c r="I1175" s="13"/>
      <c r="J1175" s="107"/>
      <c r="K1175" s="107"/>
      <c r="L1175" s="13"/>
    </row>
    <row r="1176" ht="15.75" customHeight="1">
      <c r="A1176" s="13"/>
      <c r="B1176" s="13"/>
      <c r="C1176" s="13"/>
      <c r="D1176" s="13"/>
      <c r="E1176" s="13"/>
      <c r="F1176" s="227"/>
      <c r="G1176" s="13"/>
      <c r="H1176" s="107"/>
      <c r="I1176" s="13"/>
      <c r="J1176" s="107"/>
      <c r="K1176" s="107"/>
      <c r="L1176" s="13"/>
    </row>
    <row r="1177" ht="15.75" customHeight="1">
      <c r="A1177" s="13"/>
      <c r="B1177" s="13"/>
      <c r="C1177" s="13"/>
      <c r="D1177" s="13"/>
      <c r="E1177" s="13"/>
      <c r="F1177" s="227"/>
      <c r="G1177" s="13"/>
      <c r="H1177" s="107"/>
      <c r="I1177" s="13"/>
      <c r="J1177" s="107"/>
      <c r="K1177" s="107"/>
      <c r="L1177" s="13"/>
    </row>
    <row r="1178" ht="15.75" customHeight="1">
      <c r="A1178" s="13"/>
      <c r="B1178" s="13"/>
      <c r="C1178" s="13"/>
      <c r="D1178" s="13"/>
      <c r="E1178" s="13"/>
      <c r="F1178" s="227"/>
      <c r="G1178" s="13"/>
      <c r="H1178" s="107"/>
      <c r="I1178" s="13"/>
      <c r="J1178" s="107"/>
      <c r="K1178" s="107"/>
      <c r="L1178" s="13"/>
    </row>
    <row r="1179" ht="15.75" customHeight="1">
      <c r="A1179" s="13"/>
      <c r="B1179" s="13"/>
      <c r="C1179" s="13"/>
      <c r="D1179" s="13"/>
      <c r="E1179" s="13"/>
      <c r="F1179" s="227"/>
      <c r="G1179" s="13"/>
      <c r="H1179" s="107"/>
      <c r="I1179" s="13"/>
      <c r="J1179" s="107"/>
      <c r="K1179" s="107"/>
      <c r="L1179" s="13"/>
    </row>
    <row r="1180" ht="15.75" customHeight="1">
      <c r="A1180" s="13"/>
      <c r="B1180" s="13"/>
      <c r="C1180" s="13"/>
      <c r="D1180" s="13"/>
      <c r="E1180" s="13"/>
      <c r="F1180" s="227"/>
      <c r="G1180" s="13"/>
      <c r="H1180" s="107"/>
      <c r="I1180" s="13"/>
      <c r="J1180" s="107"/>
      <c r="K1180" s="107"/>
      <c r="L1180" s="13"/>
    </row>
    <row r="1181" ht="15.75" customHeight="1">
      <c r="A1181" s="13"/>
      <c r="B1181" s="13"/>
      <c r="C1181" s="13"/>
      <c r="D1181" s="13"/>
      <c r="E1181" s="13"/>
      <c r="F1181" s="227"/>
      <c r="G1181" s="13"/>
      <c r="H1181" s="107"/>
      <c r="I1181" s="13"/>
      <c r="J1181" s="107"/>
      <c r="K1181" s="107"/>
      <c r="L1181" s="13"/>
    </row>
    <row r="1182" ht="15.75" customHeight="1">
      <c r="A1182" s="13"/>
      <c r="B1182" s="13"/>
      <c r="C1182" s="13"/>
      <c r="D1182" s="13"/>
      <c r="E1182" s="13"/>
      <c r="F1182" s="227"/>
      <c r="G1182" s="13"/>
      <c r="H1182" s="107"/>
      <c r="I1182" s="13"/>
      <c r="J1182" s="107"/>
      <c r="K1182" s="107"/>
      <c r="L1182" s="13"/>
    </row>
    <row r="1183" ht="15.75" customHeight="1">
      <c r="A1183" s="13"/>
      <c r="B1183" s="13"/>
      <c r="C1183" s="13"/>
      <c r="D1183" s="13"/>
      <c r="E1183" s="13"/>
      <c r="F1183" s="227"/>
      <c r="G1183" s="13"/>
      <c r="H1183" s="107"/>
      <c r="I1183" s="13"/>
      <c r="J1183" s="107"/>
      <c r="K1183" s="107"/>
      <c r="L1183" s="13"/>
    </row>
    <row r="1184" ht="15.75" customHeight="1">
      <c r="A1184" s="13"/>
      <c r="B1184" s="13"/>
      <c r="C1184" s="13"/>
      <c r="D1184" s="13"/>
      <c r="E1184" s="13"/>
      <c r="F1184" s="227"/>
      <c r="G1184" s="13"/>
      <c r="H1184" s="107"/>
      <c r="I1184" s="13"/>
      <c r="J1184" s="107"/>
      <c r="K1184" s="107"/>
      <c r="L1184" s="13"/>
    </row>
    <row r="1185" ht="15.75" customHeight="1">
      <c r="A1185" s="13"/>
      <c r="B1185" s="13"/>
      <c r="C1185" s="13"/>
      <c r="D1185" s="13"/>
      <c r="E1185" s="13"/>
      <c r="F1185" s="227"/>
      <c r="G1185" s="13"/>
      <c r="H1185" s="107"/>
      <c r="I1185" s="13"/>
      <c r="J1185" s="107"/>
      <c r="K1185" s="107"/>
      <c r="L1185" s="13"/>
    </row>
    <row r="1186" ht="15.75" customHeight="1">
      <c r="A1186" s="13"/>
      <c r="B1186" s="13"/>
      <c r="C1186" s="13"/>
      <c r="D1186" s="13"/>
      <c r="E1186" s="13"/>
      <c r="F1186" s="227"/>
      <c r="G1186" s="13"/>
      <c r="H1186" s="107"/>
      <c r="I1186" s="13"/>
      <c r="J1186" s="107"/>
      <c r="K1186" s="107"/>
      <c r="L1186" s="13"/>
    </row>
    <row r="1187" ht="15.75" customHeight="1">
      <c r="A1187" s="13"/>
      <c r="B1187" s="13"/>
      <c r="C1187" s="13"/>
      <c r="D1187" s="13"/>
      <c r="E1187" s="13"/>
      <c r="F1187" s="227"/>
      <c r="G1187" s="13"/>
      <c r="H1187" s="107"/>
      <c r="I1187" s="13"/>
      <c r="J1187" s="107"/>
      <c r="K1187" s="107"/>
      <c r="L1187" s="13"/>
    </row>
    <row r="1188" ht="15.75" customHeight="1">
      <c r="A1188" s="13"/>
      <c r="B1188" s="13"/>
      <c r="C1188" s="13"/>
      <c r="D1188" s="13"/>
      <c r="E1188" s="13"/>
      <c r="F1188" s="227"/>
      <c r="G1188" s="13"/>
      <c r="H1188" s="107"/>
      <c r="I1188" s="13"/>
      <c r="J1188" s="107"/>
      <c r="K1188" s="107"/>
      <c r="L1188" s="13"/>
    </row>
    <row r="1189" ht="15.75" customHeight="1">
      <c r="A1189" s="13"/>
      <c r="B1189" s="13"/>
      <c r="C1189" s="13"/>
      <c r="D1189" s="13"/>
      <c r="E1189" s="13"/>
      <c r="F1189" s="227"/>
      <c r="G1189" s="13"/>
      <c r="H1189" s="107"/>
      <c r="I1189" s="13"/>
      <c r="J1189" s="107"/>
      <c r="K1189" s="107"/>
      <c r="L1189" s="13"/>
    </row>
    <row r="1190" ht="15.75" customHeight="1">
      <c r="A1190" s="13"/>
      <c r="B1190" s="13"/>
      <c r="C1190" s="13"/>
      <c r="D1190" s="13"/>
      <c r="E1190" s="13"/>
      <c r="F1190" s="227"/>
      <c r="G1190" s="13"/>
      <c r="H1190" s="107"/>
      <c r="I1190" s="13"/>
      <c r="J1190" s="107"/>
      <c r="K1190" s="107"/>
      <c r="L1190" s="13"/>
    </row>
    <row r="1191" ht="15.75" customHeight="1">
      <c r="A1191" s="13"/>
      <c r="B1191" s="13"/>
      <c r="C1191" s="13"/>
      <c r="D1191" s="13"/>
      <c r="E1191" s="13"/>
      <c r="F1191" s="227"/>
      <c r="G1191" s="13"/>
      <c r="H1191" s="107"/>
      <c r="I1191" s="13"/>
      <c r="J1191" s="107"/>
      <c r="K1191" s="107"/>
      <c r="L1191" s="13"/>
    </row>
    <row r="1192" ht="15.75" customHeight="1">
      <c r="A1192" s="13"/>
      <c r="B1192" s="13"/>
      <c r="C1192" s="13"/>
      <c r="D1192" s="13"/>
      <c r="E1192" s="13"/>
      <c r="F1192" s="227"/>
      <c r="G1192" s="13"/>
      <c r="H1192" s="107"/>
      <c r="I1192" s="13"/>
      <c r="J1192" s="107"/>
      <c r="K1192" s="107"/>
      <c r="L1192" s="13"/>
    </row>
    <row r="1193" ht="15.75" customHeight="1">
      <c r="A1193" s="13"/>
      <c r="B1193" s="13"/>
      <c r="C1193" s="13"/>
      <c r="D1193" s="13"/>
      <c r="E1193" s="13"/>
      <c r="F1193" s="227"/>
      <c r="G1193" s="13"/>
      <c r="H1193" s="107"/>
      <c r="I1193" s="13"/>
      <c r="J1193" s="107"/>
      <c r="K1193" s="107"/>
      <c r="L1193" s="13"/>
    </row>
    <row r="1194" ht="15.75" customHeight="1">
      <c r="A1194" s="13"/>
      <c r="B1194" s="13"/>
      <c r="C1194" s="13"/>
      <c r="D1194" s="13"/>
      <c r="E1194" s="13"/>
      <c r="F1194" s="227"/>
      <c r="G1194" s="13"/>
      <c r="H1194" s="107"/>
      <c r="I1194" s="13"/>
      <c r="J1194" s="107"/>
      <c r="K1194" s="107"/>
      <c r="L1194" s="13"/>
    </row>
    <row r="1195" ht="15.75" customHeight="1">
      <c r="A1195" s="13"/>
      <c r="B1195" s="13"/>
      <c r="C1195" s="13"/>
      <c r="D1195" s="13"/>
      <c r="E1195" s="13"/>
      <c r="F1195" s="227"/>
      <c r="G1195" s="13"/>
      <c r="H1195" s="107"/>
      <c r="I1195" s="13"/>
      <c r="J1195" s="107"/>
      <c r="K1195" s="107"/>
      <c r="L1195" s="13"/>
    </row>
    <row r="1196" ht="15.75" customHeight="1">
      <c r="A1196" s="13"/>
      <c r="B1196" s="13"/>
      <c r="C1196" s="13"/>
      <c r="D1196" s="13"/>
      <c r="E1196" s="13"/>
      <c r="F1196" s="227"/>
      <c r="G1196" s="13"/>
      <c r="H1196" s="107"/>
      <c r="I1196" s="13"/>
      <c r="J1196" s="107"/>
      <c r="K1196" s="107"/>
      <c r="L1196" s="13"/>
    </row>
    <row r="1197" ht="15.75" customHeight="1">
      <c r="A1197" s="13"/>
      <c r="B1197" s="13"/>
      <c r="C1197" s="13"/>
      <c r="D1197" s="13"/>
      <c r="E1197" s="13"/>
      <c r="F1197" s="227"/>
      <c r="G1197" s="13"/>
      <c r="H1197" s="107"/>
      <c r="I1197" s="13"/>
      <c r="J1197" s="107"/>
      <c r="K1197" s="107"/>
      <c r="L1197" s="13"/>
    </row>
    <row r="1198" ht="15.75" customHeight="1">
      <c r="A1198" s="13"/>
      <c r="B1198" s="13"/>
      <c r="C1198" s="13"/>
      <c r="D1198" s="13"/>
      <c r="E1198" s="13"/>
      <c r="F1198" s="227"/>
      <c r="G1198" s="13"/>
      <c r="H1198" s="107"/>
      <c r="I1198" s="13"/>
      <c r="J1198" s="107"/>
      <c r="K1198" s="107"/>
      <c r="L1198" s="13"/>
    </row>
    <row r="1199" ht="15.75" customHeight="1">
      <c r="A1199" s="13"/>
      <c r="B1199" s="13"/>
      <c r="C1199" s="13"/>
      <c r="D1199" s="13"/>
      <c r="E1199" s="13"/>
      <c r="F1199" s="227"/>
      <c r="G1199" s="13"/>
      <c r="H1199" s="107"/>
      <c r="I1199" s="13"/>
      <c r="J1199" s="107"/>
      <c r="K1199" s="107"/>
      <c r="L1199" s="13"/>
    </row>
    <row r="1200" ht="15.75" customHeight="1">
      <c r="A1200" s="13"/>
      <c r="B1200" s="13"/>
      <c r="C1200" s="13"/>
      <c r="D1200" s="13"/>
      <c r="E1200" s="13"/>
      <c r="F1200" s="227"/>
      <c r="G1200" s="13"/>
      <c r="H1200" s="107"/>
      <c r="I1200" s="13"/>
      <c r="J1200" s="107"/>
      <c r="K1200" s="107"/>
      <c r="L1200" s="13"/>
    </row>
    <row r="1201" ht="15.75" customHeight="1">
      <c r="A1201" s="13"/>
      <c r="B1201" s="13"/>
      <c r="C1201" s="13"/>
      <c r="D1201" s="13"/>
      <c r="E1201" s="13"/>
      <c r="F1201" s="227"/>
      <c r="G1201" s="13"/>
      <c r="H1201" s="107"/>
      <c r="I1201" s="13"/>
      <c r="J1201" s="107"/>
      <c r="K1201" s="107"/>
      <c r="L1201" s="13"/>
    </row>
    <row r="1202" ht="15.75" customHeight="1">
      <c r="A1202" s="13"/>
      <c r="B1202" s="13"/>
      <c r="C1202" s="13"/>
      <c r="D1202" s="13"/>
      <c r="E1202" s="13"/>
      <c r="F1202" s="227"/>
      <c r="G1202" s="13"/>
      <c r="H1202" s="107"/>
      <c r="I1202" s="13"/>
      <c r="J1202" s="107"/>
      <c r="K1202" s="107"/>
      <c r="L1202" s="13"/>
    </row>
    <row r="1203" ht="15.75" customHeight="1">
      <c r="A1203" s="13"/>
      <c r="B1203" s="13"/>
      <c r="C1203" s="13"/>
      <c r="D1203" s="13"/>
      <c r="E1203" s="13"/>
      <c r="F1203" s="227"/>
      <c r="G1203" s="13"/>
      <c r="H1203" s="107"/>
      <c r="I1203" s="13"/>
      <c r="J1203" s="107"/>
      <c r="K1203" s="107"/>
      <c r="L1203" s="13"/>
    </row>
    <row r="1204" ht="15.75" customHeight="1">
      <c r="A1204" s="13"/>
      <c r="B1204" s="13"/>
      <c r="C1204" s="13"/>
      <c r="D1204" s="13"/>
      <c r="E1204" s="13"/>
      <c r="F1204" s="227"/>
      <c r="G1204" s="13"/>
      <c r="H1204" s="107"/>
      <c r="I1204" s="13"/>
      <c r="J1204" s="107"/>
      <c r="K1204" s="107"/>
      <c r="L1204" s="13"/>
    </row>
    <row r="1205" ht="15.75" customHeight="1">
      <c r="A1205" s="13"/>
      <c r="B1205" s="13"/>
      <c r="C1205" s="13"/>
      <c r="D1205" s="13"/>
      <c r="E1205" s="13"/>
      <c r="F1205" s="227"/>
      <c r="G1205" s="13"/>
      <c r="H1205" s="107"/>
      <c r="I1205" s="13"/>
      <c r="J1205" s="107"/>
      <c r="K1205" s="107"/>
      <c r="L1205" s="13"/>
    </row>
    <row r="1206" ht="15.75" customHeight="1">
      <c r="A1206" s="13"/>
      <c r="B1206" s="13"/>
      <c r="C1206" s="13"/>
      <c r="D1206" s="13"/>
      <c r="E1206" s="13"/>
      <c r="F1206" s="227"/>
      <c r="G1206" s="13"/>
      <c r="H1206" s="107"/>
      <c r="I1206" s="13"/>
      <c r="J1206" s="107"/>
      <c r="K1206" s="107"/>
      <c r="L1206" s="13"/>
    </row>
    <row r="1207" ht="15.75" customHeight="1">
      <c r="A1207" s="13"/>
      <c r="B1207" s="13"/>
      <c r="C1207" s="13"/>
      <c r="D1207" s="13"/>
      <c r="E1207" s="13"/>
      <c r="F1207" s="227"/>
      <c r="G1207" s="13"/>
      <c r="H1207" s="107"/>
      <c r="I1207" s="13"/>
      <c r="J1207" s="107"/>
      <c r="K1207" s="107"/>
      <c r="L1207" s="13"/>
    </row>
    <row r="1208" ht="15.75" customHeight="1">
      <c r="A1208" s="13"/>
      <c r="B1208" s="13"/>
      <c r="C1208" s="13"/>
      <c r="D1208" s="13"/>
      <c r="E1208" s="13"/>
      <c r="F1208" s="227"/>
      <c r="G1208" s="13"/>
      <c r="H1208" s="107"/>
      <c r="I1208" s="13"/>
      <c r="J1208" s="107"/>
      <c r="K1208" s="107"/>
      <c r="L1208" s="13"/>
    </row>
    <row r="1209" ht="15.75" customHeight="1">
      <c r="A1209" s="13"/>
      <c r="B1209" s="13"/>
      <c r="C1209" s="13"/>
      <c r="D1209" s="13"/>
      <c r="E1209" s="13"/>
      <c r="F1209" s="227"/>
      <c r="G1209" s="13"/>
      <c r="H1209" s="107"/>
      <c r="I1209" s="13"/>
      <c r="J1209" s="107"/>
      <c r="K1209" s="107"/>
      <c r="L1209" s="13"/>
    </row>
    <row r="1210" ht="15.75" customHeight="1">
      <c r="A1210" s="13"/>
      <c r="B1210" s="13"/>
      <c r="C1210" s="13"/>
      <c r="D1210" s="13"/>
      <c r="E1210" s="13"/>
      <c r="F1210" s="227"/>
      <c r="G1210" s="13"/>
      <c r="H1210" s="107"/>
      <c r="I1210" s="13"/>
      <c r="J1210" s="107"/>
      <c r="K1210" s="107"/>
      <c r="L1210" s="13"/>
    </row>
    <row r="1211" ht="15.75" customHeight="1">
      <c r="A1211" s="13"/>
      <c r="B1211" s="13"/>
      <c r="C1211" s="13"/>
      <c r="D1211" s="13"/>
      <c r="E1211" s="13"/>
      <c r="F1211" s="227"/>
      <c r="G1211" s="13"/>
      <c r="H1211" s="107"/>
      <c r="I1211" s="13"/>
      <c r="J1211" s="107"/>
      <c r="K1211" s="107"/>
      <c r="L1211" s="13"/>
    </row>
    <row r="1212" ht="15.75" customHeight="1">
      <c r="A1212" s="13"/>
      <c r="B1212" s="13"/>
      <c r="C1212" s="13"/>
      <c r="D1212" s="13"/>
      <c r="E1212" s="13"/>
      <c r="F1212" s="227"/>
      <c r="G1212" s="13"/>
      <c r="H1212" s="107"/>
      <c r="I1212" s="13"/>
      <c r="J1212" s="107"/>
      <c r="K1212" s="107"/>
      <c r="L1212" s="13"/>
    </row>
    <row r="1213" ht="15.75" customHeight="1">
      <c r="A1213" s="13"/>
      <c r="B1213" s="13"/>
      <c r="C1213" s="13"/>
      <c r="D1213" s="13"/>
      <c r="E1213" s="13"/>
      <c r="F1213" s="227"/>
      <c r="G1213" s="13"/>
      <c r="H1213" s="107"/>
      <c r="I1213" s="13"/>
      <c r="J1213" s="107"/>
      <c r="K1213" s="107"/>
      <c r="L1213" s="13"/>
    </row>
    <row r="1214" ht="15.75" customHeight="1">
      <c r="A1214" s="13"/>
      <c r="B1214" s="13"/>
      <c r="C1214" s="13"/>
      <c r="D1214" s="13"/>
      <c r="E1214" s="13"/>
      <c r="F1214" s="227"/>
      <c r="G1214" s="13"/>
      <c r="H1214" s="107"/>
      <c r="I1214" s="13"/>
      <c r="J1214" s="107"/>
      <c r="K1214" s="107"/>
      <c r="L1214" s="13"/>
    </row>
    <row r="1215" ht="15.75" customHeight="1">
      <c r="A1215" s="13"/>
      <c r="B1215" s="13"/>
      <c r="C1215" s="13"/>
      <c r="D1215" s="13"/>
      <c r="E1215" s="13"/>
      <c r="F1215" s="227"/>
      <c r="G1215" s="13"/>
      <c r="H1215" s="107"/>
      <c r="I1215" s="13"/>
      <c r="J1215" s="107"/>
      <c r="K1215" s="107"/>
      <c r="L1215" s="13"/>
    </row>
    <row r="1216" ht="15.75" customHeight="1">
      <c r="A1216" s="13"/>
      <c r="B1216" s="13"/>
      <c r="C1216" s="13"/>
      <c r="D1216" s="13"/>
      <c r="E1216" s="13"/>
      <c r="F1216" s="227"/>
      <c r="G1216" s="13"/>
      <c r="H1216" s="107"/>
      <c r="I1216" s="13"/>
      <c r="J1216" s="107"/>
      <c r="K1216" s="107"/>
      <c r="L1216" s="13"/>
    </row>
    <row r="1217" ht="15.75" customHeight="1">
      <c r="A1217" s="13"/>
      <c r="B1217" s="13"/>
      <c r="C1217" s="13"/>
      <c r="D1217" s="13"/>
      <c r="E1217" s="13"/>
      <c r="F1217" s="227"/>
      <c r="G1217" s="13"/>
      <c r="H1217" s="107"/>
      <c r="I1217" s="13"/>
      <c r="J1217" s="107"/>
      <c r="K1217" s="107"/>
      <c r="L1217" s="13"/>
    </row>
    <row r="1218" ht="15.75" customHeight="1">
      <c r="A1218" s="13"/>
      <c r="B1218" s="13"/>
      <c r="C1218" s="13"/>
      <c r="D1218" s="13"/>
      <c r="E1218" s="13"/>
      <c r="F1218" s="227"/>
      <c r="G1218" s="13"/>
      <c r="H1218" s="107"/>
      <c r="I1218" s="13"/>
      <c r="J1218" s="107"/>
      <c r="K1218" s="107"/>
      <c r="L1218" s="13"/>
    </row>
    <row r="1219" ht="15.75" customHeight="1">
      <c r="A1219" s="13"/>
      <c r="B1219" s="13"/>
      <c r="C1219" s="13"/>
      <c r="D1219" s="13"/>
      <c r="E1219" s="13"/>
      <c r="F1219" s="227"/>
      <c r="G1219" s="13"/>
      <c r="H1219" s="107"/>
      <c r="I1219" s="13"/>
      <c r="J1219" s="107"/>
      <c r="K1219" s="107"/>
      <c r="L1219" s="13"/>
    </row>
    <row r="1220" ht="15.75" customHeight="1">
      <c r="A1220" s="13"/>
      <c r="B1220" s="13"/>
      <c r="C1220" s="13"/>
      <c r="D1220" s="13"/>
      <c r="E1220" s="13"/>
      <c r="F1220" s="227"/>
      <c r="G1220" s="13"/>
      <c r="H1220" s="107"/>
      <c r="I1220" s="13"/>
      <c r="J1220" s="107"/>
      <c r="K1220" s="107"/>
      <c r="L1220" s="13"/>
    </row>
    <row r="1221" ht="15.75" customHeight="1">
      <c r="A1221" s="13"/>
      <c r="B1221" s="13"/>
      <c r="C1221" s="13"/>
      <c r="D1221" s="13"/>
      <c r="E1221" s="13"/>
      <c r="F1221" s="227"/>
      <c r="G1221" s="13"/>
      <c r="H1221" s="107"/>
      <c r="I1221" s="13"/>
      <c r="J1221" s="107"/>
      <c r="K1221" s="107"/>
      <c r="L1221" s="13"/>
    </row>
    <row r="1222" ht="15.75" customHeight="1">
      <c r="A1222" s="13"/>
      <c r="B1222" s="13"/>
      <c r="C1222" s="13"/>
      <c r="D1222" s="13"/>
      <c r="E1222" s="13"/>
      <c r="F1222" s="227"/>
      <c r="G1222" s="13"/>
      <c r="H1222" s="107"/>
      <c r="I1222" s="13"/>
      <c r="J1222" s="107"/>
      <c r="K1222" s="107"/>
      <c r="L1222" s="13"/>
    </row>
    <row r="1223" ht="15.75" customHeight="1">
      <c r="A1223" s="13"/>
      <c r="B1223" s="13"/>
      <c r="C1223" s="13"/>
      <c r="D1223" s="13"/>
      <c r="E1223" s="13"/>
      <c r="F1223" s="227"/>
      <c r="G1223" s="13"/>
      <c r="H1223" s="107"/>
      <c r="I1223" s="13"/>
      <c r="J1223" s="107"/>
      <c r="K1223" s="107"/>
      <c r="L1223" s="13"/>
    </row>
    <row r="1224" ht="15.75" customHeight="1">
      <c r="A1224" s="13"/>
      <c r="B1224" s="13"/>
      <c r="C1224" s="13"/>
      <c r="D1224" s="13"/>
      <c r="E1224" s="13"/>
      <c r="F1224" s="227"/>
      <c r="G1224" s="13"/>
      <c r="H1224" s="107"/>
      <c r="I1224" s="13"/>
      <c r="J1224" s="107"/>
      <c r="K1224" s="107"/>
      <c r="L1224" s="13"/>
    </row>
    <row r="1225" ht="15.75" customHeight="1">
      <c r="A1225" s="13"/>
      <c r="B1225" s="13"/>
      <c r="C1225" s="13"/>
      <c r="D1225" s="13"/>
      <c r="E1225" s="13"/>
      <c r="F1225" s="227"/>
      <c r="G1225" s="13"/>
      <c r="H1225" s="107"/>
      <c r="I1225" s="13"/>
      <c r="J1225" s="107"/>
      <c r="K1225" s="107"/>
      <c r="L1225" s="13"/>
    </row>
    <row r="1226" ht="15.75" customHeight="1">
      <c r="A1226" s="13"/>
      <c r="B1226" s="13"/>
      <c r="C1226" s="13"/>
      <c r="D1226" s="13"/>
      <c r="E1226" s="13"/>
      <c r="F1226" s="227"/>
      <c r="G1226" s="13"/>
      <c r="H1226" s="107"/>
      <c r="I1226" s="13"/>
      <c r="J1226" s="107"/>
      <c r="K1226" s="107"/>
      <c r="L1226" s="13"/>
    </row>
    <row r="1227" ht="15.75" customHeight="1">
      <c r="A1227" s="13"/>
      <c r="B1227" s="13"/>
      <c r="C1227" s="13"/>
      <c r="D1227" s="13"/>
      <c r="E1227" s="13"/>
      <c r="F1227" s="227"/>
      <c r="G1227" s="13"/>
      <c r="H1227" s="107"/>
      <c r="I1227" s="13"/>
      <c r="J1227" s="107"/>
      <c r="K1227" s="107"/>
      <c r="L1227" s="13"/>
    </row>
    <row r="1228" ht="15.75" customHeight="1">
      <c r="A1228" s="13"/>
      <c r="B1228" s="13"/>
      <c r="C1228" s="13"/>
      <c r="D1228" s="13"/>
      <c r="E1228" s="13"/>
      <c r="F1228" s="227"/>
      <c r="G1228" s="13"/>
      <c r="H1228" s="107"/>
      <c r="I1228" s="13"/>
      <c r="J1228" s="107"/>
      <c r="K1228" s="107"/>
      <c r="L1228" s="13"/>
    </row>
    <row r="1229" ht="15.75" customHeight="1">
      <c r="A1229" s="13"/>
      <c r="B1229" s="13"/>
      <c r="C1229" s="13"/>
      <c r="D1229" s="13"/>
      <c r="E1229" s="13"/>
      <c r="F1229" s="227"/>
      <c r="G1229" s="13"/>
      <c r="H1229" s="107"/>
      <c r="I1229" s="13"/>
      <c r="J1229" s="107"/>
      <c r="K1229" s="107"/>
      <c r="L1229" s="13"/>
    </row>
    <row r="1230" ht="15.75" customHeight="1">
      <c r="A1230" s="13"/>
      <c r="B1230" s="13"/>
      <c r="C1230" s="13"/>
      <c r="D1230" s="13"/>
      <c r="E1230" s="13"/>
      <c r="F1230" s="227"/>
      <c r="G1230" s="13"/>
      <c r="H1230" s="107"/>
      <c r="I1230" s="13"/>
      <c r="J1230" s="107"/>
      <c r="K1230" s="107"/>
      <c r="L1230" s="13"/>
    </row>
    <row r="1231" ht="15.75" customHeight="1">
      <c r="A1231" s="13"/>
      <c r="B1231" s="13"/>
      <c r="C1231" s="13"/>
      <c r="D1231" s="13"/>
      <c r="E1231" s="13"/>
      <c r="F1231" s="227"/>
      <c r="G1231" s="13"/>
      <c r="H1231" s="107"/>
      <c r="I1231" s="13"/>
      <c r="J1231" s="107"/>
      <c r="K1231" s="107"/>
      <c r="L1231" s="13"/>
    </row>
    <row r="1232" ht="15.75" customHeight="1">
      <c r="A1232" s="13"/>
      <c r="B1232" s="13"/>
      <c r="C1232" s="13"/>
      <c r="D1232" s="13"/>
      <c r="E1232" s="13"/>
      <c r="F1232" s="227"/>
      <c r="G1232" s="13"/>
      <c r="H1232" s="107"/>
      <c r="I1232" s="13"/>
      <c r="J1232" s="107"/>
      <c r="K1232" s="107"/>
      <c r="L1232" s="13"/>
    </row>
    <row r="1233" ht="15.75" customHeight="1">
      <c r="A1233" s="13"/>
      <c r="B1233" s="13"/>
      <c r="C1233" s="13"/>
      <c r="D1233" s="13"/>
      <c r="E1233" s="13"/>
      <c r="F1233" s="227"/>
      <c r="G1233" s="13"/>
      <c r="H1233" s="107"/>
      <c r="I1233" s="13"/>
      <c r="J1233" s="107"/>
      <c r="K1233" s="107"/>
      <c r="L1233" s="13"/>
    </row>
    <row r="1234" ht="15.75" customHeight="1">
      <c r="A1234" s="13"/>
      <c r="B1234" s="13"/>
      <c r="C1234" s="13"/>
      <c r="D1234" s="13"/>
      <c r="E1234" s="13"/>
      <c r="F1234" s="227"/>
      <c r="G1234" s="13"/>
      <c r="H1234" s="107"/>
      <c r="I1234" s="13"/>
      <c r="J1234" s="107"/>
      <c r="K1234" s="107"/>
      <c r="L1234" s="13"/>
    </row>
    <row r="1235" ht="15.75" customHeight="1">
      <c r="A1235" s="13"/>
      <c r="B1235" s="13"/>
      <c r="C1235" s="13"/>
      <c r="D1235" s="13"/>
      <c r="E1235" s="13"/>
      <c r="F1235" s="227"/>
      <c r="G1235" s="13"/>
      <c r="H1235" s="107"/>
      <c r="I1235" s="13"/>
      <c r="J1235" s="107"/>
      <c r="K1235" s="107"/>
      <c r="L1235" s="13"/>
    </row>
    <row r="1236" ht="15.75" customHeight="1">
      <c r="A1236" s="13"/>
      <c r="B1236" s="13"/>
      <c r="C1236" s="13"/>
      <c r="D1236" s="13"/>
      <c r="E1236" s="13"/>
      <c r="F1236" s="227"/>
      <c r="G1236" s="13"/>
      <c r="H1236" s="107"/>
      <c r="I1236" s="13"/>
      <c r="J1236" s="107"/>
      <c r="K1236" s="107"/>
      <c r="L1236" s="13"/>
    </row>
    <row r="1237" ht="15.75" customHeight="1">
      <c r="A1237" s="13"/>
      <c r="B1237" s="13"/>
      <c r="C1237" s="13"/>
      <c r="D1237" s="13"/>
      <c r="E1237" s="13"/>
      <c r="F1237" s="227"/>
      <c r="G1237" s="13"/>
      <c r="H1237" s="107"/>
      <c r="I1237" s="13"/>
      <c r="J1237" s="107"/>
      <c r="K1237" s="107"/>
      <c r="L1237" s="13"/>
    </row>
    <row r="1238" ht="15.75" customHeight="1">
      <c r="A1238" s="13"/>
      <c r="B1238" s="13"/>
      <c r="C1238" s="13"/>
      <c r="D1238" s="13"/>
      <c r="E1238" s="13"/>
      <c r="F1238" s="227"/>
      <c r="G1238" s="13"/>
      <c r="H1238" s="107"/>
      <c r="I1238" s="13"/>
      <c r="J1238" s="107"/>
      <c r="K1238" s="107"/>
      <c r="L1238" s="13"/>
    </row>
    <row r="1239" ht="15.75" customHeight="1">
      <c r="A1239" s="13"/>
      <c r="B1239" s="13"/>
      <c r="C1239" s="13"/>
      <c r="D1239" s="13"/>
      <c r="E1239" s="13"/>
      <c r="F1239" s="227"/>
      <c r="G1239" s="13"/>
      <c r="H1239" s="107"/>
      <c r="I1239" s="13"/>
      <c r="J1239" s="107"/>
      <c r="K1239" s="107"/>
      <c r="L1239" s="13"/>
    </row>
    <row r="1240" ht="15.75" customHeight="1">
      <c r="A1240" s="13"/>
      <c r="B1240" s="13"/>
      <c r="C1240" s="13"/>
      <c r="D1240" s="13"/>
      <c r="E1240" s="13"/>
      <c r="F1240" s="227"/>
      <c r="G1240" s="13"/>
      <c r="H1240" s="107"/>
      <c r="I1240" s="13"/>
      <c r="J1240" s="107"/>
      <c r="K1240" s="107"/>
      <c r="L1240" s="13"/>
    </row>
    <row r="1241" ht="15.75" customHeight="1">
      <c r="A1241" s="13"/>
      <c r="B1241" s="13"/>
      <c r="C1241" s="13"/>
      <c r="D1241" s="13"/>
      <c r="E1241" s="13"/>
      <c r="F1241" s="227"/>
      <c r="G1241" s="13"/>
      <c r="H1241" s="107"/>
      <c r="I1241" s="13"/>
      <c r="J1241" s="107"/>
      <c r="K1241" s="107"/>
      <c r="L1241" s="13"/>
    </row>
    <row r="1242" ht="15.75" customHeight="1">
      <c r="A1242" s="13"/>
      <c r="B1242" s="13"/>
      <c r="C1242" s="13"/>
      <c r="D1242" s="13"/>
      <c r="E1242" s="13"/>
      <c r="F1242" s="227"/>
      <c r="G1242" s="13"/>
      <c r="H1242" s="107"/>
      <c r="I1242" s="13"/>
      <c r="J1242" s="107"/>
      <c r="K1242" s="107"/>
      <c r="L1242" s="13"/>
    </row>
    <row r="1243" ht="15.75" customHeight="1">
      <c r="A1243" s="13"/>
      <c r="B1243" s="13"/>
      <c r="C1243" s="13"/>
      <c r="D1243" s="13"/>
      <c r="E1243" s="13"/>
      <c r="F1243" s="227"/>
      <c r="G1243" s="13"/>
      <c r="H1243" s="107"/>
      <c r="I1243" s="13"/>
      <c r="J1243" s="107"/>
      <c r="K1243" s="107"/>
      <c r="L1243" s="13"/>
    </row>
    <row r="1244" ht="15.75" customHeight="1">
      <c r="A1244" s="13"/>
      <c r="B1244" s="13"/>
      <c r="C1244" s="13"/>
      <c r="D1244" s="13"/>
      <c r="E1244" s="13"/>
      <c r="F1244" s="227"/>
      <c r="G1244" s="13"/>
      <c r="H1244" s="107"/>
      <c r="I1244" s="13"/>
      <c r="J1244" s="107"/>
      <c r="K1244" s="107"/>
      <c r="L1244" s="13"/>
    </row>
    <row r="1245" ht="15.75" customHeight="1">
      <c r="A1245" s="13"/>
      <c r="B1245" s="13"/>
      <c r="C1245" s="13"/>
      <c r="D1245" s="13"/>
      <c r="E1245" s="13"/>
      <c r="F1245" s="227"/>
      <c r="G1245" s="13"/>
      <c r="H1245" s="107"/>
      <c r="I1245" s="13"/>
      <c r="J1245" s="107"/>
      <c r="K1245" s="107"/>
      <c r="L1245" s="13"/>
    </row>
    <row r="1246" ht="15.75" customHeight="1">
      <c r="A1246" s="13"/>
      <c r="B1246" s="13"/>
      <c r="C1246" s="13"/>
      <c r="D1246" s="13"/>
      <c r="E1246" s="13"/>
      <c r="F1246" s="227"/>
      <c r="G1246" s="13"/>
      <c r="H1246" s="107"/>
      <c r="I1246" s="13"/>
      <c r="J1246" s="107"/>
      <c r="K1246" s="107"/>
      <c r="L1246" s="13"/>
    </row>
    <row r="1247" ht="15.75" customHeight="1">
      <c r="A1247" s="13"/>
      <c r="B1247" s="13"/>
      <c r="C1247" s="13"/>
      <c r="D1247" s="13"/>
      <c r="E1247" s="13"/>
      <c r="F1247" s="227"/>
      <c r="G1247" s="13"/>
      <c r="H1247" s="107"/>
      <c r="I1247" s="13"/>
      <c r="J1247" s="107"/>
      <c r="K1247" s="107"/>
      <c r="L1247" s="13"/>
    </row>
    <row r="1248" ht="15.75" customHeight="1">
      <c r="A1248" s="13"/>
      <c r="B1248" s="13"/>
      <c r="C1248" s="13"/>
      <c r="D1248" s="13"/>
      <c r="E1248" s="13"/>
      <c r="F1248" s="227"/>
      <c r="G1248" s="13"/>
      <c r="H1248" s="107"/>
      <c r="I1248" s="13"/>
      <c r="J1248" s="107"/>
      <c r="K1248" s="107"/>
      <c r="L1248" s="13"/>
    </row>
    <row r="1249" ht="15.75" customHeight="1">
      <c r="A1249" s="13"/>
      <c r="B1249" s="13"/>
      <c r="C1249" s="13"/>
      <c r="D1249" s="13"/>
      <c r="E1249" s="13"/>
      <c r="F1249" s="227"/>
      <c r="G1249" s="13"/>
      <c r="H1249" s="107"/>
      <c r="I1249" s="13"/>
      <c r="J1249" s="107"/>
      <c r="K1249" s="107"/>
      <c r="L1249" s="13"/>
    </row>
    <row r="1250" ht="15.75" customHeight="1">
      <c r="A1250" s="13"/>
      <c r="B1250" s="13"/>
      <c r="C1250" s="13"/>
      <c r="D1250" s="13"/>
      <c r="E1250" s="13"/>
      <c r="F1250" s="227"/>
      <c r="G1250" s="13"/>
      <c r="H1250" s="107"/>
      <c r="I1250" s="13"/>
      <c r="J1250" s="107"/>
      <c r="K1250" s="107"/>
      <c r="L1250" s="13"/>
    </row>
    <row r="1251" ht="15.75" customHeight="1">
      <c r="A1251" s="13"/>
      <c r="B1251" s="13"/>
      <c r="C1251" s="13"/>
      <c r="D1251" s="13"/>
      <c r="E1251" s="13"/>
      <c r="F1251" s="227"/>
      <c r="G1251" s="13"/>
      <c r="H1251" s="107"/>
      <c r="I1251" s="13"/>
      <c r="J1251" s="107"/>
      <c r="K1251" s="107"/>
      <c r="L1251" s="13"/>
    </row>
    <row r="1252" ht="15.75" customHeight="1">
      <c r="A1252" s="13"/>
      <c r="B1252" s="13"/>
      <c r="C1252" s="13"/>
      <c r="D1252" s="13"/>
      <c r="E1252" s="13"/>
      <c r="F1252" s="227"/>
      <c r="G1252" s="13"/>
      <c r="H1252" s="107"/>
      <c r="I1252" s="13"/>
      <c r="J1252" s="107"/>
      <c r="K1252" s="107"/>
      <c r="L1252" s="13"/>
    </row>
    <row r="1253" ht="15.75" customHeight="1">
      <c r="A1253" s="13"/>
      <c r="B1253" s="13"/>
      <c r="C1253" s="13"/>
      <c r="D1253" s="13"/>
      <c r="E1253" s="13"/>
      <c r="F1253" s="227"/>
      <c r="G1253" s="13"/>
      <c r="H1253" s="107"/>
      <c r="I1253" s="13"/>
      <c r="J1253" s="107"/>
      <c r="K1253" s="107"/>
      <c r="L1253" s="13"/>
    </row>
    <row r="1254" ht="15.75" customHeight="1">
      <c r="A1254" s="13"/>
      <c r="B1254" s="13"/>
      <c r="C1254" s="13"/>
      <c r="D1254" s="13"/>
      <c r="E1254" s="13"/>
      <c r="F1254" s="227"/>
      <c r="G1254" s="13"/>
      <c r="H1254" s="107"/>
      <c r="I1254" s="13"/>
      <c r="J1254" s="107"/>
      <c r="K1254" s="107"/>
      <c r="L1254" s="13"/>
    </row>
    <row r="1255" ht="15.75" customHeight="1">
      <c r="A1255" s="13"/>
      <c r="B1255" s="13"/>
      <c r="C1255" s="13"/>
      <c r="D1255" s="13"/>
      <c r="E1255" s="13"/>
      <c r="F1255" s="227"/>
      <c r="G1255" s="13"/>
      <c r="H1255" s="107"/>
      <c r="I1255" s="13"/>
      <c r="J1255" s="107"/>
      <c r="K1255" s="107"/>
      <c r="L1255" s="13"/>
    </row>
    <row r="1256" ht="15.75" customHeight="1">
      <c r="A1256" s="13"/>
      <c r="B1256" s="13"/>
      <c r="C1256" s="13"/>
      <c r="D1256" s="13"/>
      <c r="E1256" s="13"/>
      <c r="F1256" s="227"/>
      <c r="G1256" s="13"/>
      <c r="H1256" s="107"/>
      <c r="I1256" s="13"/>
      <c r="J1256" s="107"/>
      <c r="K1256" s="107"/>
      <c r="L1256" s="13"/>
    </row>
    <row r="1257" ht="15.75" customHeight="1">
      <c r="A1257" s="13"/>
      <c r="B1257" s="13"/>
      <c r="C1257" s="13"/>
      <c r="D1257" s="13"/>
      <c r="E1257" s="13"/>
      <c r="F1257" s="227"/>
      <c r="G1257" s="13"/>
      <c r="H1257" s="107"/>
      <c r="I1257" s="13"/>
      <c r="J1257" s="107"/>
      <c r="K1257" s="107"/>
      <c r="L1257" s="13"/>
    </row>
    <row r="1258" ht="15.75" customHeight="1">
      <c r="A1258" s="13"/>
      <c r="B1258" s="13"/>
      <c r="C1258" s="13"/>
      <c r="D1258" s="13"/>
      <c r="E1258" s="13"/>
      <c r="F1258" s="227"/>
      <c r="G1258" s="13"/>
      <c r="H1258" s="107"/>
      <c r="I1258" s="13"/>
      <c r="J1258" s="107"/>
      <c r="K1258" s="107"/>
      <c r="L1258" s="13"/>
    </row>
    <row r="1259" ht="15.75" customHeight="1">
      <c r="A1259" s="13"/>
      <c r="B1259" s="13"/>
      <c r="C1259" s="13"/>
      <c r="D1259" s="13"/>
      <c r="E1259" s="13"/>
      <c r="F1259" s="227"/>
      <c r="G1259" s="13"/>
      <c r="H1259" s="107"/>
      <c r="I1259" s="13"/>
      <c r="J1259" s="107"/>
      <c r="K1259" s="107"/>
      <c r="L1259" s="13"/>
    </row>
    <row r="1260" ht="15.75" customHeight="1">
      <c r="A1260" s="13"/>
      <c r="B1260" s="13"/>
      <c r="C1260" s="13"/>
      <c r="D1260" s="13"/>
      <c r="E1260" s="13"/>
      <c r="F1260" s="227"/>
      <c r="G1260" s="13"/>
      <c r="H1260" s="107"/>
      <c r="I1260" s="13"/>
      <c r="J1260" s="107"/>
      <c r="K1260" s="107"/>
      <c r="L1260" s="13"/>
    </row>
    <row r="1261" ht="15.75" customHeight="1">
      <c r="A1261" s="13"/>
      <c r="B1261" s="13"/>
      <c r="C1261" s="13"/>
      <c r="D1261" s="13"/>
      <c r="E1261" s="13"/>
      <c r="F1261" s="227"/>
      <c r="G1261" s="13"/>
      <c r="H1261" s="107"/>
      <c r="I1261" s="13"/>
      <c r="J1261" s="107"/>
      <c r="K1261" s="107"/>
      <c r="L1261" s="13"/>
    </row>
    <row r="1262" ht="15.75" customHeight="1">
      <c r="A1262" s="13"/>
      <c r="B1262" s="13"/>
      <c r="C1262" s="13"/>
      <c r="D1262" s="13"/>
      <c r="E1262" s="13"/>
      <c r="F1262" s="227"/>
      <c r="G1262" s="13"/>
      <c r="H1262" s="107"/>
      <c r="I1262" s="13"/>
      <c r="J1262" s="107"/>
      <c r="K1262" s="107"/>
      <c r="L1262" s="13"/>
    </row>
    <row r="1263" ht="15.75" customHeight="1">
      <c r="A1263" s="13"/>
      <c r="B1263" s="13"/>
      <c r="C1263" s="13"/>
      <c r="D1263" s="13"/>
      <c r="E1263" s="13"/>
      <c r="F1263" s="227"/>
      <c r="G1263" s="13"/>
      <c r="H1263" s="107"/>
      <c r="I1263" s="13"/>
      <c r="J1263" s="107"/>
      <c r="K1263" s="107"/>
      <c r="L1263" s="13"/>
    </row>
    <row r="1264" ht="15.75" customHeight="1">
      <c r="A1264" s="13"/>
      <c r="B1264" s="13"/>
      <c r="C1264" s="13"/>
      <c r="D1264" s="13"/>
      <c r="E1264" s="13"/>
      <c r="F1264" s="227"/>
      <c r="G1264" s="13"/>
      <c r="H1264" s="107"/>
      <c r="I1264" s="13"/>
      <c r="J1264" s="107"/>
      <c r="K1264" s="107"/>
      <c r="L1264" s="13"/>
    </row>
    <row r="1265" ht="15.75" customHeight="1">
      <c r="A1265" s="13"/>
      <c r="B1265" s="13"/>
      <c r="C1265" s="13"/>
      <c r="D1265" s="13"/>
      <c r="E1265" s="13"/>
      <c r="F1265" s="227"/>
      <c r="G1265" s="13"/>
      <c r="H1265" s="107"/>
      <c r="I1265" s="13"/>
      <c r="J1265" s="107"/>
      <c r="K1265" s="107"/>
      <c r="L1265" s="13"/>
    </row>
    <row r="1266" ht="15.75" customHeight="1">
      <c r="A1266" s="13"/>
      <c r="B1266" s="13"/>
      <c r="C1266" s="13"/>
      <c r="D1266" s="13"/>
      <c r="E1266" s="13"/>
      <c r="F1266" s="227"/>
      <c r="G1266" s="13"/>
      <c r="H1266" s="107"/>
      <c r="I1266" s="13"/>
      <c r="J1266" s="107"/>
      <c r="K1266" s="107"/>
      <c r="L1266" s="13"/>
    </row>
    <row r="1267" ht="15.75" customHeight="1">
      <c r="A1267" s="13"/>
      <c r="B1267" s="13"/>
      <c r="C1267" s="13"/>
      <c r="D1267" s="13"/>
      <c r="E1267" s="13"/>
      <c r="F1267" s="227"/>
      <c r="G1267" s="13"/>
      <c r="H1267" s="107"/>
      <c r="I1267" s="13"/>
      <c r="J1267" s="107"/>
      <c r="K1267" s="107"/>
      <c r="L1267" s="13"/>
    </row>
    <row r="1268" ht="15.75" customHeight="1">
      <c r="A1268" s="13"/>
      <c r="B1268" s="13"/>
      <c r="C1268" s="13"/>
      <c r="D1268" s="13"/>
      <c r="E1268" s="13"/>
      <c r="F1268" s="227"/>
      <c r="G1268" s="13"/>
      <c r="H1268" s="107"/>
      <c r="I1268" s="13"/>
      <c r="J1268" s="107"/>
      <c r="K1268" s="107"/>
      <c r="L1268" s="13"/>
    </row>
    <row r="1269" ht="15.75" customHeight="1">
      <c r="A1269" s="13"/>
      <c r="B1269" s="13"/>
      <c r="C1269" s="13"/>
      <c r="D1269" s="13"/>
      <c r="E1269" s="13"/>
      <c r="F1269" s="227"/>
      <c r="G1269" s="13"/>
      <c r="H1269" s="107"/>
      <c r="I1269" s="13"/>
      <c r="J1269" s="107"/>
      <c r="K1269" s="107"/>
      <c r="L1269" s="13"/>
    </row>
    <row r="1270" ht="15.75" customHeight="1">
      <c r="A1270" s="13"/>
      <c r="B1270" s="13"/>
      <c r="C1270" s="13"/>
      <c r="D1270" s="13"/>
      <c r="E1270" s="13"/>
      <c r="F1270" s="227"/>
      <c r="G1270" s="13"/>
      <c r="H1270" s="107"/>
      <c r="I1270" s="13"/>
      <c r="J1270" s="107"/>
      <c r="K1270" s="107"/>
      <c r="L1270" s="13"/>
    </row>
    <row r="1271" ht="15.75" customHeight="1">
      <c r="A1271" s="13"/>
      <c r="B1271" s="13"/>
      <c r="C1271" s="13"/>
      <c r="D1271" s="13"/>
      <c r="E1271" s="13"/>
      <c r="F1271" s="227"/>
      <c r="G1271" s="13"/>
      <c r="H1271" s="107"/>
      <c r="I1271" s="13"/>
      <c r="J1271" s="107"/>
      <c r="K1271" s="107"/>
      <c r="L1271" s="13"/>
    </row>
    <row r="1272" ht="15.75" customHeight="1">
      <c r="A1272" s="13"/>
      <c r="B1272" s="13"/>
      <c r="C1272" s="13"/>
      <c r="D1272" s="13"/>
      <c r="E1272" s="13"/>
      <c r="F1272" s="227"/>
      <c r="G1272" s="13"/>
      <c r="H1272" s="107"/>
      <c r="I1272" s="13"/>
      <c r="J1272" s="107"/>
      <c r="K1272" s="107"/>
      <c r="L1272" s="13"/>
    </row>
    <row r="1273" ht="15.75" customHeight="1">
      <c r="A1273" s="13"/>
      <c r="B1273" s="13"/>
      <c r="C1273" s="13"/>
      <c r="D1273" s="13"/>
      <c r="E1273" s="13"/>
      <c r="F1273" s="227"/>
      <c r="G1273" s="13"/>
      <c r="H1273" s="107"/>
      <c r="I1273" s="13"/>
      <c r="J1273" s="107"/>
      <c r="K1273" s="107"/>
      <c r="L1273" s="13"/>
    </row>
    <row r="1274" ht="15.75" customHeight="1">
      <c r="A1274" s="13"/>
      <c r="B1274" s="13"/>
      <c r="C1274" s="13"/>
      <c r="D1274" s="13"/>
      <c r="E1274" s="13"/>
      <c r="F1274" s="227"/>
      <c r="G1274" s="13"/>
      <c r="H1274" s="107"/>
      <c r="I1274" s="13"/>
      <c r="J1274" s="107"/>
      <c r="K1274" s="107"/>
      <c r="L1274" s="13"/>
    </row>
    <row r="1275" ht="15.75" customHeight="1">
      <c r="A1275" s="13"/>
      <c r="B1275" s="13"/>
      <c r="C1275" s="13"/>
      <c r="D1275" s="13"/>
      <c r="E1275" s="13"/>
      <c r="F1275" s="227"/>
      <c r="G1275" s="13"/>
      <c r="H1275" s="107"/>
      <c r="I1275" s="13"/>
      <c r="J1275" s="107"/>
      <c r="K1275" s="107"/>
      <c r="L1275" s="13"/>
    </row>
    <row r="1276" ht="15.75" customHeight="1">
      <c r="A1276" s="13"/>
      <c r="B1276" s="13"/>
      <c r="C1276" s="13"/>
      <c r="D1276" s="13"/>
      <c r="E1276" s="13"/>
      <c r="F1276" s="227"/>
      <c r="G1276" s="13"/>
      <c r="H1276" s="107"/>
      <c r="I1276" s="13"/>
      <c r="J1276" s="107"/>
      <c r="K1276" s="107"/>
      <c r="L1276" s="13"/>
    </row>
    <row r="1277" ht="15.75" customHeight="1">
      <c r="A1277" s="13"/>
      <c r="B1277" s="13"/>
      <c r="C1277" s="13"/>
      <c r="D1277" s="13"/>
      <c r="E1277" s="13"/>
      <c r="F1277" s="227"/>
      <c r="G1277" s="13"/>
      <c r="H1277" s="107"/>
      <c r="I1277" s="13"/>
      <c r="J1277" s="107"/>
      <c r="K1277" s="107"/>
      <c r="L1277" s="13"/>
    </row>
    <row r="1278" ht="15.75" customHeight="1">
      <c r="A1278" s="13"/>
      <c r="B1278" s="13"/>
      <c r="C1278" s="13"/>
      <c r="D1278" s="13"/>
      <c r="E1278" s="13"/>
      <c r="F1278" s="227"/>
      <c r="G1278" s="13"/>
      <c r="H1278" s="107"/>
      <c r="I1278" s="13"/>
      <c r="J1278" s="107"/>
      <c r="K1278" s="107"/>
      <c r="L1278" s="13"/>
    </row>
    <row r="1279" ht="15.75" customHeight="1">
      <c r="A1279" s="13"/>
      <c r="B1279" s="13"/>
      <c r="C1279" s="13"/>
      <c r="D1279" s="13"/>
      <c r="E1279" s="13"/>
      <c r="F1279" s="227"/>
      <c r="G1279" s="13"/>
      <c r="H1279" s="107"/>
      <c r="I1279" s="13"/>
      <c r="J1279" s="107"/>
      <c r="K1279" s="107"/>
      <c r="L1279" s="13"/>
    </row>
    <row r="1280" ht="15.75" customHeight="1">
      <c r="A1280" s="13"/>
      <c r="B1280" s="13"/>
      <c r="C1280" s="13"/>
      <c r="D1280" s="13"/>
      <c r="E1280" s="13"/>
      <c r="F1280" s="227"/>
      <c r="G1280" s="13"/>
      <c r="H1280" s="107"/>
      <c r="I1280" s="13"/>
      <c r="J1280" s="107"/>
      <c r="K1280" s="107"/>
      <c r="L1280" s="13"/>
    </row>
    <row r="1281" ht="15.75" customHeight="1">
      <c r="A1281" s="13"/>
      <c r="B1281" s="13"/>
      <c r="C1281" s="13"/>
      <c r="D1281" s="13"/>
      <c r="E1281" s="13"/>
      <c r="F1281" s="227"/>
      <c r="G1281" s="13"/>
      <c r="H1281" s="107"/>
      <c r="I1281" s="13"/>
      <c r="J1281" s="107"/>
      <c r="K1281" s="107"/>
      <c r="L1281" s="13"/>
    </row>
    <row r="1282" ht="15.75" customHeight="1">
      <c r="A1282" s="13"/>
      <c r="B1282" s="13"/>
      <c r="C1282" s="13"/>
      <c r="D1282" s="13"/>
      <c r="E1282" s="13"/>
      <c r="F1282" s="227"/>
      <c r="G1282" s="13"/>
      <c r="H1282" s="107"/>
      <c r="I1282" s="13"/>
      <c r="J1282" s="107"/>
      <c r="K1282" s="107"/>
      <c r="L1282" s="13"/>
    </row>
    <row r="1283" ht="15.75" customHeight="1">
      <c r="A1283" s="13"/>
      <c r="B1283" s="13"/>
      <c r="C1283" s="13"/>
      <c r="D1283" s="13"/>
      <c r="E1283" s="13"/>
      <c r="F1283" s="227"/>
      <c r="G1283" s="13"/>
      <c r="H1283" s="107"/>
      <c r="I1283" s="13"/>
      <c r="J1283" s="107"/>
      <c r="K1283" s="107"/>
      <c r="L1283" s="13"/>
    </row>
    <row r="1284" ht="15.75" customHeight="1">
      <c r="A1284" s="13"/>
      <c r="B1284" s="13"/>
      <c r="C1284" s="13"/>
      <c r="D1284" s="13"/>
      <c r="E1284" s="13"/>
      <c r="F1284" s="227"/>
      <c r="G1284" s="13"/>
      <c r="H1284" s="107"/>
      <c r="I1284" s="13"/>
      <c r="J1284" s="107"/>
      <c r="K1284" s="107"/>
      <c r="L1284" s="13"/>
    </row>
    <row r="1285" ht="15.75" customHeight="1">
      <c r="A1285" s="13"/>
      <c r="B1285" s="13"/>
      <c r="C1285" s="13"/>
      <c r="D1285" s="13"/>
      <c r="E1285" s="13"/>
      <c r="F1285" s="227"/>
      <c r="G1285" s="13"/>
      <c r="H1285" s="107"/>
      <c r="I1285" s="13"/>
      <c r="J1285" s="107"/>
      <c r="K1285" s="107"/>
      <c r="L1285" s="13"/>
    </row>
    <row r="1286" ht="15.75" customHeight="1">
      <c r="A1286" s="13"/>
      <c r="B1286" s="13"/>
      <c r="C1286" s="13"/>
      <c r="D1286" s="13"/>
      <c r="E1286" s="13"/>
      <c r="F1286" s="227"/>
      <c r="G1286" s="13"/>
      <c r="H1286" s="107"/>
      <c r="I1286" s="13"/>
      <c r="J1286" s="107"/>
      <c r="K1286" s="107"/>
      <c r="L1286" s="13"/>
    </row>
    <row r="1287" ht="15.75" customHeight="1">
      <c r="A1287" s="13"/>
      <c r="B1287" s="13"/>
      <c r="C1287" s="13"/>
      <c r="D1287" s="13"/>
      <c r="E1287" s="13"/>
      <c r="F1287" s="227"/>
      <c r="G1287" s="13"/>
      <c r="H1287" s="107"/>
      <c r="I1287" s="13"/>
      <c r="J1287" s="107"/>
      <c r="K1287" s="107"/>
      <c r="L1287" s="13"/>
    </row>
    <row r="1288" ht="15.75" customHeight="1">
      <c r="A1288" s="13"/>
      <c r="B1288" s="13"/>
      <c r="C1288" s="13"/>
      <c r="D1288" s="13"/>
      <c r="E1288" s="13"/>
      <c r="F1288" s="227"/>
      <c r="G1288" s="13"/>
      <c r="H1288" s="107"/>
      <c r="I1288" s="13"/>
      <c r="J1288" s="107"/>
      <c r="K1288" s="107"/>
      <c r="L1288" s="13"/>
    </row>
    <row r="1289" ht="15.75" customHeight="1">
      <c r="A1289" s="13"/>
      <c r="B1289" s="13"/>
      <c r="C1289" s="13"/>
      <c r="D1289" s="13"/>
      <c r="E1289" s="13"/>
      <c r="F1289" s="227"/>
      <c r="G1289" s="13"/>
      <c r="H1289" s="107"/>
      <c r="I1289" s="13"/>
      <c r="J1289" s="107"/>
      <c r="K1289" s="107"/>
      <c r="L1289" s="13"/>
    </row>
    <row r="1290" ht="15.75" customHeight="1">
      <c r="A1290" s="13"/>
      <c r="B1290" s="13"/>
      <c r="C1290" s="13"/>
      <c r="D1290" s="13"/>
      <c r="E1290" s="13"/>
      <c r="F1290" s="227"/>
      <c r="G1290" s="13"/>
      <c r="H1290" s="107"/>
      <c r="I1290" s="13"/>
      <c r="J1290" s="107"/>
      <c r="K1290" s="107"/>
      <c r="L1290" s="13"/>
    </row>
    <row r="1291" ht="15.75" customHeight="1">
      <c r="A1291" s="13"/>
      <c r="B1291" s="13"/>
      <c r="C1291" s="13"/>
      <c r="D1291" s="13"/>
      <c r="E1291" s="13"/>
      <c r="F1291" s="227"/>
      <c r="G1291" s="13"/>
      <c r="H1291" s="107"/>
      <c r="I1291" s="13"/>
      <c r="J1291" s="107"/>
      <c r="K1291" s="107"/>
      <c r="L1291" s="13"/>
    </row>
    <row r="1292" ht="15.75" customHeight="1">
      <c r="A1292" s="13"/>
      <c r="B1292" s="13"/>
      <c r="C1292" s="13"/>
      <c r="D1292" s="13"/>
      <c r="E1292" s="13"/>
      <c r="F1292" s="227"/>
      <c r="G1292" s="13"/>
      <c r="H1292" s="107"/>
      <c r="I1292" s="13"/>
      <c r="J1292" s="107"/>
      <c r="K1292" s="107"/>
      <c r="L1292" s="13"/>
    </row>
    <row r="1293" ht="15.75" customHeight="1">
      <c r="A1293" s="13"/>
      <c r="B1293" s="13"/>
      <c r="C1293" s="13"/>
      <c r="D1293" s="13"/>
      <c r="E1293" s="13"/>
      <c r="F1293" s="227"/>
      <c r="G1293" s="13"/>
      <c r="H1293" s="107"/>
      <c r="I1293" s="13"/>
      <c r="J1293" s="107"/>
      <c r="K1293" s="107"/>
      <c r="L1293" s="13"/>
    </row>
    <row r="1294" ht="15.75" customHeight="1">
      <c r="A1294" s="13"/>
      <c r="B1294" s="13"/>
      <c r="C1294" s="13"/>
      <c r="D1294" s="13"/>
      <c r="E1294" s="13"/>
      <c r="F1294" s="227"/>
      <c r="G1294" s="13"/>
      <c r="H1294" s="107"/>
      <c r="I1294" s="13"/>
      <c r="J1294" s="107"/>
      <c r="K1294" s="107"/>
      <c r="L1294" s="13"/>
    </row>
    <row r="1295" ht="15.75" customHeight="1">
      <c r="A1295" s="13"/>
      <c r="B1295" s="13"/>
      <c r="C1295" s="13"/>
      <c r="D1295" s="13"/>
      <c r="E1295" s="13"/>
      <c r="F1295" s="227"/>
      <c r="G1295" s="13"/>
      <c r="H1295" s="107"/>
      <c r="I1295" s="13"/>
      <c r="J1295" s="107"/>
      <c r="K1295" s="107"/>
      <c r="L1295" s="13"/>
    </row>
    <row r="1296" ht="15.75" customHeight="1">
      <c r="A1296" s="13"/>
      <c r="B1296" s="13"/>
      <c r="C1296" s="13"/>
      <c r="D1296" s="13"/>
      <c r="E1296" s="13"/>
      <c r="F1296" s="227"/>
      <c r="G1296" s="13"/>
      <c r="H1296" s="107"/>
      <c r="I1296" s="13"/>
      <c r="J1296" s="107"/>
      <c r="K1296" s="107"/>
      <c r="L1296" s="13"/>
    </row>
    <row r="1297" ht="15.75" customHeight="1">
      <c r="A1297" s="13"/>
      <c r="B1297" s="13"/>
      <c r="C1297" s="13"/>
      <c r="D1297" s="13"/>
      <c r="E1297" s="13"/>
      <c r="F1297" s="227"/>
      <c r="G1297" s="13"/>
      <c r="H1297" s="107"/>
      <c r="I1297" s="13"/>
      <c r="J1297" s="107"/>
      <c r="K1297" s="107"/>
      <c r="L1297" s="13"/>
    </row>
    <row r="1298" ht="15.75" customHeight="1">
      <c r="A1298" s="13"/>
      <c r="B1298" s="13"/>
      <c r="C1298" s="13"/>
      <c r="D1298" s="13"/>
      <c r="E1298" s="13"/>
      <c r="F1298" s="227"/>
      <c r="G1298" s="13"/>
      <c r="H1298" s="107"/>
      <c r="I1298" s="13"/>
      <c r="J1298" s="107"/>
      <c r="K1298" s="107"/>
      <c r="L1298" s="13"/>
    </row>
    <row r="1299" ht="15.75" customHeight="1">
      <c r="A1299" s="13"/>
      <c r="B1299" s="13"/>
      <c r="C1299" s="13"/>
      <c r="D1299" s="13"/>
      <c r="E1299" s="13"/>
      <c r="F1299" s="227"/>
      <c r="G1299" s="13"/>
      <c r="H1299" s="107"/>
      <c r="I1299" s="13"/>
      <c r="J1299" s="107"/>
      <c r="K1299" s="107"/>
      <c r="L1299" s="13"/>
    </row>
    <row r="1300" ht="15.75" customHeight="1">
      <c r="A1300" s="13"/>
      <c r="B1300" s="13"/>
      <c r="C1300" s="13"/>
      <c r="D1300" s="13"/>
      <c r="E1300" s="13"/>
      <c r="F1300" s="227"/>
      <c r="G1300" s="13"/>
      <c r="H1300" s="107"/>
      <c r="I1300" s="13"/>
      <c r="J1300" s="107"/>
      <c r="K1300" s="107"/>
      <c r="L1300" s="13"/>
    </row>
    <row r="1301" ht="15.75" customHeight="1">
      <c r="A1301" s="13"/>
      <c r="B1301" s="13"/>
      <c r="C1301" s="13"/>
      <c r="D1301" s="13"/>
      <c r="E1301" s="13"/>
      <c r="F1301" s="227"/>
      <c r="G1301" s="13"/>
      <c r="H1301" s="107"/>
      <c r="I1301" s="13"/>
      <c r="J1301" s="107"/>
      <c r="K1301" s="107"/>
      <c r="L1301" s="13"/>
    </row>
    <row r="1302" ht="15.75" customHeight="1">
      <c r="A1302" s="13"/>
      <c r="B1302" s="13"/>
      <c r="C1302" s="13"/>
      <c r="D1302" s="13"/>
      <c r="E1302" s="13"/>
      <c r="F1302" s="227"/>
      <c r="G1302" s="13"/>
      <c r="H1302" s="107"/>
      <c r="I1302" s="13"/>
      <c r="J1302" s="107"/>
      <c r="K1302" s="107"/>
      <c r="L1302" s="13"/>
    </row>
    <row r="1303" ht="15.75" customHeight="1">
      <c r="A1303" s="13"/>
      <c r="B1303" s="13"/>
      <c r="C1303" s="13"/>
      <c r="D1303" s="13"/>
      <c r="E1303" s="13"/>
      <c r="F1303" s="227"/>
      <c r="G1303" s="13"/>
      <c r="H1303" s="107"/>
      <c r="I1303" s="13"/>
      <c r="J1303" s="107"/>
      <c r="K1303" s="107"/>
      <c r="L1303" s="13"/>
    </row>
    <row r="1304" ht="15.75" customHeight="1">
      <c r="A1304" s="13"/>
      <c r="B1304" s="13"/>
      <c r="C1304" s="13"/>
      <c r="D1304" s="13"/>
      <c r="E1304" s="13"/>
      <c r="F1304" s="227"/>
      <c r="G1304" s="13"/>
      <c r="H1304" s="107"/>
      <c r="I1304" s="13"/>
      <c r="J1304" s="107"/>
      <c r="K1304" s="107"/>
      <c r="L1304" s="13"/>
    </row>
    <row r="1305" ht="15.75" customHeight="1">
      <c r="A1305" s="13"/>
      <c r="B1305" s="13"/>
      <c r="C1305" s="13"/>
      <c r="D1305" s="13"/>
      <c r="E1305" s="13"/>
      <c r="F1305" s="227"/>
      <c r="G1305" s="13"/>
      <c r="H1305" s="107"/>
      <c r="I1305" s="13"/>
      <c r="J1305" s="107"/>
      <c r="K1305" s="107"/>
      <c r="L1305" s="13"/>
    </row>
    <row r="1306" ht="15.75" customHeight="1">
      <c r="A1306" s="13"/>
      <c r="B1306" s="13"/>
      <c r="C1306" s="13"/>
      <c r="D1306" s="13"/>
      <c r="E1306" s="13"/>
      <c r="F1306" s="227"/>
      <c r="G1306" s="13"/>
      <c r="H1306" s="107"/>
      <c r="I1306" s="13"/>
      <c r="J1306" s="107"/>
      <c r="K1306" s="107"/>
      <c r="L1306" s="13"/>
    </row>
    <row r="1307" ht="15.75" customHeight="1">
      <c r="A1307" s="13"/>
      <c r="B1307" s="13"/>
      <c r="C1307" s="13"/>
      <c r="D1307" s="13"/>
      <c r="E1307" s="13"/>
      <c r="F1307" s="227"/>
      <c r="G1307" s="13"/>
      <c r="H1307" s="107"/>
      <c r="I1307" s="13"/>
      <c r="J1307" s="107"/>
      <c r="K1307" s="107"/>
      <c r="L1307" s="13"/>
    </row>
    <row r="1308" ht="15.75" customHeight="1">
      <c r="A1308" s="13"/>
      <c r="B1308" s="13"/>
      <c r="C1308" s="13"/>
      <c r="D1308" s="13"/>
      <c r="E1308" s="13"/>
      <c r="F1308" s="227"/>
      <c r="G1308" s="13"/>
      <c r="H1308" s="107"/>
      <c r="I1308" s="13"/>
      <c r="J1308" s="107"/>
      <c r="K1308" s="107"/>
      <c r="L1308" s="13"/>
    </row>
    <row r="1309" ht="15.75" customHeight="1">
      <c r="A1309" s="13"/>
      <c r="B1309" s="13"/>
      <c r="C1309" s="13"/>
      <c r="D1309" s="13"/>
      <c r="E1309" s="13"/>
      <c r="F1309" s="227"/>
      <c r="G1309" s="13"/>
      <c r="H1309" s="107"/>
      <c r="I1309" s="13"/>
      <c r="J1309" s="107"/>
      <c r="K1309" s="107"/>
      <c r="L1309" s="13"/>
    </row>
    <row r="1310" ht="15.75" customHeight="1">
      <c r="A1310" s="13"/>
      <c r="B1310" s="13"/>
      <c r="C1310" s="13"/>
      <c r="D1310" s="13"/>
      <c r="E1310" s="13"/>
      <c r="F1310" s="227"/>
      <c r="G1310" s="13"/>
      <c r="H1310" s="107"/>
      <c r="I1310" s="13"/>
      <c r="J1310" s="107"/>
      <c r="K1310" s="107"/>
      <c r="L1310" s="13"/>
    </row>
    <row r="1311" ht="15.75" customHeight="1">
      <c r="A1311" s="13"/>
      <c r="B1311" s="13"/>
      <c r="C1311" s="13"/>
      <c r="D1311" s="13"/>
      <c r="E1311" s="13"/>
      <c r="F1311" s="227"/>
      <c r="G1311" s="13"/>
      <c r="H1311" s="107"/>
      <c r="I1311" s="13"/>
      <c r="J1311" s="107"/>
      <c r="K1311" s="107"/>
      <c r="L1311" s="13"/>
    </row>
    <row r="1312" ht="15.75" customHeight="1">
      <c r="A1312" s="13"/>
      <c r="B1312" s="13"/>
      <c r="C1312" s="13"/>
      <c r="D1312" s="13"/>
      <c r="E1312" s="13"/>
      <c r="F1312" s="227"/>
      <c r="G1312" s="13"/>
      <c r="H1312" s="107"/>
      <c r="I1312" s="13"/>
      <c r="J1312" s="107"/>
      <c r="K1312" s="107"/>
      <c r="L1312" s="13"/>
    </row>
    <row r="1313" ht="15.75" customHeight="1">
      <c r="A1313" s="13"/>
      <c r="B1313" s="13"/>
      <c r="C1313" s="13"/>
      <c r="D1313" s="13"/>
      <c r="E1313" s="13"/>
      <c r="F1313" s="227"/>
      <c r="G1313" s="13"/>
      <c r="H1313" s="107"/>
      <c r="I1313" s="13"/>
      <c r="J1313" s="107"/>
      <c r="K1313" s="107"/>
      <c r="L1313" s="13"/>
    </row>
    <row r="1314" ht="15.75" customHeight="1">
      <c r="A1314" s="13"/>
      <c r="B1314" s="13"/>
      <c r="C1314" s="13"/>
      <c r="D1314" s="13"/>
      <c r="E1314" s="13"/>
      <c r="F1314" s="227"/>
      <c r="G1314" s="13"/>
      <c r="H1314" s="107"/>
      <c r="I1314" s="13"/>
      <c r="J1314" s="107"/>
      <c r="K1314" s="107"/>
      <c r="L1314" s="13"/>
    </row>
    <row r="1315" ht="15.75" customHeight="1">
      <c r="A1315" s="13"/>
      <c r="B1315" s="13"/>
      <c r="C1315" s="13"/>
      <c r="D1315" s="13"/>
      <c r="E1315" s="13"/>
      <c r="F1315" s="227"/>
      <c r="G1315" s="13"/>
      <c r="H1315" s="107"/>
      <c r="I1315" s="13"/>
      <c r="J1315" s="107"/>
      <c r="K1315" s="107"/>
      <c r="L1315" s="13"/>
    </row>
    <row r="1316" ht="15.75" customHeight="1">
      <c r="A1316" s="13"/>
      <c r="B1316" s="13"/>
      <c r="C1316" s="13"/>
      <c r="D1316" s="13"/>
      <c r="E1316" s="13"/>
      <c r="F1316" s="227"/>
      <c r="G1316" s="13"/>
      <c r="H1316" s="107"/>
      <c r="I1316" s="13"/>
      <c r="J1316" s="107"/>
      <c r="K1316" s="107"/>
      <c r="L1316" s="13"/>
    </row>
    <row r="1317" ht="15.75" customHeight="1">
      <c r="A1317" s="13"/>
      <c r="B1317" s="13"/>
      <c r="C1317" s="13"/>
      <c r="D1317" s="13"/>
      <c r="E1317" s="13"/>
      <c r="F1317" s="227"/>
      <c r="G1317" s="13"/>
      <c r="H1317" s="107"/>
      <c r="I1317" s="13"/>
      <c r="J1317" s="107"/>
      <c r="K1317" s="107"/>
      <c r="L1317" s="13"/>
    </row>
    <row r="1318" ht="15.75" customHeight="1">
      <c r="A1318" s="13"/>
      <c r="B1318" s="13"/>
      <c r="C1318" s="13"/>
      <c r="D1318" s="13"/>
      <c r="E1318" s="13"/>
      <c r="F1318" s="227"/>
      <c r="G1318" s="13"/>
      <c r="H1318" s="107"/>
      <c r="I1318" s="13"/>
      <c r="J1318" s="107"/>
      <c r="K1318" s="107"/>
      <c r="L1318" s="13"/>
    </row>
    <row r="1319" ht="15.75" customHeight="1">
      <c r="A1319" s="13"/>
      <c r="B1319" s="13"/>
      <c r="C1319" s="13"/>
      <c r="D1319" s="13"/>
      <c r="E1319" s="13"/>
      <c r="F1319" s="227"/>
      <c r="G1319" s="13"/>
      <c r="H1319" s="107"/>
      <c r="I1319" s="13"/>
      <c r="J1319" s="107"/>
      <c r="K1319" s="107"/>
      <c r="L1319" s="13"/>
    </row>
    <row r="1320" ht="15.75" customHeight="1">
      <c r="A1320" s="13"/>
      <c r="B1320" s="13"/>
      <c r="C1320" s="13"/>
      <c r="D1320" s="13"/>
      <c r="E1320" s="13"/>
      <c r="F1320" s="227"/>
      <c r="G1320" s="13"/>
      <c r="H1320" s="107"/>
      <c r="I1320" s="13"/>
      <c r="J1320" s="107"/>
      <c r="K1320" s="107"/>
      <c r="L1320" s="13"/>
    </row>
    <row r="1321" ht="15.75" customHeight="1">
      <c r="A1321" s="13"/>
      <c r="B1321" s="13"/>
      <c r="C1321" s="13"/>
      <c r="D1321" s="13"/>
      <c r="E1321" s="13"/>
      <c r="F1321" s="227"/>
      <c r="G1321" s="13"/>
      <c r="H1321" s="107"/>
      <c r="I1321" s="13"/>
      <c r="J1321" s="107"/>
      <c r="K1321" s="107"/>
      <c r="L1321" s="13"/>
    </row>
    <row r="1322" ht="15.75" customHeight="1">
      <c r="A1322" s="13"/>
      <c r="B1322" s="13"/>
      <c r="C1322" s="13"/>
      <c r="D1322" s="13"/>
      <c r="E1322" s="13"/>
      <c r="F1322" s="227"/>
      <c r="G1322" s="13"/>
      <c r="H1322" s="107"/>
      <c r="I1322" s="13"/>
      <c r="J1322" s="107"/>
      <c r="K1322" s="107"/>
      <c r="L1322" s="13"/>
    </row>
    <row r="1323" ht="15.75" customHeight="1">
      <c r="A1323" s="13"/>
      <c r="B1323" s="13"/>
      <c r="C1323" s="13"/>
      <c r="D1323" s="13"/>
      <c r="E1323" s="13"/>
      <c r="F1323" s="227"/>
      <c r="G1323" s="13"/>
      <c r="H1323" s="107"/>
      <c r="I1323" s="13"/>
      <c r="J1323" s="107"/>
      <c r="K1323" s="107"/>
      <c r="L1323" s="13"/>
    </row>
    <row r="1324" ht="15.75" customHeight="1">
      <c r="A1324" s="13"/>
      <c r="B1324" s="13"/>
      <c r="C1324" s="13"/>
      <c r="D1324" s="13"/>
      <c r="E1324" s="13"/>
      <c r="F1324" s="227"/>
      <c r="G1324" s="13"/>
      <c r="H1324" s="107"/>
      <c r="I1324" s="13"/>
      <c r="J1324" s="107"/>
      <c r="K1324" s="107"/>
      <c r="L1324" s="13"/>
    </row>
    <row r="1325" ht="15.75" customHeight="1">
      <c r="A1325" s="13"/>
      <c r="B1325" s="13"/>
      <c r="C1325" s="13"/>
      <c r="D1325" s="13"/>
      <c r="E1325" s="13"/>
      <c r="F1325" s="227"/>
      <c r="G1325" s="13"/>
      <c r="H1325" s="107"/>
      <c r="I1325" s="13"/>
      <c r="J1325" s="107"/>
      <c r="K1325" s="107"/>
      <c r="L1325" s="13"/>
    </row>
    <row r="1326" ht="15.75" customHeight="1">
      <c r="A1326" s="13"/>
      <c r="B1326" s="13"/>
      <c r="C1326" s="13"/>
      <c r="D1326" s="13"/>
      <c r="E1326" s="13"/>
      <c r="F1326" s="227"/>
      <c r="G1326" s="13"/>
      <c r="H1326" s="107"/>
      <c r="I1326" s="13"/>
      <c r="J1326" s="107"/>
      <c r="K1326" s="107"/>
      <c r="L1326" s="13"/>
    </row>
    <row r="1327" ht="15.75" customHeight="1">
      <c r="A1327" s="13"/>
      <c r="B1327" s="13"/>
      <c r="C1327" s="13"/>
      <c r="D1327" s="13"/>
      <c r="E1327" s="13"/>
      <c r="F1327" s="227"/>
      <c r="G1327" s="13"/>
      <c r="H1327" s="107"/>
      <c r="I1327" s="13"/>
      <c r="J1327" s="107"/>
      <c r="K1327" s="107"/>
      <c r="L1327" s="13"/>
    </row>
    <row r="1328" ht="15.75" customHeight="1">
      <c r="A1328" s="13"/>
      <c r="B1328" s="13"/>
      <c r="C1328" s="13"/>
      <c r="D1328" s="13"/>
      <c r="E1328" s="13"/>
      <c r="F1328" s="227"/>
      <c r="G1328" s="13"/>
      <c r="H1328" s="107"/>
      <c r="I1328" s="13"/>
      <c r="J1328" s="107"/>
      <c r="K1328" s="107"/>
      <c r="L1328" s="13"/>
    </row>
    <row r="1329" ht="15.75" customHeight="1">
      <c r="A1329" s="13"/>
      <c r="B1329" s="13"/>
      <c r="C1329" s="13"/>
      <c r="D1329" s="13"/>
      <c r="E1329" s="13"/>
      <c r="F1329" s="227"/>
      <c r="G1329" s="13"/>
      <c r="H1329" s="107"/>
      <c r="I1329" s="13"/>
      <c r="J1329" s="107"/>
      <c r="K1329" s="107"/>
      <c r="L1329" s="13"/>
    </row>
    <row r="1330" ht="15.75" customHeight="1">
      <c r="A1330" s="13"/>
      <c r="B1330" s="13"/>
      <c r="C1330" s="13"/>
      <c r="D1330" s="13"/>
      <c r="E1330" s="13"/>
      <c r="F1330" s="227"/>
      <c r="G1330" s="13"/>
      <c r="H1330" s="107"/>
      <c r="I1330" s="13"/>
      <c r="J1330" s="107"/>
      <c r="K1330" s="107"/>
      <c r="L1330" s="13"/>
    </row>
    <row r="1331" ht="15.75" customHeight="1">
      <c r="A1331" s="13"/>
      <c r="B1331" s="13"/>
      <c r="C1331" s="13"/>
      <c r="D1331" s="13"/>
      <c r="E1331" s="13"/>
      <c r="F1331" s="227"/>
      <c r="G1331" s="13"/>
      <c r="H1331" s="107"/>
      <c r="I1331" s="13"/>
      <c r="J1331" s="107"/>
      <c r="K1331" s="107"/>
      <c r="L1331" s="13"/>
    </row>
    <row r="1332" ht="15.75" customHeight="1">
      <c r="A1332" s="13"/>
      <c r="B1332" s="13"/>
      <c r="C1332" s="13"/>
      <c r="D1332" s="13"/>
      <c r="E1332" s="13"/>
      <c r="F1332" s="227"/>
      <c r="G1332" s="13"/>
      <c r="H1332" s="107"/>
      <c r="I1332" s="13"/>
      <c r="J1332" s="107"/>
      <c r="K1332" s="107"/>
      <c r="L1332" s="13"/>
    </row>
    <row r="1333" ht="15.75" customHeight="1">
      <c r="A1333" s="13"/>
      <c r="B1333" s="13"/>
      <c r="C1333" s="13"/>
      <c r="D1333" s="13"/>
      <c r="E1333" s="13"/>
      <c r="F1333" s="227"/>
      <c r="G1333" s="13"/>
      <c r="H1333" s="107"/>
      <c r="I1333" s="13"/>
      <c r="J1333" s="107"/>
      <c r="K1333" s="107"/>
      <c r="L1333" s="13"/>
    </row>
    <row r="1334" ht="15.75" customHeight="1">
      <c r="A1334" s="13"/>
      <c r="B1334" s="13"/>
      <c r="C1334" s="13"/>
      <c r="D1334" s="13"/>
      <c r="E1334" s="13"/>
      <c r="F1334" s="227"/>
      <c r="G1334" s="13"/>
      <c r="H1334" s="107"/>
      <c r="I1334" s="13"/>
      <c r="J1334" s="107"/>
      <c r="K1334" s="107"/>
      <c r="L1334" s="13"/>
    </row>
    <row r="1335" ht="15.75" customHeight="1">
      <c r="A1335" s="13"/>
      <c r="B1335" s="13"/>
      <c r="C1335" s="13"/>
      <c r="D1335" s="13"/>
      <c r="E1335" s="13"/>
      <c r="F1335" s="227"/>
      <c r="G1335" s="13"/>
      <c r="H1335" s="107"/>
      <c r="I1335" s="13"/>
      <c r="J1335" s="107"/>
      <c r="K1335" s="107"/>
      <c r="L1335" s="13"/>
    </row>
    <row r="1336" ht="15.75" customHeight="1">
      <c r="A1336" s="13"/>
      <c r="B1336" s="13"/>
      <c r="C1336" s="13"/>
      <c r="D1336" s="13"/>
      <c r="E1336" s="13"/>
      <c r="F1336" s="227"/>
      <c r="G1336" s="13"/>
      <c r="H1336" s="107"/>
      <c r="I1336" s="13"/>
      <c r="J1336" s="107"/>
      <c r="K1336" s="107"/>
      <c r="L1336" s="13"/>
    </row>
    <row r="1337" ht="15.75" customHeight="1">
      <c r="A1337" s="13"/>
      <c r="B1337" s="13"/>
      <c r="C1337" s="13"/>
      <c r="D1337" s="13"/>
      <c r="E1337" s="13"/>
      <c r="F1337" s="227"/>
      <c r="G1337" s="13"/>
      <c r="H1337" s="107"/>
      <c r="I1337" s="13"/>
      <c r="J1337" s="107"/>
      <c r="K1337" s="107"/>
      <c r="L1337" s="13"/>
    </row>
    <row r="1338" ht="15.75" customHeight="1">
      <c r="A1338" s="13"/>
      <c r="B1338" s="13"/>
      <c r="C1338" s="13"/>
      <c r="D1338" s="13"/>
      <c r="E1338" s="13"/>
      <c r="F1338" s="227"/>
      <c r="G1338" s="13"/>
      <c r="H1338" s="107"/>
      <c r="I1338" s="13"/>
      <c r="J1338" s="107"/>
      <c r="K1338" s="107"/>
      <c r="L1338" s="13"/>
    </row>
    <row r="1339" ht="15.75" customHeight="1">
      <c r="A1339" s="13"/>
      <c r="B1339" s="13"/>
      <c r="C1339" s="13"/>
      <c r="D1339" s="13"/>
      <c r="E1339" s="13"/>
      <c r="F1339" s="227"/>
      <c r="G1339" s="13"/>
      <c r="H1339" s="107"/>
      <c r="I1339" s="13"/>
      <c r="J1339" s="107"/>
      <c r="K1339" s="107"/>
      <c r="L1339" s="13"/>
    </row>
    <row r="1340" ht="15.75" customHeight="1">
      <c r="A1340" s="13"/>
      <c r="B1340" s="13"/>
      <c r="C1340" s="13"/>
      <c r="D1340" s="13"/>
      <c r="E1340" s="13"/>
      <c r="F1340" s="227"/>
      <c r="G1340" s="13"/>
      <c r="H1340" s="107"/>
      <c r="I1340" s="13"/>
      <c r="J1340" s="107"/>
      <c r="K1340" s="107"/>
      <c r="L1340" s="13"/>
    </row>
    <row r="1341" ht="15.75" customHeight="1">
      <c r="A1341" s="13"/>
      <c r="B1341" s="13"/>
      <c r="C1341" s="13"/>
      <c r="D1341" s="13"/>
      <c r="E1341" s="13"/>
      <c r="F1341" s="227"/>
      <c r="G1341" s="13"/>
      <c r="H1341" s="107"/>
      <c r="I1341" s="13"/>
      <c r="J1341" s="107"/>
      <c r="K1341" s="107"/>
      <c r="L1341" s="13"/>
    </row>
    <row r="1342" ht="15.75" customHeight="1">
      <c r="A1342" s="13"/>
      <c r="B1342" s="13"/>
      <c r="C1342" s="13"/>
      <c r="D1342" s="13"/>
      <c r="E1342" s="13"/>
      <c r="F1342" s="227"/>
      <c r="G1342" s="13"/>
      <c r="H1342" s="107"/>
      <c r="I1342" s="13"/>
      <c r="J1342" s="107"/>
      <c r="K1342" s="107"/>
      <c r="L1342" s="13"/>
    </row>
    <row r="1343" ht="15.75" customHeight="1">
      <c r="A1343" s="13"/>
      <c r="B1343" s="13"/>
      <c r="C1343" s="13"/>
      <c r="D1343" s="13"/>
      <c r="E1343" s="13"/>
      <c r="F1343" s="227"/>
      <c r="G1343" s="13"/>
      <c r="H1343" s="107"/>
      <c r="I1343" s="13"/>
      <c r="J1343" s="107"/>
      <c r="K1343" s="107"/>
      <c r="L1343" s="13"/>
    </row>
    <row r="1344" ht="15.75" customHeight="1">
      <c r="A1344" s="13"/>
      <c r="B1344" s="13"/>
      <c r="C1344" s="13"/>
      <c r="D1344" s="13"/>
      <c r="E1344" s="13"/>
      <c r="F1344" s="227"/>
      <c r="G1344" s="13"/>
      <c r="H1344" s="107"/>
      <c r="I1344" s="13"/>
      <c r="J1344" s="107"/>
      <c r="K1344" s="107"/>
      <c r="L1344" s="13"/>
    </row>
    <row r="1345" ht="15.75" customHeight="1">
      <c r="A1345" s="13"/>
      <c r="B1345" s="13"/>
      <c r="C1345" s="13"/>
      <c r="D1345" s="13"/>
      <c r="E1345" s="13"/>
      <c r="F1345" s="227"/>
      <c r="G1345" s="13"/>
      <c r="H1345" s="107"/>
      <c r="I1345" s="13"/>
      <c r="J1345" s="107"/>
      <c r="K1345" s="107"/>
      <c r="L1345" s="13"/>
    </row>
    <row r="1346" ht="15.75" customHeight="1">
      <c r="A1346" s="13"/>
      <c r="B1346" s="13"/>
      <c r="C1346" s="13"/>
      <c r="D1346" s="13"/>
      <c r="E1346" s="13"/>
      <c r="F1346" s="227"/>
      <c r="G1346" s="13"/>
      <c r="H1346" s="107"/>
      <c r="I1346" s="13"/>
      <c r="J1346" s="107"/>
      <c r="K1346" s="107"/>
      <c r="L1346" s="13"/>
    </row>
    <row r="1347" ht="15.75" customHeight="1">
      <c r="A1347" s="13"/>
      <c r="B1347" s="13"/>
      <c r="C1347" s="13"/>
      <c r="D1347" s="13"/>
      <c r="E1347" s="13"/>
      <c r="F1347" s="227"/>
      <c r="G1347" s="13"/>
      <c r="H1347" s="107"/>
      <c r="I1347" s="13"/>
      <c r="J1347" s="107"/>
      <c r="K1347" s="107"/>
      <c r="L1347" s="13"/>
    </row>
    <row r="1348" ht="15.75" customHeight="1">
      <c r="A1348" s="13"/>
      <c r="B1348" s="13"/>
      <c r="C1348" s="13"/>
      <c r="D1348" s="13"/>
      <c r="E1348" s="13"/>
      <c r="F1348" s="227"/>
      <c r="G1348" s="13"/>
      <c r="H1348" s="107"/>
      <c r="I1348" s="13"/>
      <c r="J1348" s="107"/>
      <c r="K1348" s="107"/>
      <c r="L1348" s="13"/>
    </row>
    <row r="1349" ht="15.75" customHeight="1">
      <c r="A1349" s="13"/>
      <c r="B1349" s="13"/>
      <c r="C1349" s="13"/>
      <c r="D1349" s="13"/>
      <c r="E1349" s="13"/>
      <c r="F1349" s="227"/>
      <c r="G1349" s="13"/>
      <c r="H1349" s="107"/>
      <c r="I1349" s="13"/>
      <c r="J1349" s="107"/>
      <c r="K1349" s="107"/>
      <c r="L1349" s="13"/>
    </row>
    <row r="1350" ht="15.75" customHeight="1">
      <c r="A1350" s="13"/>
      <c r="B1350" s="13"/>
      <c r="C1350" s="13"/>
      <c r="D1350" s="13"/>
      <c r="E1350" s="13"/>
      <c r="F1350" s="227"/>
      <c r="G1350" s="13"/>
      <c r="H1350" s="107"/>
      <c r="I1350" s="13"/>
      <c r="J1350" s="107"/>
      <c r="K1350" s="107"/>
      <c r="L1350" s="13"/>
    </row>
    <row r="1351" ht="15.75" customHeight="1">
      <c r="A1351" s="13"/>
      <c r="B1351" s="13"/>
      <c r="C1351" s="13"/>
      <c r="D1351" s="13"/>
      <c r="E1351" s="13"/>
      <c r="F1351" s="227"/>
      <c r="G1351" s="13"/>
      <c r="H1351" s="107"/>
      <c r="I1351" s="13"/>
      <c r="J1351" s="107"/>
      <c r="K1351" s="107"/>
      <c r="L1351" s="13"/>
    </row>
    <row r="1352" ht="15.75" customHeight="1">
      <c r="A1352" s="13"/>
      <c r="B1352" s="13"/>
      <c r="C1352" s="13"/>
      <c r="D1352" s="13"/>
      <c r="E1352" s="13"/>
      <c r="F1352" s="227"/>
      <c r="G1352" s="13"/>
      <c r="H1352" s="107"/>
      <c r="I1352" s="13"/>
      <c r="J1352" s="107"/>
      <c r="K1352" s="107"/>
      <c r="L1352" s="13"/>
    </row>
    <row r="1353" ht="15.75" customHeight="1">
      <c r="A1353" s="13"/>
      <c r="B1353" s="13"/>
      <c r="C1353" s="13"/>
      <c r="D1353" s="13"/>
      <c r="E1353" s="13"/>
      <c r="F1353" s="227"/>
      <c r="G1353" s="13"/>
      <c r="H1353" s="107"/>
      <c r="I1353" s="13"/>
      <c r="J1353" s="107"/>
      <c r="K1353" s="107"/>
      <c r="L1353" s="13"/>
    </row>
    <row r="1354" ht="15.75" customHeight="1">
      <c r="A1354" s="13"/>
      <c r="B1354" s="13"/>
      <c r="C1354" s="13"/>
      <c r="D1354" s="13"/>
      <c r="E1354" s="13"/>
      <c r="F1354" s="227"/>
      <c r="G1354" s="13"/>
      <c r="H1354" s="107"/>
      <c r="I1354" s="13"/>
      <c r="J1354" s="107"/>
      <c r="K1354" s="107"/>
      <c r="L1354" s="13"/>
    </row>
    <row r="1355" ht="15.75" customHeight="1">
      <c r="A1355" s="13"/>
      <c r="B1355" s="13"/>
      <c r="C1355" s="13"/>
      <c r="D1355" s="13"/>
      <c r="E1355" s="13"/>
      <c r="F1355" s="227"/>
      <c r="G1355" s="13"/>
      <c r="H1355" s="107"/>
      <c r="I1355" s="13"/>
      <c r="J1355" s="107"/>
      <c r="K1355" s="107"/>
      <c r="L1355" s="13"/>
    </row>
    <row r="1356" ht="15.75" customHeight="1">
      <c r="A1356" s="13"/>
      <c r="B1356" s="13"/>
      <c r="C1356" s="13"/>
      <c r="D1356" s="13"/>
      <c r="E1356" s="13"/>
      <c r="F1356" s="227"/>
      <c r="G1356" s="13"/>
      <c r="H1356" s="107"/>
      <c r="I1356" s="13"/>
      <c r="J1356" s="107"/>
      <c r="K1356" s="107"/>
      <c r="L1356" s="13"/>
    </row>
    <row r="1357" ht="15.75" customHeight="1">
      <c r="A1357" s="13"/>
      <c r="B1357" s="13"/>
      <c r="C1357" s="13"/>
      <c r="D1357" s="13"/>
      <c r="E1357" s="13"/>
      <c r="F1357" s="227"/>
      <c r="G1357" s="13"/>
      <c r="H1357" s="107"/>
      <c r="I1357" s="13"/>
      <c r="J1357" s="107"/>
      <c r="K1357" s="107"/>
      <c r="L1357" s="13"/>
    </row>
    <row r="1358" ht="15.75" customHeight="1">
      <c r="A1358" s="13"/>
      <c r="B1358" s="13"/>
      <c r="C1358" s="13"/>
      <c r="D1358" s="13"/>
      <c r="E1358" s="13"/>
      <c r="F1358" s="227"/>
      <c r="G1358" s="13"/>
      <c r="H1358" s="107"/>
      <c r="I1358" s="13"/>
      <c r="J1358" s="107"/>
      <c r="K1358" s="107"/>
      <c r="L1358" s="13"/>
    </row>
    <row r="1359" ht="15.75" customHeight="1">
      <c r="A1359" s="13"/>
      <c r="B1359" s="13"/>
      <c r="C1359" s="13"/>
      <c r="D1359" s="13"/>
      <c r="E1359" s="13"/>
      <c r="F1359" s="227"/>
      <c r="G1359" s="13"/>
      <c r="H1359" s="107"/>
      <c r="I1359" s="13"/>
      <c r="J1359" s="107"/>
      <c r="K1359" s="107"/>
      <c r="L1359" s="13"/>
    </row>
    <row r="1360" ht="15.75" customHeight="1">
      <c r="A1360" s="13"/>
      <c r="B1360" s="13"/>
      <c r="C1360" s="13"/>
      <c r="D1360" s="13"/>
      <c r="E1360" s="13"/>
      <c r="F1360" s="227"/>
      <c r="G1360" s="13"/>
      <c r="H1360" s="107"/>
      <c r="I1360" s="13"/>
      <c r="J1360" s="107"/>
      <c r="K1360" s="107"/>
      <c r="L1360" s="13"/>
    </row>
    <row r="1361" ht="15.75" customHeight="1">
      <c r="A1361" s="13"/>
      <c r="B1361" s="13"/>
      <c r="C1361" s="13"/>
      <c r="D1361" s="13"/>
      <c r="E1361" s="13"/>
      <c r="F1361" s="227"/>
      <c r="G1361" s="13"/>
      <c r="H1361" s="107"/>
      <c r="I1361" s="13"/>
      <c r="J1361" s="107"/>
      <c r="K1361" s="107"/>
      <c r="L1361" s="13"/>
    </row>
    <row r="1362" ht="15.75" customHeight="1">
      <c r="A1362" s="13"/>
      <c r="B1362" s="13"/>
      <c r="C1362" s="13"/>
      <c r="D1362" s="13"/>
      <c r="E1362" s="13"/>
      <c r="F1362" s="227"/>
      <c r="G1362" s="13"/>
      <c r="H1362" s="107"/>
      <c r="I1362" s="13"/>
      <c r="J1362" s="107"/>
      <c r="K1362" s="107"/>
      <c r="L1362" s="13"/>
    </row>
    <row r="1363" ht="15.75" customHeight="1">
      <c r="A1363" s="13"/>
      <c r="B1363" s="13"/>
      <c r="C1363" s="13"/>
      <c r="D1363" s="13"/>
      <c r="E1363" s="13"/>
      <c r="F1363" s="227"/>
      <c r="G1363" s="13"/>
      <c r="H1363" s="107"/>
      <c r="I1363" s="13"/>
      <c r="J1363" s="107"/>
      <c r="K1363" s="107"/>
      <c r="L1363" s="13"/>
    </row>
    <row r="1364" ht="15.75" customHeight="1">
      <c r="A1364" s="13"/>
      <c r="B1364" s="13"/>
      <c r="C1364" s="13"/>
      <c r="D1364" s="13"/>
      <c r="E1364" s="13"/>
      <c r="F1364" s="227"/>
      <c r="G1364" s="13"/>
      <c r="H1364" s="107"/>
      <c r="I1364" s="13"/>
      <c r="J1364" s="107"/>
      <c r="K1364" s="107"/>
      <c r="L1364" s="13"/>
    </row>
    <row r="1365" ht="15.75" customHeight="1">
      <c r="A1365" s="13"/>
      <c r="B1365" s="13"/>
      <c r="C1365" s="13"/>
      <c r="D1365" s="13"/>
      <c r="E1365" s="13"/>
      <c r="F1365" s="227"/>
      <c r="G1365" s="13"/>
      <c r="H1365" s="107"/>
      <c r="I1365" s="13"/>
      <c r="J1365" s="107"/>
      <c r="K1365" s="107"/>
      <c r="L1365" s="13"/>
    </row>
    <row r="1366" ht="15.75" customHeight="1">
      <c r="A1366" s="13"/>
      <c r="B1366" s="13"/>
      <c r="C1366" s="13"/>
      <c r="D1366" s="13"/>
      <c r="E1366" s="13"/>
      <c r="F1366" s="227"/>
      <c r="G1366" s="13"/>
      <c r="H1366" s="107"/>
      <c r="I1366" s="13"/>
      <c r="J1366" s="107"/>
      <c r="K1366" s="107"/>
      <c r="L1366" s="13"/>
    </row>
    <row r="1367" ht="15.75" customHeight="1">
      <c r="A1367" s="13"/>
      <c r="B1367" s="13"/>
      <c r="C1367" s="13"/>
      <c r="D1367" s="13"/>
      <c r="E1367" s="13"/>
      <c r="F1367" s="227"/>
      <c r="G1367" s="13"/>
      <c r="H1367" s="107"/>
      <c r="I1367" s="13"/>
      <c r="J1367" s="107"/>
      <c r="K1367" s="107"/>
      <c r="L1367" s="13"/>
    </row>
    <row r="1368" ht="15.75" customHeight="1">
      <c r="A1368" s="13"/>
      <c r="B1368" s="13"/>
      <c r="C1368" s="13"/>
      <c r="D1368" s="13"/>
      <c r="E1368" s="13"/>
      <c r="F1368" s="227"/>
      <c r="G1368" s="13"/>
      <c r="H1368" s="107"/>
      <c r="I1368" s="13"/>
      <c r="J1368" s="107"/>
      <c r="K1368" s="107"/>
      <c r="L1368" s="13"/>
    </row>
    <row r="1369" ht="15.75" customHeight="1">
      <c r="A1369" s="13"/>
      <c r="B1369" s="13"/>
      <c r="C1369" s="13"/>
      <c r="D1369" s="13"/>
      <c r="E1369" s="13"/>
      <c r="F1369" s="227"/>
      <c r="G1369" s="13"/>
      <c r="H1369" s="107"/>
      <c r="I1369" s="13"/>
      <c r="J1369" s="107"/>
      <c r="K1369" s="107"/>
      <c r="L1369" s="13"/>
    </row>
    <row r="1370" ht="15.75" customHeight="1">
      <c r="A1370" s="13"/>
      <c r="B1370" s="13"/>
      <c r="C1370" s="13"/>
      <c r="D1370" s="13"/>
      <c r="E1370" s="13"/>
      <c r="F1370" s="227"/>
      <c r="G1370" s="13"/>
      <c r="H1370" s="107"/>
      <c r="I1370" s="13"/>
      <c r="J1370" s="107"/>
      <c r="K1370" s="107"/>
      <c r="L1370" s="13"/>
    </row>
    <row r="1371" ht="15.75" customHeight="1">
      <c r="A1371" s="13"/>
      <c r="B1371" s="13"/>
      <c r="C1371" s="13"/>
      <c r="D1371" s="13"/>
      <c r="E1371" s="13"/>
      <c r="F1371" s="227"/>
      <c r="G1371" s="13"/>
      <c r="H1371" s="107"/>
      <c r="I1371" s="13"/>
      <c r="J1371" s="107"/>
      <c r="K1371" s="107"/>
      <c r="L1371" s="13"/>
    </row>
    <row r="1372" ht="15.75" customHeight="1">
      <c r="A1372" s="13"/>
      <c r="B1372" s="13"/>
      <c r="C1372" s="13"/>
      <c r="D1372" s="13"/>
      <c r="E1372" s="13"/>
      <c r="F1372" s="227"/>
      <c r="G1372" s="13"/>
      <c r="H1372" s="107"/>
      <c r="I1372" s="13"/>
      <c r="J1372" s="107"/>
      <c r="K1372" s="107"/>
      <c r="L1372" s="13"/>
    </row>
    <row r="1373" ht="15.75" customHeight="1">
      <c r="A1373" s="13"/>
      <c r="B1373" s="13"/>
      <c r="C1373" s="13"/>
      <c r="D1373" s="13"/>
      <c r="E1373" s="13"/>
      <c r="F1373" s="227"/>
      <c r="G1373" s="13"/>
      <c r="H1373" s="107"/>
      <c r="I1373" s="13"/>
      <c r="J1373" s="107"/>
      <c r="K1373" s="107"/>
      <c r="L1373" s="13"/>
    </row>
    <row r="1374" ht="15.75" customHeight="1">
      <c r="A1374" s="13"/>
      <c r="B1374" s="13"/>
      <c r="C1374" s="13"/>
      <c r="D1374" s="13"/>
      <c r="E1374" s="13"/>
      <c r="F1374" s="227"/>
      <c r="G1374" s="13"/>
      <c r="H1374" s="107"/>
      <c r="I1374" s="13"/>
      <c r="J1374" s="107"/>
      <c r="K1374" s="107"/>
      <c r="L1374" s="13"/>
    </row>
    <row r="1375" ht="15.75" customHeight="1">
      <c r="A1375" s="13"/>
      <c r="B1375" s="13"/>
      <c r="C1375" s="13"/>
      <c r="D1375" s="13"/>
      <c r="E1375" s="13"/>
      <c r="F1375" s="227"/>
      <c r="G1375" s="13"/>
      <c r="H1375" s="107"/>
      <c r="I1375" s="13"/>
      <c r="J1375" s="107"/>
      <c r="K1375" s="107"/>
      <c r="L1375" s="13"/>
    </row>
    <row r="1376" ht="15.75" customHeight="1">
      <c r="A1376" s="13"/>
      <c r="B1376" s="13"/>
      <c r="C1376" s="13"/>
      <c r="D1376" s="13"/>
      <c r="E1376" s="13"/>
      <c r="F1376" s="227"/>
      <c r="G1376" s="13"/>
      <c r="H1376" s="107"/>
      <c r="I1376" s="13"/>
      <c r="J1376" s="107"/>
      <c r="K1376" s="107"/>
      <c r="L1376" s="13"/>
    </row>
    <row r="1377" ht="15.75" customHeight="1">
      <c r="A1377" s="13"/>
      <c r="B1377" s="13"/>
      <c r="C1377" s="13"/>
      <c r="D1377" s="13"/>
      <c r="E1377" s="13"/>
      <c r="F1377" s="227"/>
      <c r="G1377" s="13"/>
      <c r="H1377" s="107"/>
      <c r="I1377" s="13"/>
      <c r="J1377" s="107"/>
      <c r="K1377" s="107"/>
      <c r="L1377" s="13"/>
    </row>
    <row r="1378" ht="15.75" customHeight="1">
      <c r="A1378" s="13"/>
      <c r="B1378" s="13"/>
      <c r="C1378" s="13"/>
      <c r="D1378" s="13"/>
      <c r="E1378" s="13"/>
      <c r="F1378" s="227"/>
      <c r="G1378" s="13"/>
      <c r="H1378" s="107"/>
      <c r="I1378" s="13"/>
      <c r="J1378" s="107"/>
      <c r="K1378" s="107"/>
      <c r="L1378" s="13"/>
    </row>
    <row r="1379" ht="15.75" customHeight="1">
      <c r="A1379" s="13"/>
      <c r="B1379" s="13"/>
      <c r="C1379" s="13"/>
      <c r="D1379" s="13"/>
      <c r="E1379" s="13"/>
      <c r="F1379" s="227"/>
      <c r="G1379" s="13"/>
      <c r="H1379" s="107"/>
      <c r="I1379" s="13"/>
      <c r="J1379" s="107"/>
      <c r="K1379" s="107"/>
      <c r="L1379" s="13"/>
    </row>
    <row r="1380" ht="15.75" customHeight="1">
      <c r="A1380" s="13"/>
      <c r="B1380" s="13"/>
      <c r="C1380" s="13"/>
      <c r="D1380" s="13"/>
      <c r="E1380" s="13"/>
      <c r="F1380" s="227"/>
      <c r="G1380" s="13"/>
      <c r="H1380" s="107"/>
      <c r="I1380" s="13"/>
      <c r="J1380" s="107"/>
      <c r="K1380" s="107"/>
      <c r="L1380" s="13"/>
    </row>
    <row r="1381" ht="15.75" customHeight="1">
      <c r="A1381" s="13"/>
      <c r="B1381" s="13"/>
      <c r="C1381" s="13"/>
      <c r="D1381" s="13"/>
      <c r="E1381" s="13"/>
      <c r="F1381" s="227"/>
      <c r="G1381" s="13"/>
      <c r="H1381" s="107"/>
      <c r="I1381" s="13"/>
      <c r="J1381" s="107"/>
      <c r="K1381" s="107"/>
      <c r="L1381" s="13"/>
    </row>
    <row r="1382" ht="15.75" customHeight="1">
      <c r="A1382" s="13"/>
      <c r="B1382" s="13"/>
      <c r="C1382" s="13"/>
      <c r="D1382" s="13"/>
      <c r="E1382" s="13"/>
      <c r="F1382" s="227"/>
      <c r="G1382" s="13"/>
      <c r="H1382" s="107"/>
      <c r="I1382" s="13"/>
      <c r="J1382" s="107"/>
      <c r="K1382" s="107"/>
      <c r="L1382" s="13"/>
    </row>
    <row r="1383" ht="15.75" customHeight="1">
      <c r="A1383" s="13"/>
      <c r="B1383" s="13"/>
      <c r="C1383" s="13"/>
      <c r="D1383" s="13"/>
      <c r="E1383" s="13"/>
      <c r="F1383" s="227"/>
      <c r="G1383" s="13"/>
      <c r="H1383" s="107"/>
      <c r="I1383" s="13"/>
      <c r="J1383" s="107"/>
      <c r="K1383" s="107"/>
      <c r="L1383" s="13"/>
    </row>
    <row r="1384" ht="15.75" customHeight="1">
      <c r="A1384" s="13"/>
      <c r="B1384" s="13"/>
      <c r="C1384" s="13"/>
      <c r="D1384" s="13"/>
      <c r="E1384" s="13"/>
      <c r="F1384" s="227"/>
      <c r="G1384" s="13"/>
      <c r="H1384" s="107"/>
      <c r="I1384" s="13"/>
      <c r="J1384" s="107"/>
      <c r="K1384" s="107"/>
      <c r="L1384" s="13"/>
    </row>
    <row r="1385" ht="15.75" customHeight="1">
      <c r="A1385" s="13"/>
      <c r="B1385" s="13"/>
      <c r="C1385" s="13"/>
      <c r="D1385" s="13"/>
      <c r="E1385" s="13"/>
      <c r="F1385" s="227"/>
      <c r="G1385" s="13"/>
      <c r="H1385" s="107"/>
      <c r="I1385" s="13"/>
      <c r="J1385" s="107"/>
      <c r="K1385" s="107"/>
      <c r="L1385" s="13"/>
    </row>
    <row r="1386" ht="15.75" customHeight="1">
      <c r="A1386" s="13"/>
      <c r="B1386" s="13"/>
      <c r="C1386" s="13"/>
      <c r="D1386" s="13"/>
      <c r="E1386" s="13"/>
      <c r="F1386" s="227"/>
      <c r="G1386" s="13"/>
      <c r="H1386" s="107"/>
      <c r="I1386" s="13"/>
      <c r="J1386" s="107"/>
      <c r="K1386" s="107"/>
      <c r="L1386" s="13"/>
    </row>
    <row r="1387" ht="15.75" customHeight="1">
      <c r="A1387" s="13"/>
      <c r="B1387" s="13"/>
      <c r="C1387" s="13"/>
      <c r="D1387" s="13"/>
      <c r="E1387" s="13"/>
      <c r="F1387" s="227"/>
      <c r="G1387" s="13"/>
      <c r="H1387" s="107"/>
      <c r="I1387" s="13"/>
      <c r="J1387" s="107"/>
      <c r="K1387" s="107"/>
      <c r="L1387" s="13"/>
    </row>
    <row r="1388" ht="15.75" customHeight="1">
      <c r="A1388" s="13"/>
      <c r="B1388" s="13"/>
      <c r="C1388" s="13"/>
      <c r="D1388" s="13"/>
      <c r="E1388" s="13"/>
      <c r="F1388" s="227"/>
      <c r="G1388" s="13"/>
      <c r="H1388" s="107"/>
      <c r="I1388" s="13"/>
      <c r="J1388" s="107"/>
      <c r="K1388" s="107"/>
      <c r="L1388" s="13"/>
    </row>
    <row r="1389" ht="15.75" customHeight="1">
      <c r="A1389" s="13"/>
      <c r="B1389" s="13"/>
      <c r="C1389" s="13"/>
      <c r="D1389" s="13"/>
      <c r="E1389" s="13"/>
      <c r="F1389" s="227"/>
      <c r="G1389" s="13"/>
      <c r="H1389" s="107"/>
      <c r="I1389" s="13"/>
      <c r="J1389" s="107"/>
      <c r="K1389" s="107"/>
      <c r="L1389" s="13"/>
    </row>
    <row r="1390" ht="15.75" customHeight="1">
      <c r="A1390" s="13"/>
      <c r="B1390" s="13"/>
      <c r="C1390" s="13"/>
      <c r="D1390" s="13"/>
      <c r="E1390" s="13"/>
      <c r="F1390" s="227"/>
      <c r="G1390" s="13"/>
      <c r="H1390" s="107"/>
      <c r="I1390" s="13"/>
      <c r="J1390" s="107"/>
      <c r="K1390" s="107"/>
      <c r="L1390" s="13"/>
    </row>
    <row r="1391" ht="15.75" customHeight="1">
      <c r="A1391" s="13"/>
      <c r="B1391" s="13"/>
      <c r="C1391" s="13"/>
      <c r="D1391" s="13"/>
      <c r="E1391" s="13"/>
      <c r="F1391" s="227"/>
      <c r="G1391" s="13"/>
      <c r="H1391" s="107"/>
      <c r="I1391" s="13"/>
      <c r="J1391" s="107"/>
      <c r="K1391" s="107"/>
      <c r="L1391" s="13"/>
    </row>
    <row r="1392" ht="15.75" customHeight="1">
      <c r="A1392" s="13"/>
      <c r="B1392" s="13"/>
      <c r="C1392" s="13"/>
      <c r="D1392" s="13"/>
      <c r="E1392" s="13"/>
      <c r="F1392" s="227"/>
      <c r="G1392" s="13"/>
      <c r="H1392" s="107"/>
      <c r="I1392" s="13"/>
      <c r="J1392" s="107"/>
      <c r="K1392" s="107"/>
      <c r="L1392" s="13"/>
    </row>
    <row r="1393" ht="15.75" customHeight="1">
      <c r="A1393" s="13"/>
      <c r="B1393" s="13"/>
      <c r="C1393" s="13"/>
      <c r="D1393" s="13"/>
      <c r="E1393" s="13"/>
      <c r="F1393" s="227"/>
      <c r="G1393" s="13"/>
      <c r="H1393" s="107"/>
      <c r="I1393" s="13"/>
      <c r="J1393" s="107"/>
      <c r="K1393" s="107"/>
      <c r="L1393" s="13"/>
    </row>
    <row r="1394" ht="15.75" customHeight="1">
      <c r="A1394" s="13"/>
      <c r="B1394" s="13"/>
      <c r="C1394" s="13"/>
      <c r="D1394" s="13"/>
      <c r="E1394" s="13"/>
      <c r="F1394" s="227"/>
      <c r="G1394" s="13"/>
      <c r="H1394" s="107"/>
      <c r="I1394" s="13"/>
      <c r="J1394" s="107"/>
      <c r="K1394" s="107"/>
      <c r="L1394" s="13"/>
    </row>
    <row r="1395" ht="15.75" customHeight="1">
      <c r="A1395" s="13"/>
      <c r="B1395" s="13"/>
      <c r="C1395" s="13"/>
      <c r="D1395" s="13"/>
      <c r="E1395" s="13"/>
      <c r="F1395" s="227"/>
      <c r="G1395" s="13"/>
      <c r="H1395" s="107"/>
      <c r="I1395" s="13"/>
      <c r="J1395" s="107"/>
      <c r="K1395" s="107"/>
      <c r="L1395" s="13"/>
    </row>
    <row r="1396" ht="15.75" customHeight="1">
      <c r="A1396" s="13"/>
      <c r="B1396" s="13"/>
      <c r="C1396" s="13"/>
      <c r="D1396" s="13"/>
      <c r="E1396" s="13"/>
      <c r="F1396" s="227"/>
      <c r="G1396" s="13"/>
      <c r="H1396" s="107"/>
      <c r="I1396" s="13"/>
      <c r="J1396" s="107"/>
      <c r="K1396" s="107"/>
      <c r="L1396" s="13"/>
    </row>
    <row r="1397" ht="15.75" customHeight="1">
      <c r="A1397" s="13"/>
      <c r="B1397" s="13"/>
      <c r="C1397" s="13"/>
      <c r="D1397" s="13"/>
      <c r="E1397" s="13"/>
      <c r="F1397" s="227"/>
      <c r="G1397" s="13"/>
      <c r="H1397" s="107"/>
      <c r="I1397" s="13"/>
      <c r="J1397" s="107"/>
      <c r="K1397" s="107"/>
      <c r="L1397" s="13"/>
    </row>
    <row r="1398" ht="15.75" customHeight="1">
      <c r="A1398" s="13"/>
      <c r="B1398" s="13"/>
      <c r="C1398" s="13"/>
      <c r="D1398" s="13"/>
      <c r="E1398" s="13"/>
      <c r="F1398" s="227"/>
      <c r="G1398" s="13"/>
      <c r="H1398" s="107"/>
      <c r="I1398" s="13"/>
      <c r="J1398" s="107"/>
      <c r="K1398" s="107"/>
      <c r="L1398" s="13"/>
    </row>
    <row r="1399" ht="15.75" customHeight="1">
      <c r="A1399" s="13"/>
      <c r="B1399" s="13"/>
      <c r="C1399" s="13"/>
      <c r="D1399" s="13"/>
      <c r="E1399" s="13"/>
      <c r="F1399" s="227"/>
      <c r="G1399" s="13"/>
      <c r="H1399" s="107"/>
      <c r="I1399" s="13"/>
      <c r="J1399" s="107"/>
      <c r="K1399" s="107"/>
      <c r="L1399" s="13"/>
    </row>
    <row r="1400" ht="15.75" customHeight="1">
      <c r="A1400" s="13"/>
      <c r="B1400" s="13"/>
      <c r="C1400" s="13"/>
      <c r="D1400" s="13"/>
      <c r="E1400" s="13"/>
      <c r="F1400" s="227"/>
      <c r="G1400" s="13"/>
      <c r="H1400" s="107"/>
      <c r="I1400" s="13"/>
      <c r="J1400" s="107"/>
      <c r="K1400" s="107"/>
      <c r="L1400" s="13"/>
    </row>
    <row r="1401" ht="15.75" customHeight="1">
      <c r="A1401" s="13"/>
      <c r="B1401" s="13"/>
      <c r="C1401" s="13"/>
      <c r="D1401" s="13"/>
      <c r="E1401" s="13"/>
      <c r="F1401" s="227"/>
      <c r="G1401" s="13"/>
      <c r="H1401" s="107"/>
      <c r="I1401" s="13"/>
      <c r="J1401" s="107"/>
      <c r="K1401" s="107"/>
      <c r="L1401" s="13"/>
    </row>
    <row r="1402" ht="15.75" customHeight="1">
      <c r="A1402" s="13"/>
      <c r="B1402" s="13"/>
      <c r="C1402" s="13"/>
      <c r="D1402" s="13"/>
      <c r="E1402" s="13"/>
      <c r="F1402" s="227"/>
      <c r="G1402" s="13"/>
      <c r="H1402" s="107"/>
      <c r="I1402" s="13"/>
      <c r="J1402" s="107"/>
      <c r="K1402" s="107"/>
      <c r="L1402" s="13"/>
    </row>
    <row r="1403" ht="15.75" customHeight="1">
      <c r="A1403" s="13"/>
      <c r="B1403" s="13"/>
      <c r="C1403" s="13"/>
      <c r="D1403" s="13"/>
      <c r="E1403" s="13"/>
      <c r="F1403" s="227"/>
      <c r="G1403" s="13"/>
      <c r="H1403" s="107"/>
      <c r="I1403" s="13"/>
      <c r="J1403" s="107"/>
      <c r="K1403" s="107"/>
      <c r="L1403" s="13"/>
    </row>
    <row r="1404" ht="15.75" customHeight="1">
      <c r="A1404" s="13"/>
      <c r="B1404" s="13"/>
      <c r="C1404" s="13"/>
      <c r="D1404" s="13"/>
      <c r="E1404" s="13"/>
      <c r="F1404" s="227"/>
      <c r="G1404" s="13"/>
      <c r="H1404" s="107"/>
      <c r="I1404" s="13"/>
      <c r="J1404" s="107"/>
      <c r="K1404" s="107"/>
      <c r="L1404" s="13"/>
    </row>
    <row r="1405" ht="15.75" customHeight="1">
      <c r="A1405" s="13"/>
      <c r="B1405" s="13"/>
      <c r="C1405" s="13"/>
      <c r="D1405" s="13"/>
      <c r="E1405" s="13"/>
      <c r="F1405" s="227"/>
      <c r="G1405" s="13"/>
      <c r="H1405" s="107"/>
      <c r="I1405" s="13"/>
      <c r="J1405" s="107"/>
      <c r="K1405" s="107"/>
      <c r="L1405" s="13"/>
    </row>
    <row r="1406" ht="15.75" customHeight="1">
      <c r="A1406" s="13"/>
      <c r="B1406" s="13"/>
      <c r="C1406" s="13"/>
      <c r="D1406" s="13"/>
      <c r="E1406" s="13"/>
      <c r="F1406" s="227"/>
      <c r="G1406" s="13"/>
      <c r="H1406" s="107"/>
      <c r="I1406" s="13"/>
      <c r="J1406" s="107"/>
      <c r="K1406" s="107"/>
      <c r="L1406" s="13"/>
    </row>
    <row r="1407" ht="15.75" customHeight="1">
      <c r="A1407" s="13"/>
      <c r="B1407" s="13"/>
      <c r="C1407" s="13"/>
      <c r="D1407" s="13"/>
      <c r="E1407" s="13"/>
      <c r="F1407" s="227"/>
      <c r="G1407" s="13"/>
      <c r="H1407" s="107"/>
      <c r="I1407" s="13"/>
      <c r="J1407" s="107"/>
      <c r="K1407" s="107"/>
      <c r="L1407" s="13"/>
    </row>
    <row r="1408" ht="15.75" customHeight="1">
      <c r="A1408" s="13"/>
      <c r="B1408" s="13"/>
      <c r="C1408" s="13"/>
      <c r="D1408" s="13"/>
      <c r="E1408" s="13"/>
      <c r="F1408" s="227"/>
      <c r="G1408" s="13"/>
      <c r="H1408" s="107"/>
      <c r="I1408" s="13"/>
      <c r="J1408" s="107"/>
      <c r="K1408" s="107"/>
      <c r="L1408" s="13"/>
    </row>
    <row r="1409" ht="15.75" customHeight="1">
      <c r="A1409" s="13"/>
      <c r="B1409" s="13"/>
      <c r="C1409" s="13"/>
      <c r="D1409" s="13"/>
      <c r="E1409" s="13"/>
      <c r="F1409" s="227"/>
      <c r="G1409" s="13"/>
      <c r="H1409" s="107"/>
      <c r="I1409" s="13"/>
      <c r="J1409" s="107"/>
      <c r="K1409" s="107"/>
      <c r="L1409" s="13"/>
    </row>
    <row r="1410" ht="15.75" customHeight="1">
      <c r="A1410" s="13"/>
      <c r="B1410" s="13"/>
      <c r="C1410" s="13"/>
      <c r="D1410" s="13"/>
      <c r="E1410" s="13"/>
      <c r="F1410" s="227"/>
      <c r="G1410" s="13"/>
      <c r="H1410" s="107"/>
      <c r="I1410" s="13"/>
      <c r="J1410" s="107"/>
      <c r="K1410" s="107"/>
      <c r="L1410" s="13"/>
    </row>
    <row r="1411" ht="15.75" customHeight="1">
      <c r="A1411" s="13"/>
      <c r="B1411" s="13"/>
      <c r="C1411" s="13"/>
      <c r="D1411" s="13"/>
      <c r="E1411" s="13"/>
      <c r="F1411" s="227"/>
      <c r="G1411" s="13"/>
      <c r="H1411" s="107"/>
      <c r="I1411" s="13"/>
      <c r="J1411" s="107"/>
      <c r="K1411" s="107"/>
      <c r="L1411" s="13"/>
    </row>
    <row r="1412" ht="15.75" customHeight="1">
      <c r="A1412" s="13"/>
      <c r="B1412" s="13"/>
      <c r="C1412" s="13"/>
      <c r="D1412" s="13"/>
      <c r="E1412" s="13"/>
      <c r="F1412" s="227"/>
      <c r="G1412" s="13"/>
      <c r="H1412" s="107"/>
      <c r="I1412" s="13"/>
      <c r="J1412" s="107"/>
      <c r="K1412" s="107"/>
      <c r="L1412" s="13"/>
    </row>
    <row r="1413" ht="15.75" customHeight="1">
      <c r="A1413" s="13"/>
      <c r="B1413" s="13"/>
      <c r="C1413" s="13"/>
      <c r="D1413" s="13"/>
      <c r="E1413" s="13"/>
      <c r="F1413" s="227"/>
      <c r="G1413" s="13"/>
      <c r="H1413" s="107"/>
      <c r="I1413" s="13"/>
      <c r="J1413" s="107"/>
      <c r="K1413" s="107"/>
      <c r="L1413" s="13"/>
    </row>
    <row r="1414" ht="15.75" customHeight="1">
      <c r="A1414" s="13"/>
      <c r="B1414" s="13"/>
      <c r="C1414" s="13"/>
      <c r="D1414" s="13"/>
      <c r="E1414" s="13"/>
      <c r="F1414" s="227"/>
      <c r="G1414" s="13"/>
      <c r="H1414" s="107"/>
      <c r="I1414" s="13"/>
      <c r="J1414" s="107"/>
      <c r="K1414" s="107"/>
      <c r="L1414" s="13"/>
    </row>
    <row r="1415" ht="15.75" customHeight="1">
      <c r="A1415" s="13"/>
      <c r="B1415" s="13"/>
      <c r="C1415" s="13"/>
      <c r="D1415" s="13"/>
      <c r="E1415" s="13"/>
      <c r="F1415" s="227"/>
      <c r="G1415" s="13"/>
      <c r="H1415" s="107"/>
      <c r="I1415" s="13"/>
      <c r="J1415" s="107"/>
      <c r="K1415" s="107"/>
      <c r="L1415" s="13"/>
    </row>
    <row r="1416" ht="15.75" customHeight="1">
      <c r="A1416" s="13"/>
      <c r="B1416" s="13"/>
      <c r="C1416" s="13"/>
      <c r="D1416" s="13"/>
      <c r="E1416" s="13"/>
      <c r="F1416" s="227"/>
      <c r="G1416" s="13"/>
      <c r="H1416" s="107"/>
      <c r="I1416" s="13"/>
      <c r="J1416" s="107"/>
      <c r="K1416" s="107"/>
      <c r="L1416" s="13"/>
    </row>
    <row r="1417" ht="15.75" customHeight="1">
      <c r="A1417" s="13"/>
      <c r="B1417" s="13"/>
      <c r="C1417" s="13"/>
      <c r="D1417" s="13"/>
      <c r="E1417" s="13"/>
      <c r="F1417" s="227"/>
      <c r="G1417" s="13"/>
      <c r="H1417" s="107"/>
      <c r="I1417" s="13"/>
      <c r="J1417" s="107"/>
      <c r="K1417" s="107"/>
      <c r="L1417" s="13"/>
    </row>
    <row r="1418" ht="15.75" customHeight="1">
      <c r="A1418" s="13"/>
      <c r="B1418" s="13"/>
      <c r="C1418" s="13"/>
      <c r="D1418" s="13"/>
      <c r="E1418" s="13"/>
      <c r="F1418" s="227"/>
      <c r="G1418" s="13"/>
      <c r="H1418" s="107"/>
      <c r="I1418" s="13"/>
      <c r="J1418" s="107"/>
      <c r="K1418" s="107"/>
      <c r="L1418" s="13"/>
    </row>
    <row r="1419" ht="15.75" customHeight="1">
      <c r="A1419" s="13"/>
      <c r="B1419" s="13"/>
      <c r="C1419" s="13"/>
      <c r="D1419" s="13"/>
      <c r="E1419" s="13"/>
      <c r="F1419" s="227"/>
      <c r="G1419" s="13"/>
      <c r="H1419" s="107"/>
      <c r="I1419" s="13"/>
      <c r="J1419" s="107"/>
      <c r="K1419" s="107"/>
      <c r="L1419" s="13"/>
    </row>
    <row r="1420" ht="15.75" customHeight="1">
      <c r="A1420" s="13"/>
      <c r="B1420" s="13"/>
      <c r="C1420" s="13"/>
      <c r="D1420" s="13"/>
      <c r="E1420" s="13"/>
      <c r="F1420" s="227"/>
      <c r="G1420" s="13"/>
      <c r="H1420" s="107"/>
      <c r="I1420" s="13"/>
      <c r="J1420" s="107"/>
      <c r="K1420" s="107"/>
      <c r="L1420" s="13"/>
    </row>
    <row r="1421" ht="15.75" customHeight="1">
      <c r="A1421" s="13"/>
      <c r="B1421" s="13"/>
      <c r="C1421" s="13"/>
      <c r="D1421" s="13"/>
      <c r="E1421" s="13"/>
      <c r="F1421" s="227"/>
      <c r="G1421" s="13"/>
      <c r="H1421" s="107"/>
      <c r="I1421" s="13"/>
      <c r="J1421" s="107"/>
      <c r="K1421" s="107"/>
      <c r="L1421" s="13"/>
    </row>
    <row r="1422" ht="15.75" customHeight="1">
      <c r="A1422" s="13"/>
      <c r="B1422" s="13"/>
      <c r="C1422" s="13"/>
      <c r="D1422" s="13"/>
      <c r="E1422" s="13"/>
      <c r="F1422" s="227"/>
      <c r="G1422" s="13"/>
      <c r="H1422" s="107"/>
      <c r="I1422" s="13"/>
      <c r="J1422" s="107"/>
      <c r="K1422" s="107"/>
      <c r="L1422" s="13"/>
    </row>
    <row r="1423" ht="15.75" customHeight="1">
      <c r="A1423" s="13"/>
      <c r="B1423" s="13"/>
      <c r="C1423" s="13"/>
      <c r="D1423" s="13"/>
      <c r="E1423" s="13"/>
      <c r="F1423" s="227"/>
      <c r="G1423" s="13"/>
      <c r="H1423" s="107"/>
      <c r="I1423" s="13"/>
      <c r="J1423" s="107"/>
      <c r="K1423" s="107"/>
      <c r="L1423" s="13"/>
    </row>
    <row r="1424" ht="15.75" customHeight="1">
      <c r="A1424" s="13"/>
      <c r="B1424" s="13"/>
      <c r="C1424" s="13"/>
      <c r="D1424" s="13"/>
      <c r="E1424" s="13"/>
      <c r="F1424" s="227"/>
      <c r="G1424" s="13"/>
      <c r="H1424" s="107"/>
      <c r="I1424" s="13"/>
      <c r="J1424" s="107"/>
      <c r="K1424" s="107"/>
      <c r="L1424" s="13"/>
    </row>
    <row r="1425" ht="15.75" customHeight="1">
      <c r="A1425" s="13"/>
      <c r="B1425" s="13"/>
      <c r="C1425" s="13"/>
      <c r="D1425" s="13"/>
      <c r="E1425" s="13"/>
      <c r="F1425" s="227"/>
      <c r="G1425" s="13"/>
      <c r="H1425" s="107"/>
      <c r="I1425" s="13"/>
      <c r="J1425" s="107"/>
      <c r="K1425" s="107"/>
      <c r="L1425" s="13"/>
    </row>
    <row r="1426" ht="15.75" customHeight="1">
      <c r="A1426" s="13"/>
      <c r="B1426" s="13"/>
      <c r="C1426" s="13"/>
      <c r="D1426" s="13"/>
      <c r="E1426" s="13"/>
      <c r="F1426" s="227"/>
      <c r="G1426" s="13"/>
      <c r="H1426" s="107"/>
      <c r="I1426" s="13"/>
      <c r="J1426" s="107"/>
      <c r="K1426" s="107"/>
      <c r="L1426" s="13"/>
    </row>
    <row r="1427" ht="15.75" customHeight="1">
      <c r="A1427" s="13"/>
      <c r="B1427" s="13"/>
      <c r="C1427" s="13"/>
      <c r="D1427" s="13"/>
      <c r="E1427" s="13"/>
      <c r="F1427" s="227"/>
      <c r="G1427" s="13"/>
      <c r="H1427" s="107"/>
      <c r="I1427" s="13"/>
      <c r="J1427" s="107"/>
      <c r="K1427" s="107"/>
      <c r="L1427" s="13"/>
    </row>
    <row r="1428" ht="15.75" customHeight="1">
      <c r="A1428" s="13"/>
      <c r="B1428" s="13"/>
      <c r="C1428" s="13"/>
      <c r="D1428" s="13"/>
      <c r="E1428" s="13"/>
      <c r="F1428" s="227"/>
      <c r="G1428" s="13"/>
      <c r="H1428" s="107"/>
      <c r="I1428" s="13"/>
      <c r="J1428" s="107"/>
      <c r="K1428" s="107"/>
      <c r="L1428" s="13"/>
    </row>
    <row r="1429" ht="15.75" customHeight="1">
      <c r="A1429" s="13"/>
      <c r="B1429" s="13"/>
      <c r="C1429" s="13"/>
      <c r="D1429" s="13"/>
      <c r="E1429" s="13"/>
      <c r="F1429" s="227"/>
      <c r="G1429" s="13"/>
      <c r="H1429" s="107"/>
      <c r="I1429" s="13"/>
      <c r="J1429" s="107"/>
      <c r="K1429" s="107"/>
      <c r="L1429" s="13"/>
    </row>
    <row r="1430" ht="15.75" customHeight="1">
      <c r="A1430" s="13"/>
      <c r="B1430" s="13"/>
      <c r="C1430" s="13"/>
      <c r="D1430" s="13"/>
      <c r="E1430" s="13"/>
      <c r="F1430" s="227"/>
      <c r="G1430" s="13"/>
      <c r="H1430" s="107"/>
      <c r="I1430" s="13"/>
      <c r="J1430" s="107"/>
      <c r="K1430" s="107"/>
      <c r="L1430" s="13"/>
    </row>
    <row r="1431" ht="15.75" customHeight="1">
      <c r="A1431" s="13"/>
      <c r="B1431" s="13"/>
      <c r="C1431" s="13"/>
      <c r="D1431" s="13"/>
      <c r="E1431" s="13"/>
      <c r="F1431" s="227"/>
      <c r="G1431" s="13"/>
      <c r="H1431" s="107"/>
      <c r="I1431" s="13"/>
      <c r="J1431" s="107"/>
      <c r="K1431" s="107"/>
      <c r="L1431" s="13"/>
    </row>
    <row r="1432" ht="15.75" customHeight="1">
      <c r="A1432" s="13"/>
      <c r="B1432" s="13"/>
      <c r="C1432" s="13"/>
      <c r="D1432" s="13"/>
      <c r="E1432" s="13"/>
      <c r="F1432" s="227"/>
      <c r="G1432" s="13"/>
      <c r="H1432" s="107"/>
      <c r="I1432" s="13"/>
      <c r="J1432" s="107"/>
      <c r="K1432" s="107"/>
      <c r="L1432" s="13"/>
    </row>
    <row r="1433" ht="15.75" customHeight="1">
      <c r="A1433" s="13"/>
      <c r="B1433" s="13"/>
      <c r="C1433" s="13"/>
      <c r="D1433" s="13"/>
      <c r="E1433" s="13"/>
      <c r="F1433" s="227"/>
      <c r="G1433" s="13"/>
      <c r="H1433" s="107"/>
      <c r="I1433" s="13"/>
      <c r="J1433" s="107"/>
      <c r="K1433" s="107"/>
      <c r="L1433" s="13"/>
    </row>
    <row r="1434" ht="15.75" customHeight="1">
      <c r="A1434" s="13"/>
      <c r="B1434" s="13"/>
      <c r="C1434" s="13"/>
      <c r="D1434" s="13"/>
      <c r="E1434" s="13"/>
      <c r="F1434" s="227"/>
      <c r="G1434" s="13"/>
      <c r="H1434" s="107"/>
      <c r="I1434" s="13"/>
      <c r="J1434" s="107"/>
      <c r="K1434" s="107"/>
      <c r="L1434" s="13"/>
    </row>
    <row r="1435" ht="15.75" customHeight="1">
      <c r="A1435" s="13"/>
      <c r="B1435" s="13"/>
      <c r="C1435" s="13"/>
      <c r="D1435" s="13"/>
      <c r="E1435" s="13"/>
      <c r="F1435" s="227"/>
      <c r="G1435" s="13"/>
      <c r="H1435" s="107"/>
      <c r="I1435" s="13"/>
      <c r="J1435" s="107"/>
      <c r="K1435" s="107"/>
      <c r="L1435" s="13"/>
    </row>
    <row r="1436" ht="15.75" customHeight="1">
      <c r="A1436" s="13"/>
      <c r="B1436" s="13"/>
      <c r="C1436" s="13"/>
      <c r="D1436" s="13"/>
      <c r="E1436" s="13"/>
      <c r="F1436" s="227"/>
      <c r="G1436" s="13"/>
      <c r="H1436" s="107"/>
      <c r="I1436" s="13"/>
      <c r="J1436" s="107"/>
      <c r="K1436" s="107"/>
      <c r="L1436" s="13"/>
    </row>
    <row r="1437" ht="15.75" customHeight="1">
      <c r="A1437" s="13"/>
      <c r="B1437" s="13"/>
      <c r="C1437" s="13"/>
      <c r="D1437" s="13"/>
      <c r="E1437" s="13"/>
      <c r="F1437" s="227"/>
      <c r="G1437" s="13"/>
      <c r="H1437" s="107"/>
      <c r="I1437" s="13"/>
      <c r="J1437" s="107"/>
      <c r="K1437" s="107"/>
      <c r="L1437" s="13"/>
    </row>
    <row r="1438" ht="15.75" customHeight="1">
      <c r="A1438" s="13"/>
      <c r="B1438" s="13"/>
      <c r="C1438" s="13"/>
      <c r="D1438" s="13"/>
      <c r="E1438" s="13"/>
      <c r="F1438" s="227"/>
      <c r="G1438" s="13"/>
      <c r="H1438" s="107"/>
      <c r="I1438" s="13"/>
      <c r="J1438" s="107"/>
      <c r="K1438" s="107"/>
      <c r="L1438" s="13"/>
    </row>
    <row r="1439" ht="15.75" customHeight="1">
      <c r="A1439" s="13"/>
      <c r="B1439" s="13"/>
      <c r="C1439" s="13"/>
      <c r="D1439" s="13"/>
      <c r="E1439" s="13"/>
      <c r="F1439" s="227"/>
      <c r="G1439" s="13"/>
      <c r="H1439" s="107"/>
      <c r="I1439" s="13"/>
      <c r="J1439" s="107"/>
      <c r="K1439" s="107"/>
      <c r="L1439" s="13"/>
    </row>
    <row r="1440" ht="15.75" customHeight="1">
      <c r="A1440" s="13"/>
      <c r="B1440" s="13"/>
      <c r="C1440" s="13"/>
      <c r="D1440" s="13"/>
      <c r="E1440" s="13"/>
      <c r="F1440" s="227"/>
      <c r="G1440" s="13"/>
      <c r="H1440" s="107"/>
      <c r="I1440" s="13"/>
      <c r="J1440" s="107"/>
      <c r="K1440" s="107"/>
      <c r="L1440" s="13"/>
    </row>
    <row r="1441" ht="15.75" customHeight="1">
      <c r="A1441" s="13"/>
      <c r="B1441" s="13"/>
      <c r="C1441" s="13"/>
      <c r="D1441" s="13"/>
      <c r="E1441" s="13"/>
      <c r="F1441" s="227"/>
      <c r="G1441" s="13"/>
      <c r="H1441" s="107"/>
      <c r="I1441" s="13"/>
      <c r="J1441" s="107"/>
      <c r="K1441" s="107"/>
      <c r="L1441" s="13"/>
    </row>
    <row r="1442" ht="15.75" customHeight="1">
      <c r="A1442" s="13"/>
      <c r="B1442" s="13"/>
      <c r="C1442" s="13"/>
      <c r="D1442" s="13"/>
      <c r="E1442" s="13"/>
      <c r="F1442" s="227"/>
      <c r="G1442" s="13"/>
      <c r="H1442" s="107"/>
      <c r="I1442" s="13"/>
      <c r="J1442" s="107"/>
      <c r="K1442" s="107"/>
      <c r="L1442" s="13"/>
    </row>
    <row r="1443" ht="15.75" customHeight="1">
      <c r="A1443" s="13"/>
      <c r="B1443" s="13"/>
      <c r="C1443" s="13"/>
      <c r="D1443" s="13"/>
      <c r="E1443" s="13"/>
      <c r="F1443" s="227"/>
      <c r="G1443" s="13"/>
      <c r="H1443" s="107"/>
      <c r="I1443" s="13"/>
      <c r="J1443" s="107"/>
      <c r="K1443" s="107"/>
      <c r="L1443" s="13"/>
    </row>
    <row r="1444" ht="15.75" customHeight="1">
      <c r="A1444" s="13"/>
      <c r="B1444" s="13"/>
      <c r="C1444" s="13"/>
      <c r="D1444" s="13"/>
      <c r="E1444" s="13"/>
      <c r="F1444" s="227"/>
      <c r="G1444" s="13"/>
      <c r="H1444" s="107"/>
      <c r="I1444" s="13"/>
      <c r="J1444" s="107"/>
      <c r="K1444" s="107"/>
      <c r="L1444" s="13"/>
    </row>
    <row r="1445" ht="15.75" customHeight="1">
      <c r="A1445" s="13"/>
      <c r="B1445" s="13"/>
      <c r="C1445" s="13"/>
      <c r="D1445" s="13"/>
      <c r="E1445" s="13"/>
      <c r="F1445" s="227"/>
      <c r="G1445" s="13"/>
      <c r="H1445" s="107"/>
      <c r="I1445" s="13"/>
      <c r="J1445" s="107"/>
      <c r="K1445" s="107"/>
      <c r="L1445" s="13"/>
    </row>
    <row r="1446" ht="15.75" customHeight="1">
      <c r="A1446" s="13"/>
      <c r="B1446" s="13"/>
      <c r="C1446" s="13"/>
      <c r="D1446" s="13"/>
      <c r="E1446" s="13"/>
      <c r="F1446" s="227"/>
      <c r="G1446" s="13"/>
      <c r="H1446" s="107"/>
      <c r="I1446" s="13"/>
      <c r="J1446" s="107"/>
      <c r="K1446" s="107"/>
      <c r="L1446" s="13"/>
    </row>
    <row r="1447" ht="15.75" customHeight="1">
      <c r="A1447" s="13"/>
      <c r="B1447" s="13"/>
      <c r="C1447" s="13"/>
      <c r="D1447" s="13"/>
      <c r="E1447" s="13"/>
      <c r="F1447" s="227"/>
      <c r="G1447" s="13"/>
      <c r="H1447" s="107"/>
      <c r="I1447" s="13"/>
      <c r="J1447" s="107"/>
      <c r="K1447" s="107"/>
      <c r="L1447" s="13"/>
    </row>
    <row r="1448" ht="15.75" customHeight="1">
      <c r="A1448" s="13"/>
      <c r="B1448" s="13"/>
      <c r="C1448" s="13"/>
      <c r="D1448" s="13"/>
      <c r="E1448" s="13"/>
      <c r="F1448" s="227"/>
      <c r="G1448" s="13"/>
      <c r="H1448" s="107"/>
      <c r="I1448" s="13"/>
      <c r="J1448" s="107"/>
      <c r="K1448" s="107"/>
      <c r="L1448" s="13"/>
    </row>
    <row r="1449" ht="15.75" customHeight="1">
      <c r="A1449" s="13"/>
      <c r="B1449" s="13"/>
      <c r="C1449" s="13"/>
      <c r="D1449" s="13"/>
      <c r="E1449" s="13"/>
      <c r="F1449" s="227"/>
      <c r="G1449" s="13"/>
      <c r="H1449" s="107"/>
      <c r="I1449" s="13"/>
      <c r="J1449" s="107"/>
      <c r="K1449" s="107"/>
      <c r="L1449" s="13"/>
    </row>
    <row r="1450" ht="15.75" customHeight="1">
      <c r="A1450" s="13"/>
      <c r="B1450" s="13"/>
      <c r="C1450" s="13"/>
      <c r="D1450" s="13"/>
      <c r="E1450" s="13"/>
      <c r="F1450" s="227"/>
      <c r="G1450" s="13"/>
      <c r="H1450" s="107"/>
      <c r="I1450" s="13"/>
      <c r="J1450" s="107"/>
      <c r="K1450" s="107"/>
      <c r="L1450" s="13"/>
    </row>
    <row r="1451" ht="15.75" customHeight="1">
      <c r="A1451" s="13"/>
      <c r="B1451" s="13"/>
      <c r="C1451" s="13"/>
      <c r="D1451" s="13"/>
      <c r="E1451" s="13"/>
      <c r="F1451" s="227"/>
      <c r="G1451" s="13"/>
      <c r="H1451" s="107"/>
      <c r="I1451" s="13"/>
      <c r="J1451" s="107"/>
      <c r="K1451" s="107"/>
      <c r="L1451" s="13"/>
    </row>
    <row r="1452" ht="15.75" customHeight="1">
      <c r="A1452" s="13"/>
      <c r="B1452" s="13"/>
      <c r="C1452" s="13"/>
      <c r="D1452" s="13"/>
      <c r="E1452" s="13"/>
      <c r="F1452" s="227"/>
      <c r="G1452" s="13"/>
      <c r="H1452" s="107"/>
      <c r="I1452" s="13"/>
      <c r="J1452" s="107"/>
      <c r="K1452" s="107"/>
      <c r="L1452" s="13"/>
    </row>
    <row r="1453" ht="15.75" customHeight="1">
      <c r="A1453" s="13"/>
      <c r="B1453" s="13"/>
      <c r="C1453" s="13"/>
      <c r="D1453" s="13"/>
      <c r="E1453" s="13"/>
      <c r="F1453" s="227"/>
      <c r="G1453" s="13"/>
      <c r="H1453" s="107"/>
      <c r="I1453" s="13"/>
      <c r="J1453" s="107"/>
      <c r="K1453" s="107"/>
      <c r="L1453" s="13"/>
    </row>
    <row r="1454" ht="15.75" customHeight="1">
      <c r="A1454" s="13"/>
      <c r="B1454" s="13"/>
      <c r="C1454" s="13"/>
      <c r="D1454" s="13"/>
      <c r="E1454" s="13"/>
      <c r="F1454" s="227"/>
      <c r="G1454" s="13"/>
      <c r="H1454" s="107"/>
      <c r="I1454" s="13"/>
      <c r="J1454" s="107"/>
      <c r="K1454" s="107"/>
      <c r="L1454" s="13"/>
    </row>
    <row r="1455" ht="15.75" customHeight="1">
      <c r="A1455" s="13"/>
      <c r="B1455" s="13"/>
      <c r="C1455" s="13"/>
      <c r="D1455" s="13"/>
      <c r="E1455" s="13"/>
      <c r="F1455" s="227"/>
      <c r="G1455" s="13"/>
      <c r="H1455" s="107"/>
      <c r="I1455" s="13"/>
      <c r="J1455" s="107"/>
      <c r="K1455" s="107"/>
      <c r="L1455" s="13"/>
    </row>
    <row r="1456" ht="15.75" customHeight="1">
      <c r="A1456" s="13"/>
      <c r="B1456" s="13"/>
      <c r="C1456" s="13"/>
      <c r="D1456" s="13"/>
      <c r="E1456" s="13"/>
      <c r="F1456" s="227"/>
      <c r="G1456" s="13"/>
      <c r="H1456" s="107"/>
      <c r="I1456" s="13"/>
      <c r="J1456" s="107"/>
      <c r="K1456" s="107"/>
      <c r="L1456" s="13"/>
    </row>
    <row r="1457" ht="15.75" customHeight="1">
      <c r="A1457" s="13"/>
      <c r="B1457" s="13"/>
      <c r="C1457" s="13"/>
      <c r="D1457" s="13"/>
      <c r="E1457" s="13"/>
      <c r="F1457" s="227"/>
      <c r="G1457" s="13"/>
      <c r="H1457" s="107"/>
      <c r="I1457" s="13"/>
      <c r="J1457" s="107"/>
      <c r="K1457" s="107"/>
      <c r="L1457" s="13"/>
    </row>
    <row r="1458" ht="15.75" customHeight="1">
      <c r="A1458" s="13"/>
      <c r="B1458" s="13"/>
      <c r="C1458" s="13"/>
      <c r="D1458" s="13"/>
      <c r="E1458" s="13"/>
      <c r="F1458" s="227"/>
      <c r="G1458" s="13"/>
      <c r="H1458" s="107"/>
      <c r="I1458" s="13"/>
      <c r="J1458" s="107"/>
      <c r="K1458" s="107"/>
      <c r="L1458" s="13"/>
    </row>
    <row r="1459" ht="15.75" customHeight="1">
      <c r="A1459" s="13"/>
      <c r="B1459" s="13"/>
      <c r="C1459" s="13"/>
      <c r="D1459" s="13"/>
      <c r="E1459" s="13"/>
      <c r="F1459" s="227"/>
      <c r="G1459" s="13"/>
      <c r="H1459" s="107"/>
      <c r="I1459" s="13"/>
      <c r="J1459" s="107"/>
      <c r="K1459" s="107"/>
      <c r="L1459" s="13"/>
    </row>
    <row r="1460" ht="15.75" customHeight="1">
      <c r="A1460" s="13"/>
      <c r="B1460" s="13"/>
      <c r="C1460" s="13"/>
      <c r="D1460" s="13"/>
      <c r="E1460" s="13"/>
      <c r="F1460" s="227"/>
      <c r="G1460" s="13"/>
      <c r="H1460" s="107"/>
      <c r="I1460" s="13"/>
      <c r="J1460" s="107"/>
      <c r="K1460" s="107"/>
      <c r="L1460" s="13"/>
    </row>
    <row r="1461" ht="15.75" customHeight="1">
      <c r="A1461" s="13"/>
      <c r="B1461" s="13"/>
      <c r="C1461" s="13"/>
      <c r="D1461" s="13"/>
      <c r="E1461" s="13"/>
      <c r="F1461" s="227"/>
      <c r="G1461" s="13"/>
      <c r="H1461" s="107"/>
      <c r="I1461" s="13"/>
      <c r="J1461" s="107"/>
      <c r="K1461" s="107"/>
      <c r="L1461" s="13"/>
    </row>
    <row r="1462" ht="15.75" customHeight="1">
      <c r="A1462" s="13"/>
      <c r="B1462" s="13"/>
      <c r="C1462" s="13"/>
      <c r="D1462" s="13"/>
      <c r="E1462" s="13"/>
      <c r="F1462" s="227"/>
      <c r="G1462" s="13"/>
      <c r="H1462" s="107"/>
      <c r="I1462" s="13"/>
      <c r="J1462" s="107"/>
      <c r="K1462" s="107"/>
      <c r="L1462" s="13"/>
    </row>
    <row r="1463" ht="15.75" customHeight="1">
      <c r="A1463" s="13"/>
      <c r="B1463" s="13"/>
      <c r="C1463" s="13"/>
      <c r="D1463" s="13"/>
      <c r="E1463" s="13"/>
      <c r="F1463" s="227"/>
      <c r="G1463" s="13"/>
      <c r="H1463" s="107"/>
      <c r="I1463" s="13"/>
      <c r="J1463" s="107"/>
      <c r="K1463" s="107"/>
      <c r="L1463" s="13"/>
    </row>
    <row r="1464" ht="15.75" customHeight="1">
      <c r="A1464" s="13"/>
      <c r="B1464" s="13"/>
      <c r="C1464" s="13"/>
      <c r="D1464" s="13"/>
      <c r="E1464" s="13"/>
      <c r="F1464" s="227"/>
      <c r="G1464" s="13"/>
      <c r="H1464" s="107"/>
      <c r="I1464" s="13"/>
      <c r="J1464" s="107"/>
      <c r="K1464" s="107"/>
      <c r="L1464" s="13"/>
    </row>
    <row r="1465" ht="15.75" customHeight="1">
      <c r="A1465" s="13"/>
      <c r="B1465" s="13"/>
      <c r="C1465" s="13"/>
      <c r="D1465" s="13"/>
      <c r="E1465" s="13"/>
      <c r="F1465" s="227"/>
      <c r="G1465" s="13"/>
      <c r="H1465" s="107"/>
      <c r="I1465" s="13"/>
      <c r="J1465" s="107"/>
      <c r="K1465" s="107"/>
      <c r="L1465" s="13"/>
    </row>
    <row r="1466" ht="15.75" customHeight="1">
      <c r="A1466" s="13"/>
      <c r="B1466" s="13"/>
      <c r="C1466" s="13"/>
      <c r="D1466" s="13"/>
      <c r="E1466" s="13"/>
      <c r="F1466" s="227"/>
      <c r="G1466" s="13"/>
      <c r="H1466" s="107"/>
      <c r="I1466" s="13"/>
      <c r="J1466" s="107"/>
      <c r="K1466" s="107"/>
      <c r="L1466" s="13"/>
    </row>
    <row r="1467" ht="15.75" customHeight="1">
      <c r="A1467" s="13"/>
      <c r="B1467" s="13"/>
      <c r="C1467" s="13"/>
      <c r="D1467" s="13"/>
      <c r="E1467" s="13"/>
      <c r="F1467" s="227"/>
      <c r="G1467" s="13"/>
      <c r="H1467" s="107"/>
      <c r="I1467" s="13"/>
      <c r="J1467" s="107"/>
      <c r="K1467" s="107"/>
      <c r="L1467" s="13"/>
    </row>
    <row r="1468" ht="15.75" customHeight="1">
      <c r="A1468" s="13"/>
      <c r="B1468" s="13"/>
      <c r="C1468" s="13"/>
      <c r="D1468" s="13"/>
      <c r="E1468" s="13"/>
      <c r="F1468" s="227"/>
      <c r="G1468" s="13"/>
      <c r="H1468" s="107"/>
      <c r="I1468" s="13"/>
      <c r="J1468" s="107"/>
      <c r="K1468" s="107"/>
      <c r="L1468" s="13"/>
    </row>
    <row r="1469" ht="15.75" customHeight="1">
      <c r="A1469" s="13"/>
      <c r="B1469" s="13"/>
      <c r="C1469" s="13"/>
      <c r="D1469" s="13"/>
      <c r="E1469" s="13"/>
      <c r="F1469" s="227"/>
      <c r="G1469" s="13"/>
      <c r="H1469" s="107"/>
      <c r="I1469" s="13"/>
      <c r="J1469" s="107"/>
      <c r="K1469" s="107"/>
      <c r="L1469" s="13"/>
    </row>
    <row r="1470" ht="15.75" customHeight="1">
      <c r="A1470" s="13"/>
      <c r="B1470" s="13"/>
      <c r="C1470" s="13"/>
      <c r="D1470" s="13"/>
      <c r="E1470" s="13"/>
      <c r="F1470" s="227"/>
      <c r="G1470" s="13"/>
      <c r="H1470" s="107"/>
      <c r="I1470" s="13"/>
      <c r="J1470" s="107"/>
      <c r="K1470" s="107"/>
      <c r="L1470" s="13"/>
    </row>
    <row r="1471" ht="15.75" customHeight="1">
      <c r="A1471" s="13"/>
      <c r="B1471" s="13"/>
      <c r="C1471" s="13"/>
      <c r="D1471" s="13"/>
      <c r="E1471" s="13"/>
      <c r="F1471" s="227"/>
      <c r="G1471" s="13"/>
      <c r="H1471" s="107"/>
      <c r="I1471" s="13"/>
      <c r="J1471" s="107"/>
      <c r="K1471" s="107"/>
      <c r="L1471" s="13"/>
    </row>
    <row r="1472" ht="15.75" customHeight="1">
      <c r="A1472" s="13"/>
      <c r="B1472" s="13"/>
      <c r="C1472" s="13"/>
      <c r="D1472" s="13"/>
      <c r="E1472" s="13"/>
      <c r="F1472" s="227"/>
      <c r="G1472" s="13"/>
      <c r="H1472" s="107"/>
      <c r="I1472" s="13"/>
      <c r="J1472" s="107"/>
      <c r="K1472" s="107"/>
      <c r="L1472" s="13"/>
    </row>
    <row r="1473" ht="15.75" customHeight="1">
      <c r="A1473" s="13"/>
      <c r="B1473" s="13"/>
      <c r="C1473" s="13"/>
      <c r="D1473" s="13"/>
      <c r="E1473" s="13"/>
      <c r="F1473" s="227"/>
      <c r="G1473" s="13"/>
      <c r="H1473" s="107"/>
      <c r="I1473" s="13"/>
      <c r="J1473" s="107"/>
      <c r="K1473" s="107"/>
      <c r="L1473" s="13"/>
    </row>
    <row r="1474" ht="15.75" customHeight="1">
      <c r="A1474" s="13"/>
      <c r="B1474" s="13"/>
      <c r="C1474" s="13"/>
      <c r="D1474" s="13"/>
      <c r="E1474" s="13"/>
      <c r="F1474" s="227"/>
      <c r="G1474" s="13"/>
      <c r="H1474" s="107"/>
      <c r="I1474" s="13"/>
      <c r="J1474" s="107"/>
      <c r="K1474" s="107"/>
      <c r="L1474" s="13"/>
    </row>
    <row r="1475" ht="15.75" customHeight="1">
      <c r="A1475" s="13"/>
      <c r="B1475" s="13"/>
      <c r="C1475" s="13"/>
      <c r="D1475" s="13"/>
      <c r="E1475" s="13"/>
      <c r="F1475" s="227"/>
      <c r="G1475" s="13"/>
      <c r="H1475" s="107"/>
      <c r="I1475" s="13"/>
      <c r="J1475" s="107"/>
      <c r="K1475" s="107"/>
      <c r="L1475" s="13"/>
    </row>
    <row r="1476" ht="15.75" customHeight="1">
      <c r="A1476" s="13"/>
      <c r="B1476" s="13"/>
      <c r="C1476" s="13"/>
      <c r="D1476" s="13"/>
      <c r="E1476" s="13"/>
      <c r="F1476" s="227"/>
      <c r="G1476" s="13"/>
      <c r="H1476" s="107"/>
      <c r="I1476" s="13"/>
      <c r="J1476" s="107"/>
      <c r="K1476" s="107"/>
      <c r="L1476" s="13"/>
    </row>
    <row r="1477" ht="15.75" customHeight="1">
      <c r="A1477" s="13"/>
      <c r="B1477" s="13"/>
      <c r="C1477" s="13"/>
      <c r="D1477" s="13"/>
      <c r="E1477" s="13"/>
      <c r="F1477" s="227"/>
      <c r="G1477" s="13"/>
      <c r="H1477" s="107"/>
      <c r="I1477" s="13"/>
      <c r="J1477" s="107"/>
      <c r="K1477" s="107"/>
      <c r="L1477" s="13"/>
    </row>
    <row r="1478" ht="15.75" customHeight="1">
      <c r="A1478" s="13"/>
      <c r="B1478" s="13"/>
      <c r="C1478" s="13"/>
      <c r="D1478" s="13"/>
      <c r="E1478" s="13"/>
      <c r="F1478" s="227"/>
      <c r="G1478" s="13"/>
      <c r="H1478" s="107"/>
      <c r="I1478" s="13"/>
      <c r="J1478" s="107"/>
      <c r="K1478" s="107"/>
      <c r="L1478" s="13"/>
    </row>
    <row r="1479" ht="15.75" customHeight="1">
      <c r="A1479" s="13"/>
      <c r="B1479" s="13"/>
      <c r="C1479" s="13"/>
      <c r="D1479" s="13"/>
      <c r="E1479" s="13"/>
      <c r="F1479" s="227"/>
      <c r="G1479" s="13"/>
      <c r="H1479" s="107"/>
      <c r="I1479" s="13"/>
      <c r="J1479" s="107"/>
      <c r="K1479" s="107"/>
      <c r="L1479" s="13"/>
    </row>
    <row r="1480" ht="15.75" customHeight="1">
      <c r="A1480" s="13"/>
      <c r="B1480" s="13"/>
      <c r="C1480" s="13"/>
      <c r="D1480" s="13"/>
      <c r="E1480" s="13"/>
      <c r="F1480" s="227"/>
      <c r="G1480" s="13"/>
      <c r="H1480" s="107"/>
      <c r="I1480" s="13"/>
      <c r="J1480" s="107"/>
      <c r="K1480" s="107"/>
      <c r="L1480" s="13"/>
    </row>
    <row r="1481" ht="15.75" customHeight="1">
      <c r="A1481" s="13"/>
      <c r="B1481" s="13"/>
      <c r="C1481" s="13"/>
      <c r="D1481" s="13"/>
      <c r="E1481" s="13"/>
      <c r="F1481" s="227"/>
      <c r="G1481" s="13"/>
      <c r="H1481" s="107"/>
      <c r="I1481" s="13"/>
      <c r="J1481" s="107"/>
      <c r="K1481" s="107"/>
      <c r="L1481" s="13"/>
    </row>
    <row r="1482" ht="15.75" customHeight="1">
      <c r="A1482" s="13"/>
      <c r="B1482" s="13"/>
      <c r="C1482" s="13"/>
      <c r="D1482" s="13"/>
      <c r="E1482" s="13"/>
      <c r="F1482" s="227"/>
      <c r="G1482" s="13"/>
      <c r="H1482" s="107"/>
      <c r="I1482" s="13"/>
      <c r="J1482" s="107"/>
      <c r="K1482" s="107"/>
      <c r="L1482" s="13"/>
    </row>
    <row r="1483" ht="15.75" customHeight="1">
      <c r="A1483" s="13"/>
      <c r="B1483" s="13"/>
      <c r="C1483" s="13"/>
      <c r="D1483" s="13"/>
      <c r="E1483" s="13"/>
      <c r="F1483" s="227"/>
      <c r="G1483" s="13"/>
      <c r="H1483" s="107"/>
      <c r="I1483" s="13"/>
      <c r="J1483" s="107"/>
      <c r="K1483" s="107"/>
      <c r="L1483" s="13"/>
    </row>
    <row r="1484" ht="15.75" customHeight="1">
      <c r="A1484" s="13"/>
      <c r="B1484" s="13"/>
      <c r="C1484" s="13"/>
      <c r="D1484" s="13"/>
      <c r="E1484" s="13"/>
      <c r="F1484" s="227"/>
      <c r="G1484" s="13"/>
      <c r="H1484" s="107"/>
      <c r="I1484" s="13"/>
      <c r="J1484" s="107"/>
      <c r="K1484" s="107"/>
      <c r="L1484" s="13"/>
    </row>
    <row r="1485" ht="15.75" customHeight="1">
      <c r="A1485" s="13"/>
      <c r="B1485" s="13"/>
      <c r="C1485" s="13"/>
      <c r="D1485" s="13"/>
      <c r="E1485" s="13"/>
      <c r="F1485" s="227"/>
      <c r="G1485" s="13"/>
      <c r="H1485" s="107"/>
      <c r="I1485" s="13"/>
      <c r="J1485" s="107"/>
      <c r="K1485" s="107"/>
      <c r="L1485" s="13"/>
    </row>
    <row r="1486" ht="15.75" customHeight="1">
      <c r="A1486" s="13"/>
      <c r="B1486" s="13"/>
      <c r="C1486" s="13"/>
      <c r="D1486" s="13"/>
      <c r="E1486" s="13"/>
      <c r="F1486" s="227"/>
      <c r="G1486" s="13"/>
      <c r="H1486" s="107"/>
      <c r="I1486" s="13"/>
      <c r="J1486" s="107"/>
      <c r="K1486" s="107"/>
      <c r="L1486" s="13"/>
    </row>
    <row r="1487" ht="15.75" customHeight="1">
      <c r="A1487" s="13"/>
      <c r="B1487" s="13"/>
      <c r="C1487" s="13"/>
      <c r="D1487" s="13"/>
      <c r="E1487" s="13"/>
      <c r="F1487" s="227"/>
      <c r="G1487" s="13"/>
      <c r="H1487" s="107"/>
      <c r="I1487" s="13"/>
      <c r="J1487" s="107"/>
      <c r="K1487" s="107"/>
      <c r="L1487" s="13"/>
    </row>
    <row r="1488" ht="15.75" customHeight="1">
      <c r="A1488" s="13"/>
      <c r="B1488" s="13"/>
      <c r="C1488" s="13"/>
      <c r="D1488" s="13"/>
      <c r="E1488" s="13"/>
      <c r="F1488" s="227"/>
      <c r="G1488" s="13"/>
      <c r="H1488" s="107"/>
      <c r="I1488" s="13"/>
      <c r="J1488" s="107"/>
      <c r="K1488" s="107"/>
      <c r="L1488" s="13"/>
    </row>
    <row r="1489" ht="15.75" customHeight="1">
      <c r="A1489" s="13"/>
      <c r="B1489" s="13"/>
      <c r="C1489" s="13"/>
      <c r="D1489" s="13"/>
      <c r="E1489" s="13"/>
      <c r="F1489" s="227"/>
      <c r="G1489" s="13"/>
      <c r="H1489" s="107"/>
      <c r="I1489" s="13"/>
      <c r="J1489" s="107"/>
      <c r="K1489" s="107"/>
      <c r="L1489" s="13"/>
    </row>
    <row r="1490" ht="15.75" customHeight="1">
      <c r="A1490" s="13"/>
      <c r="B1490" s="13"/>
      <c r="C1490" s="13"/>
      <c r="D1490" s="13"/>
      <c r="E1490" s="13"/>
      <c r="F1490" s="227"/>
      <c r="G1490" s="13"/>
      <c r="H1490" s="107"/>
      <c r="I1490" s="13"/>
      <c r="J1490" s="107"/>
      <c r="K1490" s="107"/>
      <c r="L1490" s="13"/>
    </row>
    <row r="1491" ht="15.75" customHeight="1">
      <c r="A1491" s="13"/>
      <c r="B1491" s="13"/>
      <c r="C1491" s="13"/>
      <c r="D1491" s="13"/>
      <c r="E1491" s="13"/>
      <c r="F1491" s="227"/>
      <c r="G1491" s="13"/>
      <c r="H1491" s="107"/>
      <c r="I1491" s="13"/>
      <c r="J1491" s="107"/>
      <c r="K1491" s="107"/>
      <c r="L1491" s="13"/>
    </row>
    <row r="1492" ht="15.75" customHeight="1">
      <c r="A1492" s="13"/>
      <c r="B1492" s="13"/>
      <c r="C1492" s="13"/>
      <c r="D1492" s="13"/>
      <c r="E1492" s="13"/>
      <c r="F1492" s="227"/>
      <c r="G1492" s="13"/>
      <c r="H1492" s="107"/>
      <c r="I1492" s="13"/>
      <c r="J1492" s="107"/>
      <c r="K1492" s="107"/>
      <c r="L1492" s="13"/>
    </row>
    <row r="1493" ht="15.75" customHeight="1">
      <c r="A1493" s="13"/>
      <c r="B1493" s="13"/>
      <c r="C1493" s="13"/>
      <c r="D1493" s="13"/>
      <c r="E1493" s="13"/>
      <c r="F1493" s="227"/>
      <c r="G1493" s="13"/>
      <c r="H1493" s="107"/>
      <c r="I1493" s="13"/>
      <c r="J1493" s="107"/>
      <c r="K1493" s="107"/>
      <c r="L1493" s="13"/>
    </row>
    <row r="1494" ht="15.75" customHeight="1">
      <c r="A1494" s="13"/>
      <c r="B1494" s="13"/>
      <c r="C1494" s="13"/>
      <c r="D1494" s="13"/>
      <c r="E1494" s="13"/>
      <c r="F1494" s="227"/>
      <c r="G1494" s="13"/>
      <c r="H1494" s="107"/>
      <c r="I1494" s="13"/>
      <c r="J1494" s="107"/>
      <c r="K1494" s="107"/>
      <c r="L1494" s="13"/>
    </row>
    <row r="1495" ht="15.75" customHeight="1">
      <c r="A1495" s="13"/>
      <c r="B1495" s="13"/>
      <c r="C1495" s="13"/>
      <c r="D1495" s="13"/>
      <c r="E1495" s="13"/>
      <c r="F1495" s="227"/>
      <c r="G1495" s="13"/>
      <c r="H1495" s="107"/>
      <c r="I1495" s="13"/>
      <c r="J1495" s="107"/>
      <c r="K1495" s="107"/>
      <c r="L1495" s="13"/>
    </row>
    <row r="1496" ht="15.75" customHeight="1">
      <c r="A1496" s="13"/>
      <c r="B1496" s="13"/>
      <c r="C1496" s="13"/>
      <c r="D1496" s="13"/>
      <c r="E1496" s="13"/>
      <c r="F1496" s="227"/>
      <c r="G1496" s="13"/>
      <c r="H1496" s="107"/>
      <c r="I1496" s="13"/>
      <c r="J1496" s="107"/>
      <c r="K1496" s="107"/>
      <c r="L1496" s="13"/>
    </row>
    <row r="1497" ht="15.75" customHeight="1">
      <c r="A1497" s="13"/>
      <c r="B1497" s="13"/>
      <c r="C1497" s="13"/>
      <c r="D1497" s="13"/>
      <c r="E1497" s="13"/>
      <c r="F1497" s="227"/>
      <c r="G1497" s="13"/>
      <c r="H1497" s="107"/>
      <c r="I1497" s="13"/>
      <c r="J1497" s="107"/>
      <c r="K1497" s="107"/>
      <c r="L1497" s="13"/>
    </row>
    <row r="1498" ht="15.75" customHeight="1">
      <c r="A1498" s="13"/>
      <c r="B1498" s="13"/>
      <c r="C1498" s="13"/>
      <c r="D1498" s="13"/>
      <c r="E1498" s="13"/>
      <c r="F1498" s="227"/>
      <c r="G1498" s="13"/>
      <c r="H1498" s="107"/>
      <c r="I1498" s="13"/>
      <c r="J1498" s="107"/>
      <c r="K1498" s="107"/>
      <c r="L1498" s="13"/>
    </row>
    <row r="1499" ht="15.75" customHeight="1">
      <c r="A1499" s="13"/>
      <c r="B1499" s="13"/>
      <c r="C1499" s="13"/>
      <c r="D1499" s="13"/>
      <c r="E1499" s="13"/>
      <c r="F1499" s="227"/>
      <c r="G1499" s="13"/>
      <c r="H1499" s="107"/>
      <c r="I1499" s="13"/>
      <c r="J1499" s="107"/>
      <c r="K1499" s="107"/>
      <c r="L1499" s="13"/>
    </row>
    <row r="1500" ht="15.75" customHeight="1">
      <c r="A1500" s="13"/>
      <c r="B1500" s="13"/>
      <c r="C1500" s="13"/>
      <c r="D1500" s="13"/>
      <c r="E1500" s="13"/>
      <c r="F1500" s="227"/>
      <c r="G1500" s="13"/>
      <c r="H1500" s="107"/>
      <c r="I1500" s="13"/>
      <c r="J1500" s="107"/>
      <c r="K1500" s="107"/>
      <c r="L1500" s="13"/>
    </row>
    <row r="1501" ht="15.75" customHeight="1">
      <c r="A1501" s="13"/>
      <c r="B1501" s="13"/>
      <c r="C1501" s="13"/>
      <c r="D1501" s="13"/>
      <c r="E1501" s="13"/>
      <c r="F1501" s="227"/>
      <c r="G1501" s="13"/>
      <c r="H1501" s="107"/>
      <c r="I1501" s="13"/>
      <c r="J1501" s="107"/>
      <c r="K1501" s="107"/>
      <c r="L1501" s="13"/>
    </row>
    <row r="1502" ht="15.75" customHeight="1">
      <c r="A1502" s="13"/>
      <c r="B1502" s="13"/>
      <c r="C1502" s="13"/>
      <c r="D1502" s="13"/>
      <c r="E1502" s="13"/>
      <c r="F1502" s="227"/>
      <c r="G1502" s="13"/>
      <c r="H1502" s="107"/>
      <c r="I1502" s="13"/>
      <c r="J1502" s="107"/>
      <c r="K1502" s="107"/>
      <c r="L1502" s="13"/>
    </row>
    <row r="1503" ht="15.75" customHeight="1">
      <c r="A1503" s="13"/>
      <c r="B1503" s="13"/>
      <c r="C1503" s="13"/>
      <c r="D1503" s="13"/>
      <c r="E1503" s="13"/>
      <c r="F1503" s="227"/>
      <c r="G1503" s="13"/>
      <c r="H1503" s="107"/>
      <c r="I1503" s="13"/>
      <c r="J1503" s="107"/>
      <c r="K1503" s="107"/>
      <c r="L1503" s="13"/>
    </row>
    <row r="1504" ht="15.75" customHeight="1">
      <c r="A1504" s="13"/>
      <c r="B1504" s="13"/>
      <c r="C1504" s="13"/>
      <c r="D1504" s="13"/>
      <c r="E1504" s="13"/>
      <c r="F1504" s="227"/>
      <c r="G1504" s="13"/>
      <c r="H1504" s="107"/>
      <c r="I1504" s="13"/>
      <c r="J1504" s="107"/>
      <c r="K1504" s="107"/>
      <c r="L1504" s="13"/>
    </row>
    <row r="1505" ht="15.75" customHeight="1">
      <c r="A1505" s="13"/>
      <c r="B1505" s="13"/>
      <c r="C1505" s="13"/>
      <c r="D1505" s="13"/>
      <c r="E1505" s="13"/>
      <c r="F1505" s="227"/>
      <c r="G1505" s="13"/>
      <c r="H1505" s="107"/>
      <c r="I1505" s="13"/>
      <c r="J1505" s="107"/>
      <c r="K1505" s="107"/>
      <c r="L1505" s="13"/>
    </row>
    <row r="1506" ht="15.75" customHeight="1">
      <c r="A1506" s="13"/>
      <c r="B1506" s="13"/>
      <c r="C1506" s="13"/>
      <c r="D1506" s="13"/>
      <c r="E1506" s="13"/>
      <c r="F1506" s="227"/>
      <c r="G1506" s="13"/>
      <c r="H1506" s="107"/>
      <c r="I1506" s="13"/>
      <c r="J1506" s="107"/>
      <c r="K1506" s="107"/>
      <c r="L1506" s="13"/>
    </row>
    <row r="1507" ht="15.75" customHeight="1">
      <c r="A1507" s="13"/>
      <c r="B1507" s="13"/>
      <c r="C1507" s="13"/>
      <c r="D1507" s="13"/>
      <c r="E1507" s="13"/>
      <c r="F1507" s="227"/>
      <c r="G1507" s="13"/>
      <c r="H1507" s="107"/>
      <c r="I1507" s="13"/>
      <c r="J1507" s="107"/>
      <c r="K1507" s="107"/>
      <c r="L1507" s="13"/>
    </row>
    <row r="1508" ht="15.75" customHeight="1">
      <c r="A1508" s="13"/>
      <c r="B1508" s="13"/>
      <c r="C1508" s="13"/>
      <c r="D1508" s="13"/>
      <c r="E1508" s="13"/>
      <c r="F1508" s="227"/>
      <c r="G1508" s="13"/>
      <c r="H1508" s="107"/>
      <c r="I1508" s="13"/>
      <c r="J1508" s="107"/>
      <c r="K1508" s="107"/>
      <c r="L1508" s="13"/>
    </row>
    <row r="1509" ht="15.75" customHeight="1">
      <c r="A1509" s="13"/>
      <c r="B1509" s="13"/>
      <c r="C1509" s="13"/>
      <c r="D1509" s="13"/>
      <c r="E1509" s="13"/>
      <c r="F1509" s="227"/>
      <c r="G1509" s="13"/>
      <c r="H1509" s="107"/>
      <c r="I1509" s="13"/>
      <c r="J1509" s="107"/>
      <c r="K1509" s="107"/>
      <c r="L1509" s="13"/>
    </row>
    <row r="1510" ht="15.75" customHeight="1">
      <c r="A1510" s="13"/>
      <c r="B1510" s="13"/>
      <c r="C1510" s="13"/>
      <c r="D1510" s="13"/>
      <c r="E1510" s="13"/>
      <c r="F1510" s="227"/>
      <c r="G1510" s="13"/>
      <c r="H1510" s="107"/>
      <c r="I1510" s="13"/>
      <c r="J1510" s="107"/>
      <c r="K1510" s="107"/>
      <c r="L1510" s="13"/>
    </row>
    <row r="1511" ht="15.75" customHeight="1">
      <c r="A1511" s="13"/>
      <c r="B1511" s="13"/>
      <c r="C1511" s="13"/>
      <c r="D1511" s="13"/>
      <c r="E1511" s="13"/>
      <c r="F1511" s="227"/>
      <c r="G1511" s="13"/>
      <c r="H1511" s="107"/>
      <c r="I1511" s="13"/>
      <c r="J1511" s="107"/>
      <c r="K1511" s="107"/>
      <c r="L1511" s="13"/>
    </row>
    <row r="1512" ht="15.75" customHeight="1">
      <c r="A1512" s="13"/>
      <c r="B1512" s="13"/>
      <c r="C1512" s="13"/>
      <c r="D1512" s="13"/>
      <c r="E1512" s="13"/>
      <c r="F1512" s="227"/>
      <c r="G1512" s="13"/>
      <c r="H1512" s="107"/>
      <c r="I1512" s="13"/>
      <c r="J1512" s="107"/>
      <c r="K1512" s="107"/>
      <c r="L1512" s="13"/>
    </row>
    <row r="1513" ht="15.75" customHeight="1">
      <c r="A1513" s="13"/>
      <c r="B1513" s="13"/>
      <c r="C1513" s="13"/>
      <c r="D1513" s="13"/>
      <c r="E1513" s="13"/>
      <c r="F1513" s="227"/>
      <c r="G1513" s="13"/>
      <c r="H1513" s="107"/>
      <c r="I1513" s="13"/>
      <c r="J1513" s="107"/>
      <c r="K1513" s="107"/>
      <c r="L1513" s="13"/>
    </row>
    <row r="1514" ht="15.75" customHeight="1">
      <c r="A1514" s="13"/>
      <c r="B1514" s="13"/>
      <c r="C1514" s="13"/>
      <c r="D1514" s="13"/>
      <c r="E1514" s="13"/>
      <c r="F1514" s="227"/>
      <c r="G1514" s="13"/>
      <c r="H1514" s="107"/>
      <c r="I1514" s="13"/>
      <c r="J1514" s="107"/>
      <c r="K1514" s="107"/>
      <c r="L1514" s="13"/>
    </row>
    <row r="1515" ht="15.75" customHeight="1">
      <c r="A1515" s="13"/>
      <c r="B1515" s="13"/>
      <c r="C1515" s="13"/>
      <c r="D1515" s="13"/>
      <c r="E1515" s="13"/>
      <c r="F1515" s="227"/>
      <c r="G1515" s="13"/>
      <c r="H1515" s="107"/>
      <c r="I1515" s="13"/>
      <c r="J1515" s="107"/>
      <c r="K1515" s="107"/>
      <c r="L1515" s="13"/>
    </row>
    <row r="1516" ht="15.75" customHeight="1">
      <c r="A1516" s="13"/>
      <c r="B1516" s="13"/>
      <c r="C1516" s="13"/>
      <c r="D1516" s="13"/>
      <c r="E1516" s="13"/>
      <c r="F1516" s="227"/>
      <c r="G1516" s="13"/>
      <c r="H1516" s="107"/>
      <c r="I1516" s="13"/>
      <c r="J1516" s="107"/>
      <c r="K1516" s="107"/>
      <c r="L1516" s="13"/>
    </row>
    <row r="1517" ht="15.75" customHeight="1">
      <c r="A1517" s="13"/>
      <c r="B1517" s="13"/>
      <c r="C1517" s="13"/>
      <c r="D1517" s="13"/>
      <c r="E1517" s="13"/>
      <c r="F1517" s="227"/>
      <c r="G1517" s="13"/>
      <c r="H1517" s="107"/>
      <c r="I1517" s="13"/>
      <c r="J1517" s="107"/>
      <c r="K1517" s="107"/>
      <c r="L1517" s="13"/>
    </row>
    <row r="1518" ht="15.75" customHeight="1">
      <c r="A1518" s="13"/>
      <c r="B1518" s="13"/>
      <c r="C1518" s="13"/>
      <c r="D1518" s="13"/>
      <c r="E1518" s="13"/>
      <c r="F1518" s="227"/>
      <c r="G1518" s="13"/>
      <c r="H1518" s="107"/>
      <c r="I1518" s="13"/>
      <c r="J1518" s="107"/>
      <c r="K1518" s="107"/>
      <c r="L1518" s="13"/>
    </row>
    <row r="1519" ht="15.75" customHeight="1">
      <c r="A1519" s="13"/>
      <c r="B1519" s="13"/>
      <c r="C1519" s="13"/>
      <c r="D1519" s="13"/>
      <c r="E1519" s="13"/>
      <c r="F1519" s="227"/>
      <c r="G1519" s="13"/>
      <c r="H1519" s="107"/>
      <c r="I1519" s="13"/>
      <c r="J1519" s="107"/>
      <c r="K1519" s="107"/>
      <c r="L1519" s="13"/>
    </row>
    <row r="1520" ht="15.75" customHeight="1">
      <c r="A1520" s="13"/>
      <c r="B1520" s="13"/>
      <c r="C1520" s="13"/>
      <c r="D1520" s="13"/>
      <c r="E1520" s="13"/>
      <c r="F1520" s="227"/>
      <c r="G1520" s="13"/>
      <c r="H1520" s="107"/>
      <c r="I1520" s="13"/>
      <c r="J1520" s="107"/>
      <c r="K1520" s="107"/>
      <c r="L1520" s="13"/>
    </row>
    <row r="1521" ht="15.75" customHeight="1">
      <c r="A1521" s="13"/>
      <c r="B1521" s="13"/>
      <c r="C1521" s="13"/>
      <c r="D1521" s="13"/>
      <c r="E1521" s="13"/>
      <c r="F1521" s="227"/>
      <c r="G1521" s="13"/>
      <c r="H1521" s="107"/>
      <c r="I1521" s="13"/>
      <c r="J1521" s="107"/>
      <c r="K1521" s="107"/>
      <c r="L1521" s="13"/>
    </row>
    <row r="1522" ht="15.75" customHeight="1">
      <c r="A1522" s="13"/>
      <c r="B1522" s="13"/>
      <c r="C1522" s="13"/>
      <c r="D1522" s="13"/>
      <c r="E1522" s="13"/>
      <c r="F1522" s="227"/>
      <c r="G1522" s="13"/>
      <c r="H1522" s="107"/>
      <c r="I1522" s="13"/>
      <c r="J1522" s="107"/>
      <c r="K1522" s="107"/>
      <c r="L1522" s="13"/>
    </row>
    <row r="1523" ht="15.75" customHeight="1">
      <c r="A1523" s="13"/>
      <c r="B1523" s="13"/>
      <c r="C1523" s="13"/>
      <c r="D1523" s="13"/>
      <c r="E1523" s="13"/>
      <c r="F1523" s="227"/>
      <c r="G1523" s="13"/>
      <c r="H1523" s="107"/>
      <c r="I1523" s="13"/>
      <c r="J1523" s="107"/>
      <c r="K1523" s="107"/>
      <c r="L1523" s="13"/>
    </row>
    <row r="1524" ht="15.75" customHeight="1">
      <c r="A1524" s="13"/>
      <c r="B1524" s="13"/>
      <c r="C1524" s="13"/>
      <c r="D1524" s="13"/>
      <c r="E1524" s="13"/>
      <c r="F1524" s="227"/>
      <c r="G1524" s="13"/>
      <c r="H1524" s="107"/>
      <c r="I1524" s="13"/>
      <c r="J1524" s="107"/>
      <c r="K1524" s="107"/>
      <c r="L1524" s="13"/>
    </row>
    <row r="1525" ht="15.75" customHeight="1">
      <c r="A1525" s="13"/>
      <c r="B1525" s="13"/>
      <c r="C1525" s="13"/>
      <c r="D1525" s="13"/>
      <c r="E1525" s="13"/>
      <c r="F1525" s="227"/>
      <c r="G1525" s="13"/>
      <c r="H1525" s="107"/>
      <c r="I1525" s="13"/>
      <c r="J1525" s="107"/>
      <c r="K1525" s="107"/>
      <c r="L1525" s="13"/>
    </row>
    <row r="1526" ht="15.75" customHeight="1">
      <c r="A1526" s="13"/>
      <c r="B1526" s="13"/>
      <c r="C1526" s="13"/>
      <c r="D1526" s="13"/>
      <c r="E1526" s="13"/>
      <c r="F1526" s="227"/>
      <c r="G1526" s="13"/>
      <c r="H1526" s="107"/>
      <c r="I1526" s="13"/>
      <c r="J1526" s="107"/>
      <c r="K1526" s="107"/>
      <c r="L1526" s="13"/>
    </row>
    <row r="1527" ht="15.75" customHeight="1">
      <c r="A1527" s="13"/>
      <c r="B1527" s="13"/>
      <c r="C1527" s="13"/>
      <c r="D1527" s="13"/>
      <c r="E1527" s="13"/>
      <c r="F1527" s="227"/>
      <c r="G1527" s="13"/>
      <c r="H1527" s="107"/>
      <c r="I1527" s="13"/>
      <c r="J1527" s="107"/>
      <c r="K1527" s="107"/>
      <c r="L1527" s="13"/>
    </row>
    <row r="1528" ht="15.75" customHeight="1">
      <c r="A1528" s="13"/>
      <c r="B1528" s="13"/>
      <c r="C1528" s="13"/>
      <c r="D1528" s="13"/>
      <c r="E1528" s="13"/>
      <c r="F1528" s="227"/>
      <c r="G1528" s="13"/>
      <c r="H1528" s="107"/>
      <c r="I1528" s="13"/>
      <c r="J1528" s="107"/>
      <c r="K1528" s="107"/>
      <c r="L1528" s="13"/>
    </row>
    <row r="1529" ht="15.75" customHeight="1">
      <c r="A1529" s="13"/>
      <c r="B1529" s="13"/>
      <c r="C1529" s="13"/>
      <c r="D1529" s="13"/>
      <c r="E1529" s="13"/>
      <c r="F1529" s="227"/>
      <c r="G1529" s="13"/>
      <c r="H1529" s="107"/>
      <c r="I1529" s="13"/>
      <c r="J1529" s="107"/>
      <c r="K1529" s="107"/>
      <c r="L1529" s="13"/>
    </row>
    <row r="1530" ht="15.75" customHeight="1">
      <c r="A1530" s="13"/>
      <c r="B1530" s="13"/>
      <c r="C1530" s="13"/>
      <c r="D1530" s="13"/>
      <c r="E1530" s="13"/>
      <c r="F1530" s="227"/>
      <c r="G1530" s="13"/>
      <c r="H1530" s="107"/>
      <c r="I1530" s="13"/>
      <c r="J1530" s="107"/>
      <c r="K1530" s="107"/>
      <c r="L1530" s="13"/>
    </row>
    <row r="1531" ht="15.75" customHeight="1">
      <c r="A1531" s="13"/>
      <c r="B1531" s="13"/>
      <c r="C1531" s="13"/>
      <c r="D1531" s="13"/>
      <c r="E1531" s="13"/>
      <c r="F1531" s="227"/>
      <c r="G1531" s="13"/>
      <c r="H1531" s="107"/>
      <c r="I1531" s="13"/>
      <c r="J1531" s="107"/>
      <c r="K1531" s="107"/>
      <c r="L1531" s="13"/>
    </row>
    <row r="1532" ht="15.75" customHeight="1">
      <c r="A1532" s="13"/>
      <c r="B1532" s="13"/>
      <c r="C1532" s="13"/>
      <c r="D1532" s="13"/>
      <c r="E1532" s="13"/>
      <c r="F1532" s="227"/>
      <c r="G1532" s="13"/>
      <c r="H1532" s="107"/>
      <c r="I1532" s="13"/>
      <c r="J1532" s="107"/>
      <c r="K1532" s="107"/>
      <c r="L1532" s="13"/>
    </row>
    <row r="1533" ht="15.75" customHeight="1">
      <c r="A1533" s="13"/>
      <c r="B1533" s="13"/>
      <c r="C1533" s="13"/>
      <c r="D1533" s="13"/>
      <c r="E1533" s="13"/>
      <c r="F1533" s="227"/>
      <c r="G1533" s="13"/>
      <c r="H1533" s="107"/>
      <c r="I1533" s="13"/>
      <c r="J1533" s="107"/>
      <c r="K1533" s="107"/>
      <c r="L1533" s="13"/>
    </row>
    <row r="1534" ht="15.75" customHeight="1">
      <c r="A1534" s="13"/>
      <c r="B1534" s="13"/>
      <c r="C1534" s="13"/>
      <c r="D1534" s="13"/>
      <c r="E1534" s="13"/>
      <c r="F1534" s="227"/>
      <c r="G1534" s="13"/>
      <c r="H1534" s="107"/>
      <c r="I1534" s="13"/>
      <c r="J1534" s="107"/>
      <c r="K1534" s="107"/>
      <c r="L1534" s="13"/>
    </row>
    <row r="1535" ht="15.75" customHeight="1">
      <c r="A1535" s="13"/>
      <c r="B1535" s="13"/>
      <c r="C1535" s="13"/>
      <c r="D1535" s="13"/>
      <c r="E1535" s="13"/>
      <c r="F1535" s="227"/>
      <c r="G1535" s="13"/>
      <c r="H1535" s="107"/>
      <c r="I1535" s="13"/>
      <c r="J1535" s="107"/>
      <c r="K1535" s="107"/>
      <c r="L1535" s="13"/>
    </row>
    <row r="1536" ht="15.75" customHeight="1">
      <c r="A1536" s="13"/>
      <c r="B1536" s="13"/>
      <c r="C1536" s="13"/>
      <c r="D1536" s="13"/>
      <c r="E1536" s="13"/>
      <c r="F1536" s="227"/>
      <c r="G1536" s="13"/>
      <c r="H1536" s="107"/>
      <c r="I1536" s="13"/>
      <c r="J1536" s="107"/>
      <c r="K1536" s="107"/>
      <c r="L1536" s="13"/>
    </row>
    <row r="1537" ht="15.75" customHeight="1">
      <c r="A1537" s="13"/>
      <c r="B1537" s="13"/>
      <c r="C1537" s="13"/>
      <c r="D1537" s="13"/>
      <c r="E1537" s="13"/>
      <c r="F1537" s="227"/>
      <c r="G1537" s="13"/>
      <c r="H1537" s="107"/>
      <c r="I1537" s="13"/>
      <c r="J1537" s="107"/>
      <c r="K1537" s="107"/>
      <c r="L1537" s="13"/>
    </row>
    <row r="1538" ht="15.75" customHeight="1">
      <c r="A1538" s="13"/>
      <c r="B1538" s="13"/>
      <c r="C1538" s="13"/>
      <c r="D1538" s="13"/>
      <c r="E1538" s="13"/>
      <c r="F1538" s="227"/>
      <c r="G1538" s="13"/>
      <c r="H1538" s="107"/>
      <c r="I1538" s="13"/>
      <c r="J1538" s="107"/>
      <c r="K1538" s="107"/>
      <c r="L1538" s="13"/>
    </row>
    <row r="1539" ht="15.75" customHeight="1">
      <c r="A1539" s="13"/>
      <c r="B1539" s="13"/>
      <c r="C1539" s="13"/>
      <c r="D1539" s="13"/>
      <c r="E1539" s="13"/>
      <c r="F1539" s="227"/>
      <c r="G1539" s="13"/>
      <c r="H1539" s="107"/>
      <c r="I1539" s="13"/>
      <c r="J1539" s="107"/>
      <c r="K1539" s="107"/>
      <c r="L1539" s="13"/>
    </row>
    <row r="1540" ht="15.75" customHeight="1">
      <c r="A1540" s="13"/>
      <c r="B1540" s="13"/>
      <c r="C1540" s="13"/>
      <c r="D1540" s="13"/>
      <c r="E1540" s="13"/>
      <c r="F1540" s="227"/>
      <c r="G1540" s="13"/>
      <c r="H1540" s="107"/>
      <c r="I1540" s="13"/>
      <c r="J1540" s="107"/>
      <c r="K1540" s="107"/>
      <c r="L1540" s="13"/>
    </row>
    <row r="1541" ht="15.75" customHeight="1">
      <c r="A1541" s="13"/>
      <c r="B1541" s="13"/>
      <c r="C1541" s="13"/>
      <c r="D1541" s="13"/>
      <c r="E1541" s="13"/>
      <c r="F1541" s="227"/>
      <c r="G1541" s="13"/>
      <c r="H1541" s="107"/>
      <c r="I1541" s="13"/>
      <c r="J1541" s="107"/>
      <c r="K1541" s="107"/>
      <c r="L1541" s="13"/>
    </row>
    <row r="1542" ht="15.75" customHeight="1">
      <c r="A1542" s="13"/>
      <c r="B1542" s="13"/>
      <c r="C1542" s="13"/>
      <c r="D1542" s="13"/>
      <c r="E1542" s="13"/>
      <c r="F1542" s="227"/>
      <c r="G1542" s="13"/>
      <c r="H1542" s="107"/>
      <c r="I1542" s="13"/>
      <c r="J1542" s="107"/>
      <c r="K1542" s="107"/>
      <c r="L1542" s="13"/>
    </row>
    <row r="1543" ht="15.75" customHeight="1">
      <c r="A1543" s="13"/>
      <c r="B1543" s="13"/>
      <c r="C1543" s="13"/>
      <c r="D1543" s="13"/>
      <c r="E1543" s="13"/>
      <c r="F1543" s="227"/>
      <c r="G1543" s="13"/>
      <c r="H1543" s="107"/>
      <c r="I1543" s="13"/>
      <c r="J1543" s="107"/>
      <c r="K1543" s="107"/>
      <c r="L1543" s="13"/>
    </row>
    <row r="1544" ht="15.75" customHeight="1">
      <c r="A1544" s="13"/>
      <c r="B1544" s="13"/>
      <c r="C1544" s="13"/>
      <c r="D1544" s="13"/>
      <c r="E1544" s="13"/>
      <c r="F1544" s="227"/>
      <c r="G1544" s="13"/>
      <c r="H1544" s="107"/>
      <c r="I1544" s="13"/>
      <c r="J1544" s="107"/>
      <c r="K1544" s="107"/>
      <c r="L1544" s="13"/>
    </row>
    <row r="1545" ht="15.75" customHeight="1">
      <c r="A1545" s="13"/>
      <c r="B1545" s="13"/>
      <c r="C1545" s="13"/>
      <c r="D1545" s="13"/>
      <c r="E1545" s="13"/>
      <c r="F1545" s="227"/>
      <c r="G1545" s="13"/>
      <c r="H1545" s="107"/>
      <c r="I1545" s="13"/>
      <c r="J1545" s="107"/>
      <c r="K1545" s="107"/>
      <c r="L1545" s="13"/>
    </row>
    <row r="1546" ht="15.75" customHeight="1">
      <c r="A1546" s="13"/>
      <c r="B1546" s="13"/>
      <c r="C1546" s="13"/>
      <c r="D1546" s="13"/>
      <c r="E1546" s="13"/>
      <c r="F1546" s="227"/>
      <c r="G1546" s="13"/>
      <c r="H1546" s="107"/>
      <c r="I1546" s="13"/>
      <c r="J1546" s="107"/>
      <c r="K1546" s="107"/>
      <c r="L1546" s="13"/>
    </row>
    <row r="1547" ht="15.75" customHeight="1">
      <c r="A1547" s="13"/>
      <c r="B1547" s="13"/>
      <c r="C1547" s="13"/>
      <c r="D1547" s="13"/>
      <c r="E1547" s="13"/>
      <c r="F1547" s="227"/>
      <c r="G1547" s="13"/>
      <c r="H1547" s="107"/>
      <c r="I1547" s="13"/>
      <c r="J1547" s="107"/>
      <c r="K1547" s="107"/>
      <c r="L1547" s="13"/>
    </row>
    <row r="1548" ht="15.75" customHeight="1">
      <c r="A1548" s="13"/>
      <c r="B1548" s="13"/>
      <c r="C1548" s="13"/>
      <c r="D1548" s="13"/>
      <c r="E1548" s="13"/>
      <c r="F1548" s="227"/>
      <c r="G1548" s="13"/>
      <c r="H1548" s="107"/>
      <c r="I1548" s="13"/>
      <c r="J1548" s="107"/>
      <c r="K1548" s="107"/>
      <c r="L1548" s="13"/>
    </row>
    <row r="1549" ht="15.75" customHeight="1">
      <c r="A1549" s="13"/>
      <c r="B1549" s="13"/>
      <c r="C1549" s="13"/>
      <c r="D1549" s="13"/>
      <c r="E1549" s="13"/>
      <c r="F1549" s="227"/>
      <c r="G1549" s="13"/>
      <c r="H1549" s="107"/>
      <c r="I1549" s="13"/>
      <c r="J1549" s="107"/>
      <c r="K1549" s="107"/>
      <c r="L1549" s="13"/>
    </row>
    <row r="1550" ht="15.75" customHeight="1">
      <c r="A1550" s="13"/>
      <c r="B1550" s="13"/>
      <c r="C1550" s="13"/>
      <c r="D1550" s="13"/>
      <c r="E1550" s="13"/>
      <c r="F1550" s="227"/>
      <c r="G1550" s="13"/>
      <c r="H1550" s="107"/>
      <c r="I1550" s="13"/>
      <c r="J1550" s="107"/>
      <c r="K1550" s="107"/>
      <c r="L1550" s="13"/>
    </row>
    <row r="1551" ht="15.75" customHeight="1">
      <c r="A1551" s="13"/>
      <c r="B1551" s="13"/>
      <c r="C1551" s="13"/>
      <c r="D1551" s="13"/>
      <c r="E1551" s="13"/>
      <c r="F1551" s="227"/>
      <c r="G1551" s="13"/>
      <c r="H1551" s="107"/>
      <c r="I1551" s="13"/>
      <c r="J1551" s="107"/>
      <c r="K1551" s="107"/>
      <c r="L1551" s="13"/>
    </row>
    <row r="1552" ht="15.75" customHeight="1">
      <c r="A1552" s="13"/>
      <c r="B1552" s="13"/>
      <c r="C1552" s="13"/>
      <c r="D1552" s="13"/>
      <c r="E1552" s="13"/>
      <c r="F1552" s="227"/>
      <c r="G1552" s="13"/>
      <c r="H1552" s="107"/>
      <c r="I1552" s="13"/>
      <c r="J1552" s="107"/>
      <c r="K1552" s="107"/>
      <c r="L1552" s="13"/>
    </row>
    <row r="1553" ht="15.75" customHeight="1">
      <c r="A1553" s="13"/>
      <c r="B1553" s="13"/>
      <c r="C1553" s="13"/>
      <c r="D1553" s="13"/>
      <c r="E1553" s="13"/>
      <c r="F1553" s="227"/>
      <c r="G1553" s="13"/>
      <c r="H1553" s="107"/>
      <c r="I1553" s="13"/>
      <c r="J1553" s="107"/>
      <c r="K1553" s="107"/>
      <c r="L1553" s="13"/>
    </row>
    <row r="1554" ht="15.75" customHeight="1">
      <c r="A1554" s="13"/>
      <c r="B1554" s="13"/>
      <c r="C1554" s="13"/>
      <c r="D1554" s="13"/>
      <c r="E1554" s="13"/>
      <c r="F1554" s="227"/>
      <c r="G1554" s="13"/>
      <c r="H1554" s="107"/>
      <c r="I1554" s="13"/>
      <c r="J1554" s="107"/>
      <c r="K1554" s="107"/>
      <c r="L1554" s="13"/>
    </row>
    <row r="1555" ht="15.75" customHeight="1">
      <c r="A1555" s="13"/>
      <c r="B1555" s="13"/>
      <c r="C1555" s="13"/>
      <c r="D1555" s="13"/>
      <c r="E1555" s="13"/>
      <c r="F1555" s="227"/>
      <c r="G1555" s="13"/>
      <c r="H1555" s="107"/>
      <c r="I1555" s="13"/>
      <c r="J1555" s="107"/>
      <c r="K1555" s="107"/>
      <c r="L1555" s="13"/>
    </row>
    <row r="1556" ht="15.75" customHeight="1">
      <c r="A1556" s="13"/>
      <c r="B1556" s="13"/>
      <c r="C1556" s="13"/>
      <c r="D1556" s="13"/>
      <c r="E1556" s="13"/>
      <c r="F1556" s="227"/>
      <c r="G1556" s="13"/>
      <c r="H1556" s="107"/>
      <c r="I1556" s="13"/>
      <c r="J1556" s="107"/>
      <c r="K1556" s="107"/>
      <c r="L1556" s="13"/>
    </row>
    <row r="1557" ht="15.75" customHeight="1">
      <c r="A1557" s="13"/>
      <c r="B1557" s="13"/>
      <c r="C1557" s="13"/>
      <c r="D1557" s="13"/>
      <c r="E1557" s="13"/>
      <c r="F1557" s="227"/>
      <c r="G1557" s="13"/>
      <c r="H1557" s="107"/>
      <c r="I1557" s="13"/>
      <c r="J1557" s="107"/>
      <c r="K1557" s="107"/>
      <c r="L1557" s="13"/>
    </row>
    <row r="1558" ht="15.75" customHeight="1">
      <c r="A1558" s="13"/>
      <c r="B1558" s="13"/>
      <c r="C1558" s="13"/>
      <c r="D1558" s="13"/>
      <c r="E1558" s="13"/>
      <c r="F1558" s="227"/>
      <c r="G1558" s="13"/>
      <c r="H1558" s="107"/>
      <c r="I1558" s="13"/>
      <c r="J1558" s="107"/>
      <c r="K1558" s="107"/>
      <c r="L1558" s="13"/>
    </row>
    <row r="1559" ht="15.75" customHeight="1">
      <c r="A1559" s="13"/>
      <c r="B1559" s="13"/>
      <c r="C1559" s="13"/>
      <c r="D1559" s="13"/>
      <c r="E1559" s="13"/>
      <c r="F1559" s="227"/>
      <c r="G1559" s="13"/>
      <c r="H1559" s="107"/>
      <c r="I1559" s="13"/>
      <c r="J1559" s="107"/>
      <c r="K1559" s="107"/>
      <c r="L1559" s="13"/>
    </row>
    <row r="1560" ht="15.75" customHeight="1">
      <c r="A1560" s="13"/>
      <c r="B1560" s="13"/>
      <c r="C1560" s="13"/>
      <c r="D1560" s="13"/>
      <c r="E1560" s="13"/>
      <c r="F1560" s="227"/>
      <c r="G1560" s="13"/>
      <c r="H1560" s="107"/>
      <c r="I1560" s="13"/>
      <c r="J1560" s="107"/>
      <c r="K1560" s="107"/>
      <c r="L1560" s="13"/>
    </row>
    <row r="1561" ht="15.75" customHeight="1">
      <c r="A1561" s="13"/>
      <c r="B1561" s="13"/>
      <c r="C1561" s="13"/>
      <c r="D1561" s="13"/>
      <c r="E1561" s="13"/>
      <c r="F1561" s="227"/>
      <c r="G1561" s="13"/>
      <c r="H1561" s="107"/>
      <c r="I1561" s="13"/>
      <c r="J1561" s="107"/>
      <c r="K1561" s="107"/>
      <c r="L1561" s="13"/>
    </row>
    <row r="1562" ht="15.75" customHeight="1">
      <c r="A1562" s="13"/>
      <c r="B1562" s="13"/>
      <c r="C1562" s="13"/>
      <c r="D1562" s="13"/>
      <c r="E1562" s="13"/>
      <c r="F1562" s="227"/>
      <c r="G1562" s="13"/>
      <c r="H1562" s="107"/>
      <c r="I1562" s="13"/>
      <c r="J1562" s="107"/>
      <c r="K1562" s="107"/>
      <c r="L1562" s="13"/>
    </row>
    <row r="1563" ht="15.75" customHeight="1">
      <c r="A1563" s="13"/>
      <c r="B1563" s="13"/>
      <c r="C1563" s="13"/>
      <c r="D1563" s="13"/>
      <c r="E1563" s="13"/>
      <c r="F1563" s="227"/>
      <c r="G1563" s="13"/>
      <c r="H1563" s="107"/>
      <c r="I1563" s="13"/>
      <c r="J1563" s="107"/>
      <c r="K1563" s="107"/>
      <c r="L1563" s="13"/>
    </row>
    <row r="1564" ht="15.75" customHeight="1">
      <c r="A1564" s="13"/>
      <c r="B1564" s="13"/>
      <c r="C1564" s="13"/>
      <c r="D1564" s="13"/>
      <c r="E1564" s="13"/>
      <c r="F1564" s="227"/>
      <c r="G1564" s="13"/>
      <c r="H1564" s="107"/>
      <c r="I1564" s="13"/>
      <c r="J1564" s="107"/>
      <c r="K1564" s="107"/>
      <c r="L1564" s="13"/>
    </row>
    <row r="1565" ht="15.75" customHeight="1">
      <c r="A1565" s="13"/>
      <c r="B1565" s="13"/>
      <c r="C1565" s="13"/>
      <c r="D1565" s="13"/>
      <c r="E1565" s="13"/>
      <c r="F1565" s="227"/>
      <c r="G1565" s="13"/>
      <c r="H1565" s="107"/>
      <c r="I1565" s="13"/>
      <c r="J1565" s="107"/>
      <c r="K1565" s="107"/>
      <c r="L1565" s="13"/>
    </row>
    <row r="1566" ht="15.75" customHeight="1">
      <c r="A1566" s="13"/>
      <c r="B1566" s="13"/>
      <c r="C1566" s="13"/>
      <c r="D1566" s="13"/>
      <c r="E1566" s="13"/>
      <c r="F1566" s="227"/>
      <c r="G1566" s="13"/>
      <c r="H1566" s="107"/>
      <c r="I1566" s="13"/>
      <c r="J1566" s="107"/>
      <c r="K1566" s="107"/>
      <c r="L1566" s="13"/>
    </row>
    <row r="1567" ht="15.75" customHeight="1">
      <c r="A1567" s="13"/>
      <c r="B1567" s="13"/>
      <c r="C1567" s="13"/>
      <c r="D1567" s="13"/>
      <c r="E1567" s="13"/>
      <c r="F1567" s="227"/>
      <c r="G1567" s="13"/>
      <c r="H1567" s="107"/>
      <c r="I1567" s="13"/>
      <c r="J1567" s="107"/>
      <c r="K1567" s="107"/>
      <c r="L1567" s="13"/>
    </row>
    <row r="1568" ht="15.75" customHeight="1">
      <c r="A1568" s="13"/>
      <c r="B1568" s="13"/>
      <c r="C1568" s="13"/>
      <c r="D1568" s="13"/>
      <c r="E1568" s="13"/>
      <c r="F1568" s="227"/>
      <c r="G1568" s="13"/>
      <c r="H1568" s="107"/>
      <c r="I1568" s="13"/>
      <c r="J1568" s="107"/>
      <c r="K1568" s="107"/>
      <c r="L1568" s="13"/>
    </row>
    <row r="1569" ht="15.75" customHeight="1">
      <c r="A1569" s="13"/>
      <c r="B1569" s="13"/>
      <c r="C1569" s="13"/>
      <c r="D1569" s="13"/>
      <c r="E1569" s="13"/>
      <c r="F1569" s="227"/>
      <c r="G1569" s="13"/>
      <c r="H1569" s="107"/>
      <c r="I1569" s="13"/>
      <c r="J1569" s="107"/>
      <c r="K1569" s="107"/>
      <c r="L1569" s="13"/>
    </row>
    <row r="1570" ht="15.75" customHeight="1">
      <c r="A1570" s="13"/>
      <c r="B1570" s="13"/>
      <c r="C1570" s="13"/>
      <c r="D1570" s="13"/>
      <c r="E1570" s="13"/>
      <c r="F1570" s="227"/>
      <c r="G1570" s="13"/>
      <c r="H1570" s="107"/>
      <c r="I1570" s="13"/>
      <c r="J1570" s="107"/>
      <c r="K1570" s="107"/>
      <c r="L1570" s="13"/>
    </row>
    <row r="1571" ht="15.75" customHeight="1">
      <c r="A1571" s="13"/>
      <c r="B1571" s="13"/>
      <c r="C1571" s="13"/>
      <c r="D1571" s="13"/>
      <c r="E1571" s="13"/>
      <c r="F1571" s="227"/>
      <c r="G1571" s="13"/>
      <c r="H1571" s="107"/>
      <c r="I1571" s="13"/>
      <c r="J1571" s="107"/>
      <c r="K1571" s="107"/>
      <c r="L1571" s="13"/>
    </row>
    <row r="1572" ht="15.75" customHeight="1">
      <c r="A1572" s="13"/>
      <c r="B1572" s="13"/>
      <c r="C1572" s="13"/>
      <c r="D1572" s="13"/>
      <c r="E1572" s="13"/>
      <c r="F1572" s="227"/>
      <c r="G1572" s="13"/>
      <c r="H1572" s="107"/>
      <c r="I1572" s="13"/>
      <c r="J1572" s="107"/>
      <c r="K1572" s="107"/>
      <c r="L1572" s="13"/>
    </row>
    <row r="1573" ht="15.75" customHeight="1">
      <c r="A1573" s="13"/>
      <c r="B1573" s="13"/>
      <c r="C1573" s="13"/>
      <c r="D1573" s="13"/>
      <c r="E1573" s="13"/>
      <c r="F1573" s="227"/>
      <c r="G1573" s="13"/>
      <c r="H1573" s="107"/>
      <c r="I1573" s="13"/>
      <c r="J1573" s="107"/>
      <c r="K1573" s="107"/>
      <c r="L1573" s="13"/>
    </row>
    <row r="1574" ht="15.75" customHeight="1">
      <c r="A1574" s="13"/>
      <c r="B1574" s="13"/>
      <c r="C1574" s="13"/>
      <c r="D1574" s="13"/>
      <c r="E1574" s="13"/>
      <c r="F1574" s="227"/>
      <c r="G1574" s="13"/>
      <c r="H1574" s="107"/>
      <c r="I1574" s="13"/>
      <c r="J1574" s="107"/>
      <c r="K1574" s="107"/>
      <c r="L1574" s="13"/>
    </row>
    <row r="1575" ht="15.75" customHeight="1">
      <c r="A1575" s="13"/>
      <c r="B1575" s="13"/>
      <c r="C1575" s="13"/>
      <c r="D1575" s="13"/>
      <c r="E1575" s="13"/>
      <c r="F1575" s="227"/>
      <c r="G1575" s="13"/>
      <c r="H1575" s="107"/>
      <c r="I1575" s="13"/>
      <c r="J1575" s="107"/>
      <c r="K1575" s="107"/>
      <c r="L1575" s="13"/>
    </row>
    <row r="1576" ht="15.75" customHeight="1">
      <c r="A1576" s="13"/>
      <c r="B1576" s="13"/>
      <c r="C1576" s="13"/>
      <c r="D1576" s="13"/>
      <c r="E1576" s="13"/>
      <c r="F1576" s="227"/>
      <c r="G1576" s="13"/>
      <c r="H1576" s="107"/>
      <c r="I1576" s="13"/>
      <c r="J1576" s="107"/>
      <c r="K1576" s="107"/>
      <c r="L1576" s="13"/>
    </row>
    <row r="1577" ht="15.75" customHeight="1">
      <c r="A1577" s="13"/>
      <c r="B1577" s="13"/>
      <c r="C1577" s="13"/>
      <c r="D1577" s="13"/>
      <c r="E1577" s="13"/>
      <c r="F1577" s="227"/>
      <c r="G1577" s="13"/>
      <c r="H1577" s="107"/>
      <c r="I1577" s="13"/>
      <c r="J1577" s="107"/>
      <c r="K1577" s="107"/>
      <c r="L1577" s="13"/>
    </row>
    <row r="1578" ht="15.75" customHeight="1">
      <c r="A1578" s="13"/>
      <c r="B1578" s="13"/>
      <c r="C1578" s="13"/>
      <c r="D1578" s="13"/>
      <c r="E1578" s="13"/>
      <c r="F1578" s="227"/>
      <c r="G1578" s="13"/>
      <c r="H1578" s="107"/>
      <c r="I1578" s="13"/>
      <c r="J1578" s="107"/>
      <c r="K1578" s="107"/>
      <c r="L1578" s="13"/>
    </row>
    <row r="1579" ht="15.75" customHeight="1">
      <c r="A1579" s="13"/>
      <c r="B1579" s="13"/>
      <c r="C1579" s="13"/>
      <c r="D1579" s="13"/>
      <c r="E1579" s="13"/>
      <c r="F1579" s="227"/>
      <c r="G1579" s="13"/>
      <c r="H1579" s="107"/>
      <c r="I1579" s="13"/>
      <c r="J1579" s="107"/>
      <c r="K1579" s="107"/>
      <c r="L1579" s="13"/>
    </row>
    <row r="1580" ht="15.75" customHeight="1">
      <c r="A1580" s="13"/>
      <c r="B1580" s="13"/>
      <c r="C1580" s="13"/>
      <c r="D1580" s="13"/>
      <c r="E1580" s="13"/>
      <c r="F1580" s="227"/>
      <c r="G1580" s="13"/>
      <c r="H1580" s="107"/>
      <c r="I1580" s="13"/>
      <c r="J1580" s="107"/>
      <c r="K1580" s="107"/>
      <c r="L1580" s="13"/>
    </row>
    <row r="1581" ht="15.75" customHeight="1">
      <c r="A1581" s="13"/>
      <c r="B1581" s="13"/>
      <c r="C1581" s="13"/>
      <c r="D1581" s="13"/>
      <c r="E1581" s="13"/>
      <c r="F1581" s="227"/>
      <c r="G1581" s="13"/>
      <c r="H1581" s="107"/>
      <c r="I1581" s="13"/>
      <c r="J1581" s="107"/>
      <c r="K1581" s="107"/>
      <c r="L1581" s="13"/>
    </row>
    <row r="1582" ht="15.75" customHeight="1">
      <c r="A1582" s="13"/>
      <c r="B1582" s="13"/>
      <c r="C1582" s="13"/>
      <c r="D1582" s="13"/>
      <c r="E1582" s="13"/>
      <c r="F1582" s="227"/>
      <c r="G1582" s="13"/>
      <c r="H1582" s="107"/>
      <c r="I1582" s="13"/>
      <c r="J1582" s="107"/>
      <c r="K1582" s="107"/>
      <c r="L1582" s="13"/>
    </row>
    <row r="1583" ht="15.75" customHeight="1">
      <c r="A1583" s="13"/>
      <c r="B1583" s="13"/>
      <c r="C1583" s="13"/>
      <c r="D1583" s="13"/>
      <c r="E1583" s="13"/>
      <c r="F1583" s="227"/>
      <c r="G1583" s="13"/>
      <c r="H1583" s="107"/>
      <c r="I1583" s="13"/>
      <c r="J1583" s="107"/>
      <c r="K1583" s="107"/>
      <c r="L1583" s="13"/>
    </row>
    <row r="1584" ht="15.75" customHeight="1">
      <c r="A1584" s="13"/>
      <c r="B1584" s="13"/>
      <c r="C1584" s="13"/>
      <c r="D1584" s="13"/>
      <c r="E1584" s="13"/>
      <c r="F1584" s="227"/>
      <c r="G1584" s="13"/>
      <c r="H1584" s="107"/>
      <c r="I1584" s="13"/>
      <c r="J1584" s="107"/>
      <c r="K1584" s="107"/>
      <c r="L1584" s="13"/>
    </row>
    <row r="1585" ht="15.75" customHeight="1">
      <c r="A1585" s="13"/>
      <c r="B1585" s="13"/>
      <c r="C1585" s="13"/>
      <c r="D1585" s="13"/>
      <c r="E1585" s="13"/>
      <c r="F1585" s="227"/>
      <c r="G1585" s="13"/>
      <c r="H1585" s="107"/>
      <c r="I1585" s="13"/>
      <c r="J1585" s="107"/>
      <c r="K1585" s="107"/>
      <c r="L1585" s="13"/>
    </row>
    <row r="1586" ht="15.75" customHeight="1">
      <c r="A1586" s="13"/>
      <c r="B1586" s="13"/>
      <c r="C1586" s="13"/>
      <c r="D1586" s="13"/>
      <c r="E1586" s="13"/>
      <c r="F1586" s="227"/>
      <c r="G1586" s="13"/>
      <c r="H1586" s="107"/>
      <c r="I1586" s="13"/>
      <c r="J1586" s="107"/>
      <c r="K1586" s="107"/>
      <c r="L1586" s="13"/>
    </row>
    <row r="1587" ht="15.75" customHeight="1">
      <c r="A1587" s="13"/>
      <c r="B1587" s="13"/>
      <c r="C1587" s="13"/>
      <c r="D1587" s="13"/>
      <c r="E1587" s="13"/>
      <c r="F1587" s="227"/>
      <c r="G1587" s="13"/>
      <c r="H1587" s="107"/>
      <c r="I1587" s="13"/>
      <c r="J1587" s="107"/>
      <c r="K1587" s="107"/>
      <c r="L1587" s="13"/>
    </row>
    <row r="1588" ht="15.75" customHeight="1">
      <c r="A1588" s="13"/>
      <c r="B1588" s="13"/>
      <c r="C1588" s="13"/>
      <c r="D1588" s="13"/>
      <c r="E1588" s="13"/>
      <c r="F1588" s="227"/>
      <c r="G1588" s="13"/>
      <c r="H1588" s="107"/>
      <c r="I1588" s="13"/>
      <c r="J1588" s="107"/>
      <c r="K1588" s="107"/>
      <c r="L1588" s="13"/>
    </row>
    <row r="1589" ht="15.75" customHeight="1">
      <c r="A1589" s="13"/>
      <c r="B1589" s="13"/>
      <c r="C1589" s="13"/>
      <c r="D1589" s="13"/>
      <c r="E1589" s="13"/>
      <c r="F1589" s="227"/>
      <c r="G1589" s="13"/>
      <c r="H1589" s="107"/>
      <c r="I1589" s="13"/>
      <c r="J1589" s="107"/>
      <c r="K1589" s="107"/>
      <c r="L1589" s="13"/>
    </row>
    <row r="1590" ht="15.75" customHeight="1">
      <c r="A1590" s="13"/>
      <c r="B1590" s="13"/>
      <c r="C1590" s="13"/>
      <c r="D1590" s="13"/>
      <c r="E1590" s="13"/>
      <c r="F1590" s="227"/>
      <c r="G1590" s="13"/>
      <c r="H1590" s="107"/>
      <c r="I1590" s="13"/>
      <c r="J1590" s="107"/>
      <c r="K1590" s="107"/>
      <c r="L1590" s="13"/>
    </row>
    <row r="1591" ht="15.75" customHeight="1">
      <c r="A1591" s="13"/>
      <c r="B1591" s="13"/>
      <c r="C1591" s="13"/>
      <c r="D1591" s="13"/>
      <c r="E1591" s="13"/>
      <c r="F1591" s="227"/>
      <c r="G1591" s="13"/>
      <c r="H1591" s="107"/>
      <c r="I1591" s="13"/>
      <c r="J1591" s="107"/>
      <c r="K1591" s="107"/>
      <c r="L1591" s="13"/>
    </row>
    <row r="1592" ht="15.75" customHeight="1">
      <c r="A1592" s="13"/>
      <c r="B1592" s="13"/>
      <c r="C1592" s="13"/>
      <c r="D1592" s="13"/>
      <c r="E1592" s="13"/>
      <c r="F1592" s="227"/>
      <c r="G1592" s="13"/>
      <c r="H1592" s="107"/>
      <c r="I1592" s="13"/>
      <c r="J1592" s="107"/>
      <c r="K1592" s="107"/>
      <c r="L1592" s="13"/>
    </row>
    <row r="1593" ht="15.75" customHeight="1">
      <c r="A1593" s="13"/>
      <c r="B1593" s="13"/>
      <c r="C1593" s="13"/>
      <c r="D1593" s="13"/>
      <c r="E1593" s="13"/>
      <c r="F1593" s="227"/>
      <c r="G1593" s="13"/>
      <c r="H1593" s="107"/>
      <c r="I1593" s="13"/>
      <c r="J1593" s="107"/>
      <c r="K1593" s="107"/>
      <c r="L1593" s="13"/>
    </row>
    <row r="1594" ht="15.75" customHeight="1">
      <c r="A1594" s="13"/>
      <c r="B1594" s="13"/>
      <c r="C1594" s="13"/>
      <c r="D1594" s="13"/>
      <c r="E1594" s="13"/>
      <c r="F1594" s="227"/>
      <c r="G1594" s="13"/>
      <c r="H1594" s="107"/>
      <c r="I1594" s="13"/>
      <c r="J1594" s="107"/>
      <c r="K1594" s="107"/>
      <c r="L1594" s="13"/>
    </row>
    <row r="1595" ht="15.75" customHeight="1">
      <c r="A1595" s="13"/>
      <c r="B1595" s="13"/>
      <c r="C1595" s="13"/>
      <c r="D1595" s="13"/>
      <c r="E1595" s="13"/>
      <c r="F1595" s="227"/>
      <c r="G1595" s="13"/>
      <c r="H1595" s="107"/>
      <c r="I1595" s="13"/>
      <c r="J1595" s="107"/>
      <c r="K1595" s="107"/>
      <c r="L1595" s="13"/>
    </row>
    <row r="1596" ht="15.75" customHeight="1">
      <c r="A1596" s="13"/>
      <c r="B1596" s="13"/>
      <c r="C1596" s="13"/>
      <c r="D1596" s="13"/>
      <c r="E1596" s="13"/>
      <c r="F1596" s="227"/>
      <c r="G1596" s="13"/>
      <c r="H1596" s="107"/>
      <c r="I1596" s="13"/>
      <c r="J1596" s="107"/>
      <c r="K1596" s="107"/>
      <c r="L1596" s="13"/>
    </row>
    <row r="1597" ht="15.75" customHeight="1">
      <c r="A1597" s="13"/>
      <c r="B1597" s="13"/>
      <c r="C1597" s="13"/>
      <c r="D1597" s="13"/>
      <c r="E1597" s="13"/>
      <c r="F1597" s="227"/>
      <c r="G1597" s="13"/>
      <c r="H1597" s="107"/>
      <c r="I1597" s="13"/>
      <c r="J1597" s="107"/>
      <c r="K1597" s="107"/>
      <c r="L1597" s="13"/>
    </row>
    <row r="1598" ht="15.75" customHeight="1">
      <c r="A1598" s="13"/>
      <c r="B1598" s="13"/>
      <c r="C1598" s="13"/>
      <c r="D1598" s="13"/>
      <c r="E1598" s="13"/>
      <c r="F1598" s="227"/>
      <c r="G1598" s="13"/>
      <c r="H1598" s="107"/>
      <c r="I1598" s="13"/>
      <c r="J1598" s="107"/>
      <c r="K1598" s="107"/>
      <c r="L1598" s="13"/>
    </row>
    <row r="1599" ht="15.75" customHeight="1">
      <c r="A1599" s="13"/>
      <c r="B1599" s="13"/>
      <c r="C1599" s="13"/>
      <c r="D1599" s="13"/>
      <c r="E1599" s="13"/>
      <c r="F1599" s="227"/>
      <c r="G1599" s="13"/>
      <c r="H1599" s="107"/>
      <c r="I1599" s="13"/>
      <c r="J1599" s="107"/>
      <c r="K1599" s="107"/>
      <c r="L1599" s="13"/>
    </row>
    <row r="1600" ht="15.75" customHeight="1">
      <c r="A1600" s="13"/>
      <c r="B1600" s="13"/>
      <c r="C1600" s="13"/>
      <c r="D1600" s="13"/>
      <c r="E1600" s="13"/>
      <c r="F1600" s="227"/>
      <c r="G1600" s="13"/>
      <c r="H1600" s="107"/>
      <c r="I1600" s="13"/>
      <c r="J1600" s="107"/>
      <c r="K1600" s="107"/>
      <c r="L1600" s="13"/>
    </row>
    <row r="1601" ht="15.75" customHeight="1">
      <c r="A1601" s="13"/>
      <c r="B1601" s="13"/>
      <c r="C1601" s="13"/>
      <c r="D1601" s="13"/>
      <c r="E1601" s="13"/>
      <c r="F1601" s="227"/>
      <c r="G1601" s="13"/>
      <c r="H1601" s="107"/>
      <c r="I1601" s="13"/>
      <c r="J1601" s="107"/>
      <c r="K1601" s="107"/>
      <c r="L1601" s="13"/>
    </row>
    <row r="1602" ht="15.75" customHeight="1">
      <c r="A1602" s="13"/>
      <c r="B1602" s="13"/>
      <c r="C1602" s="13"/>
      <c r="D1602" s="13"/>
      <c r="E1602" s="13"/>
      <c r="F1602" s="227"/>
      <c r="G1602" s="13"/>
      <c r="H1602" s="107"/>
      <c r="I1602" s="13"/>
      <c r="J1602" s="107"/>
      <c r="K1602" s="107"/>
      <c r="L1602" s="13"/>
    </row>
    <row r="1603" ht="15.75" customHeight="1">
      <c r="A1603" s="13"/>
      <c r="B1603" s="13"/>
      <c r="C1603" s="13"/>
      <c r="D1603" s="13"/>
      <c r="E1603" s="13"/>
      <c r="F1603" s="227"/>
      <c r="G1603" s="13"/>
      <c r="H1603" s="107"/>
      <c r="I1603" s="13"/>
      <c r="J1603" s="107"/>
      <c r="K1603" s="107"/>
      <c r="L1603" s="13"/>
    </row>
    <row r="1604" ht="15.75" customHeight="1">
      <c r="A1604" s="13"/>
      <c r="B1604" s="13"/>
      <c r="C1604" s="13"/>
      <c r="D1604" s="13"/>
      <c r="E1604" s="13"/>
      <c r="F1604" s="227"/>
      <c r="G1604" s="13"/>
      <c r="H1604" s="107"/>
      <c r="I1604" s="13"/>
      <c r="J1604" s="107"/>
      <c r="K1604" s="107"/>
      <c r="L1604" s="13"/>
    </row>
    <row r="1605" ht="15.75" customHeight="1">
      <c r="A1605" s="13"/>
      <c r="B1605" s="13"/>
      <c r="C1605" s="13"/>
      <c r="D1605" s="13"/>
      <c r="E1605" s="13"/>
      <c r="F1605" s="227"/>
      <c r="G1605" s="13"/>
      <c r="H1605" s="107"/>
      <c r="I1605" s="13"/>
      <c r="J1605" s="107"/>
      <c r="K1605" s="107"/>
      <c r="L1605" s="13"/>
    </row>
    <row r="1606" ht="15.75" customHeight="1">
      <c r="A1606" s="13"/>
      <c r="B1606" s="13"/>
      <c r="C1606" s="13"/>
      <c r="D1606" s="13"/>
      <c r="E1606" s="13"/>
      <c r="F1606" s="227"/>
      <c r="G1606" s="13"/>
      <c r="H1606" s="107"/>
      <c r="I1606" s="13"/>
      <c r="J1606" s="107"/>
      <c r="K1606" s="107"/>
      <c r="L1606" s="13"/>
    </row>
    <row r="1607" ht="15.75" customHeight="1">
      <c r="A1607" s="13"/>
      <c r="B1607" s="13"/>
      <c r="C1607" s="13"/>
      <c r="D1607" s="13"/>
      <c r="E1607" s="13"/>
      <c r="F1607" s="227"/>
      <c r="G1607" s="13"/>
      <c r="H1607" s="107"/>
      <c r="I1607" s="13"/>
      <c r="J1607" s="107"/>
      <c r="K1607" s="107"/>
      <c r="L1607" s="13"/>
    </row>
    <row r="1608" ht="15.75" customHeight="1">
      <c r="A1608" s="13"/>
      <c r="B1608" s="13"/>
      <c r="C1608" s="13"/>
      <c r="D1608" s="13"/>
      <c r="E1608" s="13"/>
      <c r="F1608" s="227"/>
      <c r="G1608" s="13"/>
      <c r="H1608" s="107"/>
      <c r="I1608" s="13"/>
      <c r="J1608" s="107"/>
      <c r="K1608" s="107"/>
      <c r="L1608" s="13"/>
    </row>
    <row r="1609" ht="15.75" customHeight="1">
      <c r="A1609" s="13"/>
      <c r="B1609" s="13"/>
      <c r="C1609" s="13"/>
      <c r="D1609" s="13"/>
      <c r="E1609" s="13"/>
      <c r="F1609" s="227"/>
      <c r="G1609" s="13"/>
      <c r="H1609" s="107"/>
      <c r="I1609" s="13"/>
      <c r="J1609" s="107"/>
      <c r="K1609" s="107"/>
      <c r="L1609" s="13"/>
    </row>
    <row r="1610" ht="15.75" customHeight="1">
      <c r="A1610" s="13"/>
      <c r="B1610" s="13"/>
      <c r="C1610" s="13"/>
      <c r="D1610" s="13"/>
      <c r="E1610" s="13"/>
      <c r="F1610" s="227"/>
      <c r="G1610" s="13"/>
      <c r="H1610" s="107"/>
      <c r="I1610" s="13"/>
      <c r="J1610" s="107"/>
      <c r="K1610" s="107"/>
      <c r="L1610" s="13"/>
    </row>
    <row r="1611" ht="15.75" customHeight="1">
      <c r="A1611" s="13"/>
      <c r="B1611" s="13"/>
      <c r="C1611" s="13"/>
      <c r="D1611" s="13"/>
      <c r="E1611" s="13"/>
      <c r="F1611" s="227"/>
      <c r="G1611" s="13"/>
      <c r="H1611" s="107"/>
      <c r="I1611" s="13"/>
      <c r="J1611" s="107"/>
      <c r="K1611" s="107"/>
      <c r="L1611" s="13"/>
    </row>
    <row r="1612" ht="15.75" customHeight="1">
      <c r="A1612" s="13"/>
      <c r="B1612" s="13"/>
      <c r="C1612" s="13"/>
      <c r="D1612" s="13"/>
      <c r="E1612" s="13"/>
      <c r="F1612" s="227"/>
      <c r="G1612" s="13"/>
      <c r="H1612" s="107"/>
      <c r="I1612" s="13"/>
      <c r="J1612" s="107"/>
      <c r="K1612" s="107"/>
      <c r="L1612" s="13"/>
    </row>
    <row r="1613" ht="15.75" customHeight="1">
      <c r="A1613" s="13"/>
      <c r="B1613" s="13"/>
      <c r="C1613" s="13"/>
      <c r="D1613" s="13"/>
      <c r="E1613" s="13"/>
      <c r="F1613" s="227"/>
      <c r="G1613" s="13"/>
      <c r="H1613" s="107"/>
      <c r="I1613" s="13"/>
      <c r="J1613" s="107"/>
      <c r="K1613" s="107"/>
      <c r="L1613" s="13"/>
    </row>
    <row r="1614" ht="15.75" customHeight="1">
      <c r="A1614" s="13"/>
      <c r="B1614" s="13"/>
      <c r="C1614" s="13"/>
      <c r="D1614" s="13"/>
      <c r="E1614" s="13"/>
      <c r="F1614" s="227"/>
      <c r="G1614" s="13"/>
      <c r="H1614" s="107"/>
      <c r="I1614" s="13"/>
      <c r="J1614" s="107"/>
      <c r="K1614" s="107"/>
      <c r="L1614" s="13"/>
    </row>
    <row r="1615" ht="15.75" customHeight="1">
      <c r="A1615" s="13"/>
      <c r="B1615" s="13"/>
      <c r="C1615" s="13"/>
      <c r="D1615" s="13"/>
      <c r="E1615" s="13"/>
      <c r="F1615" s="227"/>
      <c r="G1615" s="13"/>
      <c r="H1615" s="107"/>
      <c r="I1615" s="13"/>
      <c r="J1615" s="107"/>
      <c r="K1615" s="107"/>
      <c r="L1615" s="13"/>
    </row>
    <row r="1616" ht="15.75" customHeight="1">
      <c r="A1616" s="13"/>
      <c r="B1616" s="13"/>
      <c r="C1616" s="13"/>
      <c r="D1616" s="13"/>
      <c r="E1616" s="13"/>
      <c r="F1616" s="227"/>
      <c r="G1616" s="13"/>
      <c r="H1616" s="107"/>
      <c r="I1616" s="13"/>
      <c r="J1616" s="107"/>
      <c r="K1616" s="107"/>
      <c r="L1616" s="13"/>
    </row>
    <row r="1617" ht="15.75" customHeight="1">
      <c r="A1617" s="13"/>
      <c r="B1617" s="13"/>
      <c r="C1617" s="13"/>
      <c r="D1617" s="13"/>
      <c r="E1617" s="13"/>
      <c r="F1617" s="227"/>
      <c r="G1617" s="13"/>
      <c r="H1617" s="107"/>
      <c r="I1617" s="13"/>
      <c r="J1617" s="107"/>
      <c r="K1617" s="107"/>
      <c r="L1617" s="13"/>
    </row>
    <row r="1618" ht="15.75" customHeight="1">
      <c r="A1618" s="13"/>
      <c r="B1618" s="13"/>
      <c r="C1618" s="13"/>
      <c r="D1618" s="13"/>
      <c r="E1618" s="13"/>
      <c r="F1618" s="227"/>
      <c r="G1618" s="13"/>
      <c r="H1618" s="107"/>
      <c r="I1618" s="13"/>
      <c r="J1618" s="107"/>
      <c r="K1618" s="107"/>
      <c r="L1618" s="13"/>
    </row>
    <row r="1619" ht="15.75" customHeight="1">
      <c r="A1619" s="13"/>
      <c r="B1619" s="13"/>
      <c r="C1619" s="13"/>
      <c r="D1619" s="13"/>
      <c r="E1619" s="13"/>
      <c r="F1619" s="227"/>
      <c r="G1619" s="13"/>
      <c r="H1619" s="107"/>
      <c r="I1619" s="13"/>
      <c r="J1619" s="107"/>
      <c r="K1619" s="107"/>
      <c r="L1619" s="13"/>
    </row>
    <row r="1620" ht="15.75" customHeight="1">
      <c r="A1620" s="13"/>
      <c r="B1620" s="13"/>
      <c r="C1620" s="13"/>
      <c r="D1620" s="13"/>
      <c r="E1620" s="13"/>
      <c r="F1620" s="227"/>
      <c r="G1620" s="13"/>
      <c r="H1620" s="107"/>
      <c r="I1620" s="13"/>
      <c r="J1620" s="107"/>
      <c r="K1620" s="107"/>
      <c r="L1620" s="13"/>
    </row>
    <row r="1621" ht="15.75" customHeight="1">
      <c r="A1621" s="13"/>
      <c r="B1621" s="13"/>
      <c r="C1621" s="13"/>
      <c r="D1621" s="13"/>
      <c r="E1621" s="13"/>
      <c r="F1621" s="227"/>
      <c r="G1621" s="13"/>
      <c r="H1621" s="107"/>
      <c r="I1621" s="13"/>
      <c r="J1621" s="107"/>
      <c r="K1621" s="107"/>
      <c r="L1621" s="13"/>
    </row>
    <row r="1622" ht="15.75" customHeight="1">
      <c r="A1622" s="13"/>
      <c r="B1622" s="13"/>
      <c r="C1622" s="13"/>
      <c r="D1622" s="13"/>
      <c r="E1622" s="13"/>
      <c r="F1622" s="227"/>
      <c r="G1622" s="13"/>
      <c r="H1622" s="107"/>
      <c r="I1622" s="13"/>
      <c r="J1622" s="107"/>
      <c r="K1622" s="107"/>
      <c r="L1622" s="13"/>
    </row>
    <row r="1623" ht="15.75" customHeight="1">
      <c r="A1623" s="13"/>
      <c r="B1623" s="13"/>
      <c r="C1623" s="13"/>
      <c r="D1623" s="13"/>
      <c r="E1623" s="13"/>
      <c r="F1623" s="227"/>
      <c r="G1623" s="13"/>
      <c r="H1623" s="107"/>
      <c r="I1623" s="13"/>
      <c r="J1623" s="107"/>
      <c r="K1623" s="107"/>
      <c r="L1623" s="13"/>
    </row>
    <row r="1624" ht="15.75" customHeight="1">
      <c r="A1624" s="13"/>
      <c r="B1624" s="13"/>
      <c r="C1624" s="13"/>
      <c r="D1624" s="13"/>
      <c r="E1624" s="13"/>
      <c r="F1624" s="227"/>
      <c r="G1624" s="13"/>
      <c r="H1624" s="107"/>
      <c r="I1624" s="13"/>
      <c r="J1624" s="107"/>
      <c r="K1624" s="107"/>
      <c r="L1624" s="13"/>
    </row>
    <row r="1625" ht="15.75" customHeight="1">
      <c r="A1625" s="13"/>
      <c r="B1625" s="13"/>
      <c r="C1625" s="13"/>
      <c r="D1625" s="13"/>
      <c r="E1625" s="13"/>
      <c r="F1625" s="227"/>
      <c r="G1625" s="13"/>
      <c r="H1625" s="107"/>
      <c r="I1625" s="13"/>
      <c r="J1625" s="107"/>
      <c r="K1625" s="107"/>
      <c r="L1625" s="13"/>
    </row>
    <row r="1626" ht="15.75" customHeight="1">
      <c r="A1626" s="13"/>
      <c r="B1626" s="13"/>
      <c r="C1626" s="13"/>
      <c r="D1626" s="13"/>
      <c r="E1626" s="13"/>
      <c r="F1626" s="227"/>
      <c r="G1626" s="13"/>
      <c r="H1626" s="107"/>
      <c r="I1626" s="13"/>
      <c r="J1626" s="107"/>
      <c r="K1626" s="107"/>
      <c r="L1626" s="13"/>
    </row>
    <row r="1627" ht="15.75" customHeight="1">
      <c r="A1627" s="13"/>
      <c r="B1627" s="13"/>
      <c r="C1627" s="13"/>
      <c r="D1627" s="13"/>
      <c r="E1627" s="13"/>
      <c r="F1627" s="227"/>
      <c r="G1627" s="13"/>
      <c r="H1627" s="107"/>
      <c r="I1627" s="13"/>
      <c r="J1627" s="107"/>
      <c r="K1627" s="107"/>
      <c r="L1627" s="13"/>
    </row>
    <row r="1628" ht="15.75" customHeight="1">
      <c r="A1628" s="13"/>
      <c r="B1628" s="13"/>
      <c r="C1628" s="13"/>
      <c r="D1628" s="13"/>
      <c r="E1628" s="13"/>
      <c r="F1628" s="227"/>
      <c r="G1628" s="13"/>
      <c r="H1628" s="107"/>
      <c r="I1628" s="13"/>
      <c r="J1628" s="107"/>
      <c r="K1628" s="107"/>
      <c r="L1628" s="13"/>
    </row>
    <row r="1629" ht="15.75" customHeight="1">
      <c r="A1629" s="13"/>
      <c r="B1629" s="13"/>
      <c r="C1629" s="13"/>
      <c r="D1629" s="13"/>
      <c r="E1629" s="13"/>
      <c r="F1629" s="227"/>
      <c r="G1629" s="13"/>
      <c r="H1629" s="107"/>
      <c r="I1629" s="13"/>
      <c r="J1629" s="107"/>
      <c r="K1629" s="107"/>
      <c r="L1629" s="13"/>
    </row>
    <row r="1630" ht="15.75" customHeight="1">
      <c r="A1630" s="13"/>
      <c r="B1630" s="13"/>
      <c r="C1630" s="13"/>
      <c r="D1630" s="13"/>
      <c r="E1630" s="13"/>
      <c r="F1630" s="227"/>
      <c r="G1630" s="13"/>
      <c r="H1630" s="107"/>
      <c r="I1630" s="13"/>
      <c r="J1630" s="107"/>
      <c r="K1630" s="107"/>
      <c r="L1630" s="13"/>
    </row>
    <row r="1631" ht="15.75" customHeight="1">
      <c r="A1631" s="13"/>
      <c r="B1631" s="13"/>
      <c r="C1631" s="13"/>
      <c r="D1631" s="13"/>
      <c r="E1631" s="13"/>
      <c r="F1631" s="227"/>
      <c r="G1631" s="13"/>
      <c r="H1631" s="107"/>
      <c r="I1631" s="13"/>
      <c r="J1631" s="107"/>
      <c r="K1631" s="107"/>
      <c r="L1631" s="13"/>
    </row>
    <row r="1632" ht="15.75" customHeight="1">
      <c r="A1632" s="13"/>
      <c r="B1632" s="13"/>
      <c r="C1632" s="13"/>
      <c r="D1632" s="13"/>
      <c r="E1632" s="13"/>
      <c r="F1632" s="227"/>
      <c r="G1632" s="13"/>
      <c r="H1632" s="107"/>
      <c r="I1632" s="13"/>
      <c r="J1632" s="107"/>
      <c r="K1632" s="107"/>
      <c r="L1632" s="13"/>
    </row>
    <row r="1633" ht="15.75" customHeight="1">
      <c r="A1633" s="13"/>
      <c r="B1633" s="13"/>
      <c r="C1633" s="13"/>
      <c r="D1633" s="13"/>
      <c r="E1633" s="13"/>
      <c r="F1633" s="227"/>
      <c r="G1633" s="13"/>
      <c r="H1633" s="107"/>
      <c r="I1633" s="13"/>
      <c r="J1633" s="107"/>
      <c r="K1633" s="107"/>
      <c r="L1633" s="13"/>
    </row>
    <row r="1634" ht="15.75" customHeight="1">
      <c r="A1634" s="13"/>
      <c r="B1634" s="13"/>
      <c r="C1634" s="13"/>
      <c r="D1634" s="13"/>
      <c r="E1634" s="13"/>
      <c r="F1634" s="227"/>
      <c r="G1634" s="13"/>
      <c r="H1634" s="107"/>
      <c r="I1634" s="13"/>
      <c r="J1634" s="107"/>
      <c r="K1634" s="107"/>
      <c r="L1634" s="13"/>
    </row>
    <row r="1635" ht="15.75" customHeight="1">
      <c r="A1635" s="13"/>
      <c r="B1635" s="13"/>
      <c r="C1635" s="13"/>
      <c r="D1635" s="13"/>
      <c r="E1635" s="13"/>
      <c r="F1635" s="227"/>
      <c r="G1635" s="13"/>
      <c r="H1635" s="107"/>
      <c r="I1635" s="13"/>
      <c r="J1635" s="107"/>
      <c r="K1635" s="107"/>
      <c r="L1635" s="13"/>
    </row>
    <row r="1636" ht="15.75" customHeight="1">
      <c r="A1636" s="13"/>
      <c r="B1636" s="13"/>
      <c r="C1636" s="13"/>
      <c r="D1636" s="13"/>
      <c r="E1636" s="13"/>
      <c r="F1636" s="227"/>
      <c r="G1636" s="13"/>
      <c r="H1636" s="107"/>
      <c r="I1636" s="13"/>
      <c r="J1636" s="107"/>
      <c r="K1636" s="107"/>
      <c r="L1636" s="13"/>
    </row>
    <row r="1637" ht="15.75" customHeight="1">
      <c r="A1637" s="13"/>
      <c r="B1637" s="13"/>
      <c r="C1637" s="13"/>
      <c r="D1637" s="13"/>
      <c r="E1637" s="13"/>
      <c r="F1637" s="227"/>
      <c r="G1637" s="13"/>
      <c r="H1637" s="107"/>
      <c r="I1637" s="13"/>
      <c r="J1637" s="107"/>
      <c r="K1637" s="107"/>
      <c r="L1637" s="13"/>
    </row>
    <row r="1638" ht="15.75" customHeight="1">
      <c r="A1638" s="13"/>
      <c r="B1638" s="13"/>
      <c r="C1638" s="13"/>
      <c r="D1638" s="13"/>
      <c r="E1638" s="13"/>
      <c r="F1638" s="227"/>
      <c r="G1638" s="13"/>
      <c r="H1638" s="107"/>
      <c r="I1638" s="13"/>
      <c r="J1638" s="107"/>
      <c r="K1638" s="107"/>
      <c r="L1638" s="13"/>
    </row>
    <row r="1639" ht="15.75" customHeight="1">
      <c r="A1639" s="13"/>
      <c r="B1639" s="13"/>
      <c r="C1639" s="13"/>
      <c r="D1639" s="13"/>
      <c r="E1639" s="13"/>
      <c r="F1639" s="227"/>
      <c r="G1639" s="13"/>
      <c r="H1639" s="107"/>
      <c r="I1639" s="13"/>
      <c r="J1639" s="107"/>
      <c r="K1639" s="107"/>
      <c r="L1639" s="13"/>
    </row>
    <row r="1640" ht="15.75" customHeight="1">
      <c r="A1640" s="13"/>
      <c r="B1640" s="13"/>
      <c r="C1640" s="13"/>
      <c r="D1640" s="13"/>
      <c r="E1640" s="13"/>
      <c r="F1640" s="227"/>
      <c r="G1640" s="13"/>
      <c r="H1640" s="107"/>
      <c r="I1640" s="13"/>
      <c r="J1640" s="107"/>
      <c r="K1640" s="107"/>
      <c r="L1640" s="13"/>
    </row>
    <row r="1641" ht="15.75" customHeight="1">
      <c r="A1641" s="13"/>
      <c r="B1641" s="13"/>
      <c r="C1641" s="13"/>
      <c r="D1641" s="13"/>
      <c r="E1641" s="13"/>
      <c r="F1641" s="227"/>
      <c r="G1641" s="13"/>
      <c r="H1641" s="107"/>
      <c r="I1641" s="13"/>
      <c r="J1641" s="107"/>
      <c r="K1641" s="107"/>
      <c r="L1641" s="13"/>
    </row>
    <row r="1642" ht="15.75" customHeight="1">
      <c r="A1642" s="13"/>
      <c r="B1642" s="13"/>
      <c r="C1642" s="13"/>
      <c r="D1642" s="13"/>
      <c r="E1642" s="13"/>
      <c r="F1642" s="227"/>
      <c r="G1642" s="13"/>
      <c r="H1642" s="107"/>
      <c r="I1642" s="13"/>
      <c r="J1642" s="107"/>
      <c r="K1642" s="107"/>
      <c r="L1642" s="13"/>
    </row>
    <row r="1643" ht="15.75" customHeight="1">
      <c r="A1643" s="13"/>
      <c r="B1643" s="13"/>
      <c r="C1643" s="13"/>
      <c r="D1643" s="13"/>
      <c r="E1643" s="13"/>
      <c r="F1643" s="227"/>
      <c r="G1643" s="13"/>
      <c r="H1643" s="107"/>
      <c r="I1643" s="13"/>
      <c r="J1643" s="107"/>
      <c r="K1643" s="107"/>
      <c r="L1643" s="13"/>
    </row>
    <row r="1644" ht="15.75" customHeight="1">
      <c r="A1644" s="13"/>
      <c r="B1644" s="13"/>
      <c r="C1644" s="13"/>
      <c r="D1644" s="13"/>
      <c r="E1644" s="13"/>
      <c r="F1644" s="227"/>
      <c r="G1644" s="13"/>
      <c r="H1644" s="107"/>
      <c r="I1644" s="13"/>
      <c r="J1644" s="107"/>
      <c r="K1644" s="107"/>
      <c r="L1644" s="13"/>
    </row>
    <row r="1645" ht="15.75" customHeight="1">
      <c r="A1645" s="13"/>
      <c r="B1645" s="13"/>
      <c r="C1645" s="13"/>
      <c r="D1645" s="13"/>
      <c r="E1645" s="13"/>
      <c r="F1645" s="227"/>
      <c r="G1645" s="13"/>
      <c r="H1645" s="107"/>
      <c r="I1645" s="13"/>
      <c r="J1645" s="107"/>
      <c r="K1645" s="107"/>
      <c r="L1645" s="13"/>
    </row>
    <row r="1646" ht="15.75" customHeight="1">
      <c r="A1646" s="13"/>
      <c r="B1646" s="13"/>
      <c r="C1646" s="13"/>
      <c r="D1646" s="13"/>
      <c r="E1646" s="13"/>
      <c r="F1646" s="227"/>
      <c r="G1646" s="13"/>
      <c r="H1646" s="107"/>
      <c r="I1646" s="13"/>
      <c r="J1646" s="107"/>
      <c r="K1646" s="107"/>
      <c r="L1646" s="13"/>
    </row>
    <row r="1647" ht="15.75" customHeight="1">
      <c r="A1647" s="13"/>
      <c r="B1647" s="13"/>
      <c r="C1647" s="13"/>
      <c r="D1647" s="13"/>
      <c r="E1647" s="13"/>
      <c r="F1647" s="227"/>
      <c r="G1647" s="13"/>
      <c r="H1647" s="107"/>
      <c r="I1647" s="13"/>
      <c r="J1647" s="107"/>
      <c r="K1647" s="107"/>
      <c r="L1647" s="13"/>
    </row>
    <row r="1648" ht="15.75" customHeight="1">
      <c r="A1648" s="13"/>
      <c r="B1648" s="13"/>
      <c r="C1648" s="13"/>
      <c r="D1648" s="13"/>
      <c r="E1648" s="13"/>
      <c r="F1648" s="227"/>
      <c r="G1648" s="13"/>
      <c r="H1648" s="107"/>
      <c r="I1648" s="13"/>
      <c r="J1648" s="107"/>
      <c r="K1648" s="107"/>
      <c r="L1648" s="13"/>
    </row>
    <row r="1649" ht="15.75" customHeight="1">
      <c r="A1649" s="13"/>
      <c r="B1649" s="13"/>
      <c r="C1649" s="13"/>
      <c r="D1649" s="13"/>
      <c r="E1649" s="13"/>
      <c r="F1649" s="227"/>
      <c r="G1649" s="13"/>
      <c r="H1649" s="107"/>
      <c r="I1649" s="13"/>
      <c r="J1649" s="107"/>
      <c r="K1649" s="107"/>
      <c r="L1649" s="13"/>
    </row>
    <row r="1650" ht="15.75" customHeight="1">
      <c r="A1650" s="13"/>
      <c r="B1650" s="13"/>
      <c r="C1650" s="13"/>
      <c r="D1650" s="13"/>
      <c r="E1650" s="13"/>
      <c r="F1650" s="227"/>
      <c r="G1650" s="13"/>
      <c r="H1650" s="107"/>
      <c r="I1650" s="13"/>
      <c r="J1650" s="107"/>
      <c r="K1650" s="107"/>
      <c r="L1650" s="13"/>
    </row>
    <row r="1651" ht="15.75" customHeight="1">
      <c r="A1651" s="13"/>
      <c r="B1651" s="13"/>
      <c r="C1651" s="13"/>
      <c r="D1651" s="13"/>
      <c r="E1651" s="13"/>
      <c r="F1651" s="227"/>
      <c r="G1651" s="13"/>
      <c r="H1651" s="107"/>
      <c r="I1651" s="13"/>
      <c r="J1651" s="107"/>
      <c r="K1651" s="107"/>
      <c r="L1651" s="13"/>
    </row>
    <row r="1652" ht="15.75" customHeight="1">
      <c r="A1652" s="13"/>
      <c r="B1652" s="13"/>
      <c r="C1652" s="13"/>
      <c r="D1652" s="13"/>
      <c r="E1652" s="13"/>
      <c r="F1652" s="227"/>
      <c r="G1652" s="13"/>
      <c r="H1652" s="107"/>
      <c r="I1652" s="13"/>
      <c r="J1652" s="107"/>
      <c r="K1652" s="107"/>
      <c r="L1652" s="13"/>
    </row>
    <row r="1653" ht="15.75" customHeight="1">
      <c r="A1653" s="13"/>
      <c r="B1653" s="13"/>
      <c r="C1653" s="13"/>
      <c r="D1653" s="13"/>
      <c r="E1653" s="13"/>
      <c r="F1653" s="227"/>
      <c r="G1653" s="13"/>
      <c r="H1653" s="107"/>
      <c r="I1653" s="13"/>
      <c r="J1653" s="107"/>
      <c r="K1653" s="107"/>
      <c r="L1653" s="13"/>
    </row>
    <row r="1654" ht="15.75" customHeight="1">
      <c r="A1654" s="13"/>
      <c r="B1654" s="13"/>
      <c r="C1654" s="13"/>
      <c r="D1654" s="13"/>
      <c r="E1654" s="13"/>
      <c r="F1654" s="227"/>
      <c r="G1654" s="13"/>
      <c r="H1654" s="107"/>
      <c r="I1654" s="13"/>
      <c r="J1654" s="107"/>
      <c r="K1654" s="107"/>
      <c r="L1654" s="13"/>
    </row>
    <row r="1655" ht="15.75" customHeight="1">
      <c r="A1655" s="13"/>
      <c r="B1655" s="13"/>
      <c r="C1655" s="13"/>
      <c r="D1655" s="13"/>
      <c r="E1655" s="13"/>
      <c r="F1655" s="227"/>
      <c r="G1655" s="13"/>
      <c r="H1655" s="107"/>
      <c r="I1655" s="13"/>
      <c r="J1655" s="107"/>
      <c r="K1655" s="107"/>
      <c r="L1655" s="13"/>
    </row>
    <row r="1656" ht="15.75" customHeight="1">
      <c r="A1656" s="13"/>
      <c r="B1656" s="13"/>
      <c r="C1656" s="13"/>
      <c r="D1656" s="13"/>
      <c r="E1656" s="13"/>
      <c r="F1656" s="227"/>
      <c r="G1656" s="13"/>
      <c r="H1656" s="107"/>
      <c r="I1656" s="13"/>
      <c r="J1656" s="107"/>
      <c r="K1656" s="107"/>
      <c r="L1656" s="13"/>
    </row>
    <row r="1657" ht="15.75" customHeight="1">
      <c r="A1657" s="13"/>
      <c r="B1657" s="13"/>
      <c r="C1657" s="13"/>
      <c r="D1657" s="13"/>
      <c r="E1657" s="13"/>
      <c r="F1657" s="227"/>
      <c r="G1657" s="13"/>
      <c r="H1657" s="107"/>
      <c r="I1657" s="13"/>
      <c r="J1657" s="107"/>
      <c r="K1657" s="107"/>
      <c r="L1657" s="13"/>
    </row>
    <row r="1658" ht="15.75" customHeight="1">
      <c r="A1658" s="13"/>
      <c r="B1658" s="13"/>
      <c r="C1658" s="13"/>
      <c r="D1658" s="13"/>
      <c r="E1658" s="13"/>
      <c r="F1658" s="227"/>
      <c r="G1658" s="13"/>
      <c r="H1658" s="107"/>
      <c r="I1658" s="13"/>
      <c r="J1658" s="107"/>
      <c r="K1658" s="107"/>
      <c r="L1658" s="13"/>
    </row>
    <row r="1659" ht="15.75" customHeight="1">
      <c r="A1659" s="13"/>
      <c r="B1659" s="13"/>
      <c r="C1659" s="13"/>
      <c r="D1659" s="13"/>
      <c r="E1659" s="13"/>
      <c r="F1659" s="227"/>
      <c r="G1659" s="13"/>
      <c r="H1659" s="107"/>
      <c r="I1659" s="13"/>
      <c r="J1659" s="107"/>
      <c r="K1659" s="107"/>
      <c r="L1659" s="13"/>
    </row>
    <row r="1660" ht="15.75" customHeight="1">
      <c r="A1660" s="13"/>
      <c r="B1660" s="13"/>
      <c r="C1660" s="13"/>
      <c r="D1660" s="13"/>
      <c r="E1660" s="13"/>
      <c r="F1660" s="227"/>
      <c r="G1660" s="13"/>
      <c r="H1660" s="107"/>
      <c r="I1660" s="13"/>
      <c r="J1660" s="107"/>
      <c r="K1660" s="107"/>
      <c r="L1660" s="13"/>
    </row>
    <row r="1661" ht="15.75" customHeight="1">
      <c r="A1661" s="13"/>
      <c r="B1661" s="13"/>
      <c r="C1661" s="13"/>
      <c r="D1661" s="13"/>
      <c r="E1661" s="13"/>
      <c r="F1661" s="227"/>
      <c r="G1661" s="13"/>
      <c r="H1661" s="107"/>
      <c r="I1661" s="13"/>
      <c r="J1661" s="107"/>
      <c r="K1661" s="107"/>
      <c r="L1661" s="13"/>
    </row>
    <row r="1662" ht="15.75" customHeight="1">
      <c r="A1662" s="13"/>
      <c r="B1662" s="13"/>
      <c r="C1662" s="13"/>
      <c r="D1662" s="13"/>
      <c r="E1662" s="13"/>
      <c r="F1662" s="227"/>
      <c r="G1662" s="13"/>
      <c r="H1662" s="107"/>
      <c r="I1662" s="13"/>
      <c r="J1662" s="107"/>
      <c r="K1662" s="107"/>
      <c r="L1662" s="13"/>
    </row>
    <row r="1663" ht="15.75" customHeight="1">
      <c r="A1663" s="13"/>
      <c r="B1663" s="13"/>
      <c r="C1663" s="13"/>
      <c r="D1663" s="13"/>
      <c r="E1663" s="13"/>
      <c r="F1663" s="227"/>
      <c r="G1663" s="13"/>
      <c r="H1663" s="107"/>
      <c r="I1663" s="13"/>
      <c r="J1663" s="107"/>
      <c r="K1663" s="107"/>
      <c r="L1663" s="13"/>
    </row>
    <row r="1664" ht="15.75" customHeight="1">
      <c r="A1664" s="13"/>
      <c r="B1664" s="13"/>
      <c r="C1664" s="13"/>
      <c r="D1664" s="13"/>
      <c r="E1664" s="13"/>
      <c r="F1664" s="227"/>
      <c r="G1664" s="13"/>
      <c r="H1664" s="107"/>
      <c r="I1664" s="13"/>
      <c r="J1664" s="107"/>
      <c r="K1664" s="107"/>
      <c r="L1664" s="13"/>
    </row>
    <row r="1665" ht="15.75" customHeight="1">
      <c r="A1665" s="13"/>
      <c r="B1665" s="13"/>
      <c r="C1665" s="13"/>
      <c r="D1665" s="13"/>
      <c r="E1665" s="13"/>
      <c r="F1665" s="227"/>
      <c r="G1665" s="13"/>
      <c r="H1665" s="107"/>
      <c r="I1665" s="13"/>
      <c r="J1665" s="107"/>
      <c r="K1665" s="107"/>
      <c r="L1665" s="13"/>
    </row>
    <row r="1666" ht="15.75" customHeight="1">
      <c r="A1666" s="13"/>
      <c r="B1666" s="13"/>
      <c r="C1666" s="13"/>
      <c r="D1666" s="13"/>
      <c r="E1666" s="13"/>
      <c r="F1666" s="227"/>
      <c r="G1666" s="13"/>
      <c r="H1666" s="107"/>
      <c r="I1666" s="13"/>
      <c r="J1666" s="107"/>
      <c r="K1666" s="107"/>
      <c r="L1666" s="13"/>
    </row>
    <row r="1667" ht="15.75" customHeight="1">
      <c r="A1667" s="13"/>
      <c r="B1667" s="13"/>
      <c r="C1667" s="13"/>
      <c r="D1667" s="13"/>
      <c r="E1667" s="13"/>
      <c r="F1667" s="227"/>
      <c r="G1667" s="13"/>
      <c r="H1667" s="107"/>
      <c r="I1667" s="13"/>
      <c r="J1667" s="107"/>
      <c r="K1667" s="107"/>
      <c r="L1667" s="13"/>
    </row>
    <row r="1668" ht="15.75" customHeight="1">
      <c r="A1668" s="13"/>
      <c r="B1668" s="13"/>
      <c r="C1668" s="13"/>
      <c r="D1668" s="13"/>
      <c r="E1668" s="13"/>
      <c r="F1668" s="227"/>
      <c r="G1668" s="13"/>
      <c r="H1668" s="107"/>
      <c r="I1668" s="13"/>
      <c r="J1668" s="107"/>
      <c r="K1668" s="107"/>
      <c r="L1668" s="13"/>
    </row>
    <row r="1669" ht="15.75" customHeight="1">
      <c r="A1669" s="13"/>
      <c r="B1669" s="13"/>
      <c r="C1669" s="13"/>
      <c r="D1669" s="13"/>
      <c r="E1669" s="13"/>
      <c r="F1669" s="227"/>
      <c r="G1669" s="13"/>
      <c r="H1669" s="107"/>
      <c r="I1669" s="13"/>
      <c r="J1669" s="107"/>
      <c r="K1669" s="107"/>
      <c r="L1669" s="13"/>
    </row>
    <row r="1670" ht="15.75" customHeight="1">
      <c r="A1670" s="13"/>
      <c r="B1670" s="13"/>
      <c r="C1670" s="13"/>
      <c r="D1670" s="13"/>
      <c r="E1670" s="13"/>
      <c r="F1670" s="227"/>
      <c r="G1670" s="13"/>
      <c r="H1670" s="107"/>
      <c r="I1670" s="13"/>
      <c r="J1670" s="107"/>
      <c r="K1670" s="107"/>
      <c r="L1670" s="13"/>
    </row>
    <row r="1671" ht="15.75" customHeight="1">
      <c r="A1671" s="13"/>
      <c r="B1671" s="13"/>
      <c r="C1671" s="13"/>
      <c r="D1671" s="13"/>
      <c r="E1671" s="13"/>
      <c r="F1671" s="227"/>
      <c r="G1671" s="13"/>
      <c r="H1671" s="107"/>
      <c r="I1671" s="13"/>
      <c r="J1671" s="107"/>
      <c r="K1671" s="107"/>
      <c r="L1671" s="13"/>
    </row>
    <row r="1672" ht="15.75" customHeight="1">
      <c r="A1672" s="13"/>
      <c r="B1672" s="13"/>
      <c r="C1672" s="13"/>
      <c r="D1672" s="13"/>
      <c r="E1672" s="13"/>
      <c r="F1672" s="227"/>
      <c r="G1672" s="13"/>
      <c r="H1672" s="107"/>
      <c r="I1672" s="13"/>
      <c r="J1672" s="107"/>
      <c r="K1672" s="107"/>
      <c r="L1672" s="13"/>
    </row>
    <row r="1673" ht="15.75" customHeight="1">
      <c r="A1673" s="13"/>
      <c r="B1673" s="13"/>
      <c r="C1673" s="13"/>
      <c r="D1673" s="13"/>
      <c r="E1673" s="13"/>
      <c r="F1673" s="227"/>
      <c r="G1673" s="13"/>
      <c r="H1673" s="107"/>
      <c r="I1673" s="13"/>
      <c r="J1673" s="107"/>
      <c r="K1673" s="107"/>
      <c r="L1673" s="13"/>
    </row>
    <row r="1674" ht="15.75" customHeight="1">
      <c r="A1674" s="13"/>
      <c r="B1674" s="13"/>
      <c r="C1674" s="13"/>
      <c r="D1674" s="13"/>
      <c r="E1674" s="13"/>
      <c r="F1674" s="227"/>
      <c r="G1674" s="13"/>
      <c r="H1674" s="107"/>
      <c r="I1674" s="13"/>
      <c r="J1674" s="107"/>
      <c r="K1674" s="107"/>
      <c r="L1674" s="13"/>
    </row>
    <row r="1675" ht="15.75" customHeight="1">
      <c r="A1675" s="13"/>
      <c r="B1675" s="13"/>
      <c r="C1675" s="13"/>
      <c r="D1675" s="13"/>
      <c r="E1675" s="13"/>
      <c r="F1675" s="227"/>
      <c r="G1675" s="13"/>
      <c r="H1675" s="107"/>
      <c r="I1675" s="13"/>
      <c r="J1675" s="107"/>
      <c r="K1675" s="107"/>
      <c r="L1675" s="13"/>
    </row>
    <row r="1676" ht="15.75" customHeight="1">
      <c r="A1676" s="13"/>
      <c r="B1676" s="13"/>
      <c r="C1676" s="13"/>
      <c r="D1676" s="13"/>
      <c r="E1676" s="13"/>
      <c r="F1676" s="227"/>
      <c r="G1676" s="13"/>
      <c r="H1676" s="107"/>
      <c r="I1676" s="13"/>
      <c r="J1676" s="107"/>
      <c r="K1676" s="107"/>
      <c r="L1676" s="13"/>
    </row>
    <row r="1677" ht="15.75" customHeight="1">
      <c r="A1677" s="13"/>
      <c r="B1677" s="13"/>
      <c r="C1677" s="13"/>
      <c r="D1677" s="13"/>
      <c r="E1677" s="13"/>
      <c r="F1677" s="227"/>
      <c r="G1677" s="13"/>
      <c r="H1677" s="107"/>
      <c r="I1677" s="13"/>
      <c r="J1677" s="107"/>
      <c r="K1677" s="107"/>
      <c r="L1677" s="13"/>
    </row>
    <row r="1678" ht="15.75" customHeight="1">
      <c r="A1678" s="13"/>
      <c r="B1678" s="13"/>
      <c r="C1678" s="13"/>
      <c r="D1678" s="13"/>
      <c r="E1678" s="13"/>
      <c r="F1678" s="227"/>
      <c r="G1678" s="13"/>
      <c r="H1678" s="107"/>
      <c r="I1678" s="13"/>
      <c r="J1678" s="107"/>
      <c r="K1678" s="107"/>
      <c r="L1678" s="13"/>
    </row>
    <row r="1679" ht="15.75" customHeight="1">
      <c r="A1679" s="13"/>
      <c r="B1679" s="13"/>
      <c r="C1679" s="13"/>
      <c r="D1679" s="13"/>
      <c r="E1679" s="13"/>
      <c r="F1679" s="227"/>
      <c r="G1679" s="13"/>
      <c r="H1679" s="107"/>
      <c r="I1679" s="13"/>
      <c r="J1679" s="107"/>
      <c r="K1679" s="107"/>
      <c r="L1679" s="13"/>
    </row>
    <row r="1680" ht="15.75" customHeight="1">
      <c r="A1680" s="13"/>
      <c r="B1680" s="13"/>
      <c r="C1680" s="13"/>
      <c r="D1680" s="13"/>
      <c r="E1680" s="13"/>
      <c r="F1680" s="227"/>
      <c r="G1680" s="13"/>
      <c r="H1680" s="107"/>
      <c r="I1680" s="13"/>
      <c r="J1680" s="107"/>
      <c r="K1680" s="107"/>
      <c r="L1680" s="13"/>
    </row>
    <row r="1681" ht="15.75" customHeight="1">
      <c r="A1681" s="13"/>
      <c r="B1681" s="13"/>
      <c r="C1681" s="13"/>
      <c r="D1681" s="13"/>
      <c r="E1681" s="13"/>
      <c r="F1681" s="227"/>
      <c r="G1681" s="13"/>
      <c r="H1681" s="107"/>
      <c r="I1681" s="13"/>
      <c r="J1681" s="107"/>
      <c r="K1681" s="107"/>
      <c r="L1681" s="13"/>
    </row>
    <row r="1682" ht="15.75" customHeight="1">
      <c r="A1682" s="13"/>
      <c r="B1682" s="13"/>
      <c r="C1682" s="13"/>
      <c r="D1682" s="13"/>
      <c r="E1682" s="13"/>
      <c r="F1682" s="227"/>
      <c r="G1682" s="13"/>
      <c r="H1682" s="107"/>
      <c r="I1682" s="13"/>
      <c r="J1682" s="107"/>
      <c r="K1682" s="107"/>
      <c r="L1682" s="13"/>
    </row>
    <row r="1683" ht="15.75" customHeight="1">
      <c r="A1683" s="13"/>
      <c r="B1683" s="13"/>
      <c r="C1683" s="13"/>
      <c r="D1683" s="13"/>
      <c r="E1683" s="13"/>
      <c r="F1683" s="227"/>
      <c r="G1683" s="13"/>
      <c r="H1683" s="107"/>
      <c r="I1683" s="13"/>
      <c r="J1683" s="107"/>
      <c r="K1683" s="107"/>
      <c r="L1683" s="13"/>
    </row>
    <row r="1684" ht="15.75" customHeight="1">
      <c r="A1684" s="13"/>
      <c r="B1684" s="13"/>
      <c r="C1684" s="13"/>
      <c r="D1684" s="13"/>
      <c r="E1684" s="13"/>
      <c r="F1684" s="227"/>
      <c r="G1684" s="13"/>
      <c r="H1684" s="107"/>
      <c r="I1684" s="13"/>
      <c r="J1684" s="107"/>
      <c r="K1684" s="107"/>
      <c r="L1684" s="13"/>
    </row>
    <row r="1685" ht="15.75" customHeight="1">
      <c r="A1685" s="13"/>
      <c r="B1685" s="13"/>
      <c r="C1685" s="13"/>
      <c r="D1685" s="13"/>
      <c r="E1685" s="13"/>
      <c r="F1685" s="227"/>
      <c r="G1685" s="13"/>
      <c r="H1685" s="107"/>
      <c r="I1685" s="13"/>
      <c r="J1685" s="107"/>
      <c r="K1685" s="107"/>
      <c r="L1685" s="13"/>
    </row>
    <row r="1686" ht="15.75" customHeight="1">
      <c r="A1686" s="13"/>
      <c r="B1686" s="13"/>
      <c r="C1686" s="13"/>
      <c r="D1686" s="13"/>
      <c r="E1686" s="13"/>
      <c r="F1686" s="227"/>
      <c r="G1686" s="13"/>
      <c r="H1686" s="107"/>
      <c r="I1686" s="13"/>
      <c r="J1686" s="107"/>
      <c r="K1686" s="107"/>
      <c r="L1686" s="13"/>
    </row>
    <row r="1687" ht="15.75" customHeight="1">
      <c r="A1687" s="13"/>
      <c r="B1687" s="13"/>
      <c r="C1687" s="13"/>
      <c r="D1687" s="13"/>
      <c r="E1687" s="13"/>
      <c r="F1687" s="227"/>
      <c r="G1687" s="13"/>
      <c r="H1687" s="107"/>
      <c r="I1687" s="13"/>
      <c r="J1687" s="107"/>
      <c r="K1687" s="107"/>
      <c r="L1687" s="13"/>
    </row>
    <row r="1688" ht="15.75" customHeight="1">
      <c r="A1688" s="13"/>
      <c r="B1688" s="13"/>
      <c r="C1688" s="13"/>
      <c r="D1688" s="13"/>
      <c r="E1688" s="13"/>
      <c r="F1688" s="227"/>
      <c r="G1688" s="13"/>
      <c r="H1688" s="107"/>
      <c r="I1688" s="13"/>
      <c r="J1688" s="107"/>
      <c r="K1688" s="107"/>
      <c r="L1688" s="13"/>
    </row>
    <row r="1689" ht="15.75" customHeight="1">
      <c r="A1689" s="13"/>
      <c r="B1689" s="13"/>
      <c r="C1689" s="13"/>
      <c r="D1689" s="13"/>
      <c r="E1689" s="13"/>
      <c r="F1689" s="227"/>
      <c r="G1689" s="13"/>
      <c r="H1689" s="107"/>
      <c r="I1689" s="13"/>
      <c r="J1689" s="107"/>
      <c r="K1689" s="107"/>
      <c r="L1689" s="13"/>
    </row>
    <row r="1690" ht="15.75" customHeight="1">
      <c r="A1690" s="13"/>
      <c r="B1690" s="13"/>
      <c r="C1690" s="13"/>
      <c r="D1690" s="13"/>
      <c r="E1690" s="13"/>
      <c r="F1690" s="227"/>
      <c r="G1690" s="13"/>
      <c r="H1690" s="107"/>
      <c r="I1690" s="13"/>
      <c r="J1690" s="107"/>
      <c r="K1690" s="107"/>
      <c r="L1690" s="13"/>
    </row>
    <row r="1691" ht="15.75" customHeight="1">
      <c r="A1691" s="13"/>
      <c r="B1691" s="13"/>
      <c r="C1691" s="13"/>
      <c r="D1691" s="13"/>
      <c r="E1691" s="13"/>
      <c r="F1691" s="227"/>
      <c r="G1691" s="13"/>
      <c r="H1691" s="107"/>
      <c r="I1691" s="13"/>
      <c r="J1691" s="107"/>
      <c r="K1691" s="107"/>
      <c r="L1691" s="13"/>
    </row>
    <row r="1692" ht="15.75" customHeight="1">
      <c r="A1692" s="13"/>
      <c r="B1692" s="13"/>
      <c r="C1692" s="13"/>
      <c r="D1692" s="13"/>
      <c r="E1692" s="13"/>
      <c r="F1692" s="227"/>
      <c r="G1692" s="13"/>
      <c r="H1692" s="107"/>
      <c r="I1692" s="13"/>
      <c r="J1692" s="107"/>
      <c r="K1692" s="107"/>
      <c r="L1692" s="13"/>
    </row>
    <row r="1693" ht="15.75" customHeight="1">
      <c r="A1693" s="13"/>
      <c r="B1693" s="13"/>
      <c r="C1693" s="13"/>
      <c r="D1693" s="13"/>
      <c r="E1693" s="13"/>
      <c r="F1693" s="227"/>
      <c r="G1693" s="13"/>
      <c r="H1693" s="107"/>
      <c r="I1693" s="13"/>
      <c r="J1693" s="107"/>
      <c r="K1693" s="107"/>
      <c r="L1693" s="13"/>
    </row>
    <row r="1694" ht="15.75" customHeight="1">
      <c r="A1694" s="13"/>
      <c r="B1694" s="13"/>
      <c r="C1694" s="13"/>
      <c r="D1694" s="13"/>
      <c r="E1694" s="13"/>
      <c r="F1694" s="227"/>
      <c r="G1694" s="13"/>
      <c r="H1694" s="107"/>
      <c r="I1694" s="13"/>
      <c r="J1694" s="107"/>
      <c r="K1694" s="107"/>
      <c r="L1694" s="13"/>
    </row>
    <row r="1695" ht="15.75" customHeight="1">
      <c r="A1695" s="13"/>
      <c r="B1695" s="13"/>
      <c r="C1695" s="13"/>
      <c r="D1695" s="13"/>
      <c r="E1695" s="13"/>
      <c r="F1695" s="227"/>
      <c r="G1695" s="13"/>
      <c r="H1695" s="107"/>
      <c r="I1695" s="13"/>
      <c r="J1695" s="107"/>
      <c r="K1695" s="107"/>
      <c r="L1695" s="13"/>
    </row>
    <row r="1696" ht="15.75" customHeight="1">
      <c r="A1696" s="13"/>
      <c r="B1696" s="13"/>
      <c r="C1696" s="13"/>
      <c r="D1696" s="13"/>
      <c r="E1696" s="13"/>
      <c r="F1696" s="227"/>
      <c r="G1696" s="13"/>
      <c r="H1696" s="107"/>
      <c r="I1696" s="13"/>
      <c r="J1696" s="107"/>
      <c r="K1696" s="107"/>
      <c r="L1696" s="13"/>
    </row>
    <row r="1697" ht="15.75" customHeight="1">
      <c r="A1697" s="13"/>
      <c r="B1697" s="13"/>
      <c r="C1697" s="13"/>
      <c r="D1697" s="13"/>
      <c r="E1697" s="13"/>
      <c r="F1697" s="227"/>
      <c r="G1697" s="13"/>
      <c r="H1697" s="107"/>
      <c r="I1697" s="13"/>
      <c r="J1697" s="107"/>
      <c r="K1697" s="107"/>
      <c r="L1697" s="13"/>
    </row>
    <row r="1698" ht="15.75" customHeight="1">
      <c r="A1698" s="13"/>
      <c r="B1698" s="13"/>
      <c r="C1698" s="13"/>
      <c r="D1698" s="13"/>
      <c r="E1698" s="13"/>
      <c r="F1698" s="227"/>
      <c r="G1698" s="13"/>
      <c r="H1698" s="107"/>
      <c r="I1698" s="13"/>
      <c r="J1698" s="107"/>
      <c r="K1698" s="107"/>
      <c r="L1698" s="13"/>
    </row>
    <row r="1699" ht="15.75" customHeight="1">
      <c r="A1699" s="13"/>
      <c r="B1699" s="13"/>
      <c r="C1699" s="13"/>
      <c r="D1699" s="13"/>
      <c r="E1699" s="13"/>
      <c r="F1699" s="227"/>
      <c r="G1699" s="13"/>
      <c r="H1699" s="107"/>
      <c r="I1699" s="13"/>
      <c r="J1699" s="107"/>
      <c r="K1699" s="107"/>
      <c r="L1699" s="13"/>
    </row>
    <row r="1700" ht="15.75" customHeight="1">
      <c r="A1700" s="13"/>
      <c r="B1700" s="13"/>
      <c r="C1700" s="13"/>
      <c r="D1700" s="13"/>
      <c r="E1700" s="13"/>
      <c r="F1700" s="227"/>
      <c r="G1700" s="13"/>
      <c r="H1700" s="107"/>
      <c r="I1700" s="13"/>
      <c r="J1700" s="107"/>
      <c r="K1700" s="107"/>
      <c r="L1700" s="13"/>
    </row>
    <row r="1701" ht="15.75" customHeight="1">
      <c r="A1701" s="13"/>
      <c r="B1701" s="13"/>
      <c r="C1701" s="13"/>
      <c r="D1701" s="13"/>
      <c r="E1701" s="13"/>
      <c r="F1701" s="227"/>
      <c r="G1701" s="13"/>
      <c r="H1701" s="107"/>
      <c r="I1701" s="13"/>
      <c r="J1701" s="107"/>
      <c r="K1701" s="107"/>
      <c r="L1701" s="13"/>
    </row>
    <row r="1702" ht="15.75" customHeight="1">
      <c r="A1702" s="13"/>
      <c r="B1702" s="13"/>
      <c r="C1702" s="13"/>
      <c r="D1702" s="13"/>
      <c r="E1702" s="13"/>
      <c r="F1702" s="227"/>
      <c r="G1702" s="13"/>
      <c r="H1702" s="107"/>
      <c r="I1702" s="13"/>
      <c r="J1702" s="107"/>
      <c r="K1702" s="107"/>
      <c r="L1702" s="13"/>
    </row>
    <row r="1703" ht="15.75" customHeight="1">
      <c r="A1703" s="13"/>
      <c r="B1703" s="13"/>
      <c r="C1703" s="13"/>
      <c r="D1703" s="13"/>
      <c r="E1703" s="13"/>
      <c r="F1703" s="227"/>
      <c r="G1703" s="13"/>
      <c r="H1703" s="107"/>
      <c r="I1703" s="13"/>
      <c r="J1703" s="107"/>
      <c r="K1703" s="107"/>
      <c r="L1703" s="13"/>
    </row>
    <row r="1704" ht="15.75" customHeight="1">
      <c r="A1704" s="13"/>
      <c r="B1704" s="13"/>
      <c r="C1704" s="13"/>
      <c r="D1704" s="13"/>
      <c r="E1704" s="13"/>
      <c r="F1704" s="227"/>
      <c r="G1704" s="13"/>
      <c r="H1704" s="107"/>
      <c r="I1704" s="13"/>
      <c r="J1704" s="107"/>
      <c r="K1704" s="107"/>
      <c r="L1704" s="13"/>
    </row>
    <row r="1705" ht="15.75" customHeight="1">
      <c r="A1705" s="13"/>
      <c r="B1705" s="13"/>
      <c r="C1705" s="13"/>
      <c r="D1705" s="13"/>
      <c r="E1705" s="13"/>
      <c r="F1705" s="227"/>
      <c r="G1705" s="13"/>
      <c r="H1705" s="107"/>
      <c r="I1705" s="13"/>
      <c r="J1705" s="107"/>
      <c r="K1705" s="107"/>
      <c r="L1705" s="13"/>
    </row>
    <row r="1706" ht="15.75" customHeight="1">
      <c r="A1706" s="13"/>
      <c r="B1706" s="13"/>
      <c r="C1706" s="13"/>
      <c r="D1706" s="13"/>
      <c r="E1706" s="13"/>
      <c r="F1706" s="227"/>
      <c r="G1706" s="13"/>
      <c r="H1706" s="107"/>
      <c r="I1706" s="13"/>
      <c r="J1706" s="107"/>
      <c r="K1706" s="107"/>
      <c r="L1706" s="13"/>
    </row>
    <row r="1707" ht="15.75" customHeight="1">
      <c r="A1707" s="13"/>
      <c r="B1707" s="13"/>
      <c r="C1707" s="13"/>
      <c r="D1707" s="13"/>
      <c r="E1707" s="13"/>
      <c r="F1707" s="227"/>
      <c r="G1707" s="13"/>
      <c r="H1707" s="107"/>
      <c r="I1707" s="13"/>
      <c r="J1707" s="107"/>
      <c r="K1707" s="107"/>
      <c r="L1707" s="13"/>
    </row>
    <row r="1708" ht="15.75" customHeight="1">
      <c r="A1708" s="13"/>
      <c r="B1708" s="13"/>
      <c r="C1708" s="13"/>
      <c r="D1708" s="13"/>
      <c r="E1708" s="13"/>
      <c r="F1708" s="227"/>
      <c r="G1708" s="13"/>
      <c r="H1708" s="107"/>
      <c r="I1708" s="13"/>
      <c r="J1708" s="107"/>
      <c r="K1708" s="107"/>
      <c r="L1708" s="13"/>
    </row>
    <row r="1709" ht="15.75" customHeight="1">
      <c r="A1709" s="13"/>
      <c r="B1709" s="13"/>
      <c r="C1709" s="13"/>
      <c r="D1709" s="13"/>
      <c r="E1709" s="13"/>
      <c r="F1709" s="227"/>
      <c r="G1709" s="13"/>
      <c r="H1709" s="107"/>
      <c r="I1709" s="13"/>
      <c r="J1709" s="107"/>
      <c r="K1709" s="107"/>
      <c r="L1709" s="13"/>
    </row>
    <row r="1710" ht="15.75" customHeight="1">
      <c r="A1710" s="13"/>
      <c r="B1710" s="13"/>
      <c r="C1710" s="13"/>
      <c r="D1710" s="13"/>
      <c r="E1710" s="13"/>
      <c r="F1710" s="227"/>
      <c r="G1710" s="13"/>
      <c r="H1710" s="107"/>
      <c r="I1710" s="13"/>
      <c r="J1710" s="107"/>
      <c r="K1710" s="107"/>
      <c r="L1710" s="13"/>
    </row>
    <row r="1711" ht="15.75" customHeight="1">
      <c r="A1711" s="13"/>
      <c r="B1711" s="13"/>
      <c r="C1711" s="13"/>
      <c r="D1711" s="13"/>
      <c r="E1711" s="13"/>
      <c r="F1711" s="227"/>
      <c r="G1711" s="13"/>
      <c r="H1711" s="107"/>
      <c r="I1711" s="13"/>
      <c r="J1711" s="107"/>
      <c r="K1711" s="107"/>
      <c r="L1711" s="13"/>
    </row>
    <row r="1712" ht="15.75" customHeight="1">
      <c r="A1712" s="13"/>
      <c r="B1712" s="13"/>
      <c r="C1712" s="13"/>
      <c r="D1712" s="13"/>
      <c r="E1712" s="13"/>
      <c r="F1712" s="227"/>
      <c r="G1712" s="13"/>
      <c r="H1712" s="107"/>
      <c r="I1712" s="13"/>
      <c r="J1712" s="107"/>
      <c r="K1712" s="107"/>
      <c r="L1712" s="13"/>
    </row>
    <row r="1713" ht="15.75" customHeight="1">
      <c r="A1713" s="13"/>
      <c r="B1713" s="13"/>
      <c r="C1713" s="13"/>
      <c r="D1713" s="13"/>
      <c r="E1713" s="13"/>
      <c r="F1713" s="227"/>
      <c r="G1713" s="13"/>
      <c r="H1713" s="107"/>
      <c r="I1713" s="13"/>
      <c r="J1713" s="107"/>
      <c r="K1713" s="107"/>
      <c r="L1713" s="13"/>
    </row>
    <row r="1714" ht="15.75" customHeight="1">
      <c r="A1714" s="13"/>
      <c r="B1714" s="13"/>
      <c r="C1714" s="13"/>
      <c r="D1714" s="13"/>
      <c r="E1714" s="13"/>
      <c r="F1714" s="227"/>
      <c r="G1714" s="13"/>
      <c r="H1714" s="107"/>
      <c r="I1714" s="13"/>
      <c r="J1714" s="107"/>
      <c r="K1714" s="107"/>
      <c r="L1714" s="13"/>
    </row>
    <row r="1715" ht="15.75" customHeight="1">
      <c r="A1715" s="13"/>
      <c r="B1715" s="13"/>
      <c r="C1715" s="13"/>
      <c r="D1715" s="13"/>
      <c r="E1715" s="13"/>
      <c r="F1715" s="227"/>
      <c r="G1715" s="13"/>
      <c r="H1715" s="107"/>
      <c r="I1715" s="13"/>
      <c r="J1715" s="107"/>
      <c r="K1715" s="107"/>
      <c r="L1715" s="13"/>
    </row>
    <row r="1716" ht="15.75" customHeight="1">
      <c r="A1716" s="13"/>
      <c r="B1716" s="13"/>
      <c r="C1716" s="13"/>
      <c r="D1716" s="13"/>
      <c r="E1716" s="13"/>
      <c r="F1716" s="227"/>
      <c r="G1716" s="13"/>
      <c r="H1716" s="107"/>
      <c r="I1716" s="13"/>
      <c r="J1716" s="107"/>
      <c r="K1716" s="107"/>
      <c r="L1716" s="13"/>
    </row>
    <row r="1717" ht="15.75" customHeight="1">
      <c r="A1717" s="13"/>
      <c r="B1717" s="13"/>
      <c r="C1717" s="13"/>
      <c r="D1717" s="13"/>
      <c r="E1717" s="13"/>
      <c r="F1717" s="227"/>
      <c r="G1717" s="13"/>
      <c r="H1717" s="107"/>
      <c r="I1717" s="13"/>
      <c r="J1717" s="107"/>
      <c r="K1717" s="107"/>
      <c r="L1717" s="13"/>
    </row>
    <row r="1718" ht="15.75" customHeight="1">
      <c r="A1718" s="13"/>
      <c r="B1718" s="13"/>
      <c r="C1718" s="13"/>
      <c r="D1718" s="13"/>
      <c r="E1718" s="13"/>
      <c r="F1718" s="227"/>
      <c r="G1718" s="13"/>
      <c r="H1718" s="107"/>
      <c r="I1718" s="13"/>
      <c r="J1718" s="107"/>
      <c r="K1718" s="107"/>
      <c r="L1718" s="13"/>
    </row>
    <row r="1719" ht="15.75" customHeight="1">
      <c r="A1719" s="13"/>
      <c r="B1719" s="13"/>
      <c r="C1719" s="13"/>
      <c r="D1719" s="13"/>
      <c r="E1719" s="13"/>
      <c r="F1719" s="227"/>
      <c r="G1719" s="13"/>
      <c r="H1719" s="107"/>
      <c r="I1719" s="13"/>
      <c r="J1719" s="107"/>
      <c r="K1719" s="107"/>
      <c r="L1719" s="13"/>
    </row>
    <row r="1720" ht="15.75" customHeight="1">
      <c r="A1720" s="13"/>
      <c r="B1720" s="13"/>
      <c r="C1720" s="13"/>
      <c r="D1720" s="13"/>
      <c r="E1720" s="13"/>
      <c r="F1720" s="227"/>
      <c r="G1720" s="13"/>
      <c r="H1720" s="107"/>
      <c r="I1720" s="13"/>
      <c r="J1720" s="107"/>
      <c r="K1720" s="107"/>
      <c r="L1720" s="13"/>
    </row>
    <row r="1721" ht="15.75" customHeight="1">
      <c r="A1721" s="13"/>
      <c r="B1721" s="13"/>
      <c r="C1721" s="13"/>
      <c r="D1721" s="13"/>
      <c r="E1721" s="13"/>
      <c r="F1721" s="227"/>
      <c r="G1721" s="13"/>
      <c r="H1721" s="107"/>
      <c r="I1721" s="13"/>
      <c r="J1721" s="107"/>
      <c r="K1721" s="107"/>
      <c r="L1721" s="13"/>
    </row>
    <row r="1722" ht="15.75" customHeight="1">
      <c r="A1722" s="13"/>
      <c r="B1722" s="13"/>
      <c r="C1722" s="13"/>
      <c r="D1722" s="13"/>
      <c r="E1722" s="13"/>
      <c r="F1722" s="227"/>
      <c r="G1722" s="13"/>
      <c r="H1722" s="107"/>
      <c r="I1722" s="13"/>
      <c r="J1722" s="107"/>
      <c r="K1722" s="107"/>
      <c r="L1722" s="13"/>
    </row>
    <row r="1723" ht="15.75" customHeight="1">
      <c r="A1723" s="13"/>
      <c r="B1723" s="13"/>
      <c r="C1723" s="13"/>
      <c r="D1723" s="13"/>
      <c r="E1723" s="13"/>
      <c r="F1723" s="227"/>
      <c r="G1723" s="13"/>
      <c r="H1723" s="107"/>
      <c r="I1723" s="13"/>
      <c r="J1723" s="107"/>
      <c r="K1723" s="107"/>
      <c r="L1723" s="13"/>
    </row>
    <row r="1724" ht="15.75" customHeight="1">
      <c r="A1724" s="13"/>
      <c r="B1724" s="13"/>
      <c r="C1724" s="13"/>
      <c r="D1724" s="13"/>
      <c r="E1724" s="13"/>
      <c r="F1724" s="227"/>
      <c r="G1724" s="13"/>
      <c r="H1724" s="107"/>
      <c r="I1724" s="13"/>
      <c r="J1724" s="107"/>
      <c r="K1724" s="107"/>
      <c r="L1724" s="13"/>
    </row>
    <row r="1725" ht="15.75" customHeight="1">
      <c r="A1725" s="13"/>
      <c r="B1725" s="13"/>
      <c r="C1725" s="13"/>
      <c r="D1725" s="13"/>
      <c r="E1725" s="13"/>
      <c r="F1725" s="227"/>
      <c r="G1725" s="13"/>
      <c r="H1725" s="107"/>
      <c r="I1725" s="13"/>
      <c r="J1725" s="107"/>
      <c r="K1725" s="107"/>
      <c r="L1725" s="13"/>
    </row>
    <row r="1726" ht="15.75" customHeight="1">
      <c r="A1726" s="13"/>
      <c r="B1726" s="13"/>
      <c r="C1726" s="13"/>
      <c r="D1726" s="13"/>
      <c r="E1726" s="13"/>
      <c r="F1726" s="227"/>
      <c r="G1726" s="13"/>
      <c r="H1726" s="107"/>
      <c r="I1726" s="13"/>
      <c r="J1726" s="107"/>
      <c r="K1726" s="107"/>
      <c r="L1726" s="13"/>
    </row>
    <row r="1727" ht="15.75" customHeight="1">
      <c r="A1727" s="13"/>
      <c r="B1727" s="13"/>
      <c r="C1727" s="13"/>
      <c r="D1727" s="13"/>
      <c r="E1727" s="13"/>
      <c r="F1727" s="227"/>
      <c r="G1727" s="13"/>
      <c r="H1727" s="107"/>
      <c r="I1727" s="13"/>
      <c r="J1727" s="107"/>
      <c r="K1727" s="107"/>
      <c r="L1727" s="13"/>
    </row>
    <row r="1728" ht="15.75" customHeight="1">
      <c r="A1728" s="13"/>
      <c r="B1728" s="13"/>
      <c r="C1728" s="13"/>
      <c r="D1728" s="13"/>
      <c r="E1728" s="13"/>
      <c r="F1728" s="227"/>
      <c r="G1728" s="13"/>
      <c r="H1728" s="107"/>
      <c r="I1728" s="13"/>
      <c r="J1728" s="107"/>
      <c r="K1728" s="107"/>
      <c r="L1728" s="13"/>
    </row>
    <row r="1729" ht="15.75" customHeight="1">
      <c r="A1729" s="13"/>
      <c r="B1729" s="13"/>
      <c r="C1729" s="13"/>
      <c r="D1729" s="13"/>
      <c r="E1729" s="13"/>
      <c r="F1729" s="227"/>
      <c r="G1729" s="13"/>
      <c r="H1729" s="107"/>
      <c r="I1729" s="13"/>
      <c r="J1729" s="107"/>
      <c r="K1729" s="107"/>
      <c r="L1729" s="13"/>
    </row>
    <row r="1730" ht="15.75" customHeight="1">
      <c r="A1730" s="13"/>
      <c r="B1730" s="13"/>
      <c r="C1730" s="13"/>
      <c r="D1730" s="13"/>
      <c r="E1730" s="13"/>
      <c r="F1730" s="227"/>
      <c r="G1730" s="13"/>
      <c r="H1730" s="107"/>
      <c r="I1730" s="13"/>
      <c r="J1730" s="107"/>
      <c r="K1730" s="107"/>
      <c r="L1730" s="13"/>
    </row>
    <row r="1731" ht="15.75" customHeight="1">
      <c r="A1731" s="13"/>
      <c r="B1731" s="13"/>
      <c r="C1731" s="13"/>
      <c r="D1731" s="13"/>
      <c r="E1731" s="13"/>
      <c r="F1731" s="227"/>
      <c r="G1731" s="13"/>
      <c r="H1731" s="107"/>
      <c r="I1731" s="13"/>
      <c r="J1731" s="107"/>
      <c r="K1731" s="107"/>
      <c r="L1731" s="13"/>
    </row>
    <row r="1732" ht="15.75" customHeight="1">
      <c r="A1732" s="13"/>
      <c r="B1732" s="13"/>
      <c r="C1732" s="13"/>
      <c r="D1732" s="13"/>
      <c r="E1732" s="13"/>
      <c r="F1732" s="227"/>
      <c r="G1732" s="13"/>
      <c r="H1732" s="107"/>
      <c r="I1732" s="13"/>
      <c r="J1732" s="107"/>
      <c r="K1732" s="107"/>
      <c r="L1732" s="13"/>
    </row>
    <row r="1733" ht="15.75" customHeight="1">
      <c r="A1733" s="13"/>
      <c r="B1733" s="13"/>
      <c r="C1733" s="13"/>
      <c r="D1733" s="13"/>
      <c r="E1733" s="13"/>
      <c r="F1733" s="227"/>
      <c r="G1733" s="13"/>
      <c r="H1733" s="107"/>
      <c r="I1733" s="13"/>
      <c r="J1733" s="107"/>
      <c r="K1733" s="107"/>
      <c r="L1733" s="13"/>
    </row>
    <row r="1734" ht="15.75" customHeight="1">
      <c r="A1734" s="13"/>
      <c r="B1734" s="13"/>
      <c r="C1734" s="13"/>
      <c r="D1734" s="13"/>
      <c r="E1734" s="13"/>
      <c r="F1734" s="227"/>
      <c r="G1734" s="13"/>
      <c r="H1734" s="107"/>
      <c r="I1734" s="13"/>
      <c r="J1734" s="107"/>
      <c r="K1734" s="107"/>
      <c r="L1734" s="13"/>
    </row>
    <row r="1735" ht="15.75" customHeight="1">
      <c r="A1735" s="13"/>
      <c r="B1735" s="13"/>
      <c r="C1735" s="13"/>
      <c r="D1735" s="13"/>
      <c r="E1735" s="13"/>
      <c r="F1735" s="227"/>
      <c r="G1735" s="13"/>
      <c r="H1735" s="107"/>
      <c r="I1735" s="13"/>
      <c r="J1735" s="107"/>
      <c r="K1735" s="107"/>
      <c r="L1735" s="13"/>
    </row>
    <row r="1736" ht="15.75" customHeight="1">
      <c r="A1736" s="13"/>
      <c r="B1736" s="13"/>
      <c r="C1736" s="13"/>
      <c r="D1736" s="13"/>
      <c r="E1736" s="13"/>
      <c r="F1736" s="227"/>
      <c r="G1736" s="13"/>
      <c r="H1736" s="107"/>
      <c r="I1736" s="13"/>
      <c r="J1736" s="107"/>
      <c r="K1736" s="107"/>
      <c r="L1736" s="13"/>
    </row>
    <row r="1737" ht="15.75" customHeight="1">
      <c r="A1737" s="13"/>
      <c r="B1737" s="13"/>
      <c r="C1737" s="13"/>
      <c r="D1737" s="13"/>
      <c r="E1737" s="13"/>
      <c r="F1737" s="227"/>
      <c r="G1737" s="13"/>
      <c r="H1737" s="107"/>
      <c r="I1737" s="13"/>
      <c r="J1737" s="107"/>
      <c r="K1737" s="107"/>
      <c r="L1737" s="13"/>
    </row>
    <row r="1738" ht="15.75" customHeight="1">
      <c r="A1738" s="13"/>
      <c r="B1738" s="13"/>
      <c r="C1738" s="13"/>
      <c r="D1738" s="13"/>
      <c r="E1738" s="13"/>
      <c r="F1738" s="227"/>
      <c r="G1738" s="13"/>
      <c r="H1738" s="107"/>
      <c r="I1738" s="13"/>
      <c r="J1738" s="107"/>
      <c r="K1738" s="107"/>
      <c r="L1738" s="13"/>
    </row>
    <row r="1739" ht="15.75" customHeight="1">
      <c r="A1739" s="13"/>
      <c r="B1739" s="13"/>
      <c r="C1739" s="13"/>
      <c r="D1739" s="13"/>
      <c r="E1739" s="13"/>
      <c r="F1739" s="227"/>
      <c r="G1739" s="13"/>
      <c r="H1739" s="107"/>
      <c r="I1739" s="13"/>
      <c r="J1739" s="107"/>
      <c r="K1739" s="107"/>
      <c r="L1739" s="13"/>
    </row>
    <row r="1740" ht="15.75" customHeight="1">
      <c r="A1740" s="13"/>
      <c r="B1740" s="13"/>
      <c r="C1740" s="13"/>
      <c r="D1740" s="13"/>
      <c r="E1740" s="13"/>
      <c r="F1740" s="227"/>
      <c r="G1740" s="13"/>
      <c r="H1740" s="107"/>
      <c r="I1740" s="13"/>
      <c r="J1740" s="107"/>
      <c r="K1740" s="107"/>
      <c r="L1740" s="13"/>
    </row>
    <row r="1741" ht="15.75" customHeight="1">
      <c r="A1741" s="13"/>
      <c r="B1741" s="13"/>
      <c r="C1741" s="13"/>
      <c r="D1741" s="13"/>
      <c r="E1741" s="13"/>
      <c r="F1741" s="227"/>
      <c r="G1741" s="13"/>
      <c r="H1741" s="107"/>
      <c r="I1741" s="13"/>
      <c r="J1741" s="107"/>
      <c r="K1741" s="107"/>
      <c r="L1741" s="13"/>
    </row>
    <row r="1742" ht="15.75" customHeight="1">
      <c r="A1742" s="13"/>
      <c r="B1742" s="13"/>
      <c r="C1742" s="13"/>
      <c r="D1742" s="13"/>
      <c r="E1742" s="13"/>
      <c r="F1742" s="227"/>
      <c r="G1742" s="13"/>
      <c r="H1742" s="107"/>
      <c r="I1742" s="13"/>
      <c r="J1742" s="107"/>
      <c r="K1742" s="107"/>
      <c r="L1742" s="13"/>
    </row>
    <row r="1743" ht="15.75" customHeight="1">
      <c r="A1743" s="13"/>
      <c r="B1743" s="13"/>
      <c r="C1743" s="13"/>
      <c r="D1743" s="13"/>
      <c r="E1743" s="13"/>
      <c r="F1743" s="227"/>
      <c r="G1743" s="13"/>
      <c r="H1743" s="107"/>
      <c r="I1743" s="13"/>
      <c r="J1743" s="107"/>
      <c r="K1743" s="107"/>
      <c r="L1743" s="13"/>
    </row>
    <row r="1744" ht="15.75" customHeight="1">
      <c r="A1744" s="13"/>
      <c r="B1744" s="13"/>
      <c r="C1744" s="13"/>
      <c r="D1744" s="13"/>
      <c r="E1744" s="13"/>
      <c r="F1744" s="227"/>
      <c r="G1744" s="13"/>
      <c r="H1744" s="107"/>
      <c r="I1744" s="13"/>
      <c r="J1744" s="107"/>
      <c r="K1744" s="107"/>
      <c r="L1744" s="13"/>
    </row>
    <row r="1745" ht="15.75" customHeight="1">
      <c r="A1745" s="13"/>
      <c r="B1745" s="13"/>
      <c r="C1745" s="13"/>
      <c r="D1745" s="13"/>
      <c r="E1745" s="13"/>
      <c r="F1745" s="227"/>
      <c r="G1745" s="13"/>
      <c r="H1745" s="107"/>
      <c r="I1745" s="13"/>
      <c r="J1745" s="107"/>
      <c r="K1745" s="107"/>
      <c r="L1745" s="13"/>
    </row>
    <row r="1746" ht="15.75" customHeight="1">
      <c r="A1746" s="13"/>
      <c r="B1746" s="13"/>
      <c r="C1746" s="13"/>
      <c r="D1746" s="13"/>
      <c r="E1746" s="13"/>
      <c r="F1746" s="227"/>
      <c r="G1746" s="13"/>
      <c r="H1746" s="107"/>
      <c r="I1746" s="13"/>
      <c r="J1746" s="107"/>
      <c r="K1746" s="107"/>
      <c r="L1746" s="13"/>
    </row>
    <row r="1747" ht="15.75" customHeight="1">
      <c r="A1747" s="13"/>
      <c r="B1747" s="13"/>
      <c r="C1747" s="13"/>
      <c r="D1747" s="13"/>
      <c r="E1747" s="13"/>
      <c r="F1747" s="227"/>
      <c r="G1747" s="13"/>
      <c r="H1747" s="107"/>
      <c r="I1747" s="13"/>
      <c r="J1747" s="107"/>
      <c r="K1747" s="107"/>
      <c r="L1747" s="13"/>
    </row>
    <row r="1748" ht="15.75" customHeight="1">
      <c r="A1748" s="13"/>
      <c r="B1748" s="13"/>
      <c r="C1748" s="13"/>
      <c r="D1748" s="13"/>
      <c r="E1748" s="13"/>
      <c r="F1748" s="227"/>
      <c r="G1748" s="13"/>
      <c r="H1748" s="107"/>
      <c r="I1748" s="13"/>
      <c r="J1748" s="107"/>
      <c r="K1748" s="107"/>
      <c r="L1748" s="13"/>
    </row>
    <row r="1749" ht="15.75" customHeight="1">
      <c r="A1749" s="13"/>
      <c r="B1749" s="13"/>
      <c r="C1749" s="13"/>
      <c r="D1749" s="13"/>
      <c r="E1749" s="13"/>
      <c r="F1749" s="227"/>
      <c r="G1749" s="13"/>
      <c r="H1749" s="107"/>
      <c r="I1749" s="13"/>
      <c r="J1749" s="107"/>
      <c r="K1749" s="107"/>
      <c r="L1749" s="13"/>
    </row>
    <row r="1750" ht="15.75" customHeight="1">
      <c r="A1750" s="13"/>
      <c r="B1750" s="13"/>
      <c r="C1750" s="13"/>
      <c r="D1750" s="13"/>
      <c r="E1750" s="13"/>
      <c r="F1750" s="227"/>
      <c r="G1750" s="13"/>
      <c r="H1750" s="107"/>
      <c r="I1750" s="13"/>
      <c r="J1750" s="107"/>
      <c r="K1750" s="107"/>
      <c r="L1750" s="13"/>
    </row>
    <row r="1751" ht="15.75" customHeight="1">
      <c r="A1751" s="13"/>
      <c r="B1751" s="13"/>
      <c r="C1751" s="13"/>
      <c r="D1751" s="13"/>
      <c r="E1751" s="13"/>
      <c r="F1751" s="227"/>
      <c r="G1751" s="13"/>
      <c r="H1751" s="107"/>
      <c r="I1751" s="13"/>
      <c r="J1751" s="107"/>
      <c r="K1751" s="107"/>
      <c r="L1751" s="13"/>
    </row>
    <row r="1752" ht="15.75" customHeight="1">
      <c r="A1752" s="13"/>
      <c r="B1752" s="13"/>
      <c r="C1752" s="13"/>
      <c r="D1752" s="13"/>
      <c r="E1752" s="13"/>
      <c r="F1752" s="227"/>
      <c r="G1752" s="13"/>
      <c r="H1752" s="107"/>
      <c r="I1752" s="13"/>
      <c r="J1752" s="107"/>
      <c r="K1752" s="107"/>
      <c r="L1752" s="13"/>
    </row>
    <row r="1753" ht="15.75" customHeight="1">
      <c r="A1753" s="13"/>
      <c r="B1753" s="13"/>
      <c r="C1753" s="13"/>
      <c r="D1753" s="13"/>
      <c r="E1753" s="13"/>
      <c r="F1753" s="227"/>
      <c r="G1753" s="13"/>
      <c r="H1753" s="107"/>
      <c r="I1753" s="13"/>
      <c r="J1753" s="107"/>
      <c r="K1753" s="107"/>
      <c r="L1753" s="13"/>
    </row>
    <row r="1754" ht="15.75" customHeight="1">
      <c r="A1754" s="13"/>
      <c r="B1754" s="13"/>
      <c r="C1754" s="13"/>
      <c r="D1754" s="13"/>
      <c r="E1754" s="13"/>
      <c r="F1754" s="227"/>
      <c r="G1754" s="13"/>
      <c r="H1754" s="107"/>
      <c r="I1754" s="13"/>
      <c r="J1754" s="107"/>
      <c r="K1754" s="107"/>
      <c r="L1754" s="13"/>
    </row>
    <row r="1755" ht="15.75" customHeight="1">
      <c r="A1755" s="13"/>
      <c r="B1755" s="13"/>
      <c r="C1755" s="13"/>
      <c r="D1755" s="13"/>
      <c r="E1755" s="13"/>
      <c r="F1755" s="227"/>
      <c r="G1755" s="13"/>
      <c r="H1755" s="107"/>
      <c r="I1755" s="13"/>
      <c r="J1755" s="107"/>
      <c r="K1755" s="107"/>
      <c r="L1755" s="13"/>
    </row>
    <row r="1756" ht="15.75" customHeight="1">
      <c r="A1756" s="13"/>
      <c r="B1756" s="13"/>
      <c r="C1756" s="13"/>
      <c r="D1756" s="13"/>
      <c r="E1756" s="13"/>
      <c r="F1756" s="227"/>
      <c r="G1756" s="13"/>
      <c r="H1756" s="107"/>
      <c r="I1756" s="13"/>
      <c r="J1756" s="107"/>
      <c r="K1756" s="107"/>
      <c r="L1756" s="13"/>
    </row>
    <row r="1757" ht="15.75" customHeight="1">
      <c r="A1757" s="13"/>
      <c r="B1757" s="13"/>
      <c r="C1757" s="13"/>
      <c r="D1757" s="13"/>
      <c r="E1757" s="13"/>
      <c r="F1757" s="227"/>
      <c r="G1757" s="13"/>
      <c r="H1757" s="107"/>
      <c r="I1757" s="13"/>
      <c r="J1757" s="107"/>
      <c r="K1757" s="107"/>
      <c r="L1757" s="13"/>
    </row>
    <row r="1758" ht="15.75" customHeight="1">
      <c r="A1758" s="13"/>
      <c r="B1758" s="13"/>
      <c r="C1758" s="13"/>
      <c r="D1758" s="13"/>
      <c r="E1758" s="13"/>
      <c r="F1758" s="227"/>
      <c r="G1758" s="13"/>
      <c r="H1758" s="107"/>
      <c r="I1758" s="13"/>
      <c r="J1758" s="107"/>
      <c r="K1758" s="107"/>
      <c r="L1758" s="13"/>
    </row>
    <row r="1759" ht="15.75" customHeight="1">
      <c r="A1759" s="13"/>
      <c r="B1759" s="13"/>
      <c r="C1759" s="13"/>
      <c r="D1759" s="13"/>
      <c r="E1759" s="13"/>
      <c r="F1759" s="227"/>
      <c r="G1759" s="13"/>
      <c r="H1759" s="107"/>
      <c r="I1759" s="13"/>
      <c r="J1759" s="107"/>
      <c r="K1759" s="107"/>
      <c r="L1759" s="13"/>
    </row>
    <row r="1760" ht="15.75" customHeight="1">
      <c r="A1760" s="13"/>
      <c r="B1760" s="13"/>
      <c r="C1760" s="13"/>
      <c r="D1760" s="13"/>
      <c r="E1760" s="13"/>
      <c r="F1760" s="227"/>
      <c r="G1760" s="13"/>
      <c r="H1760" s="107"/>
      <c r="I1760" s="13"/>
      <c r="J1760" s="107"/>
      <c r="K1760" s="107"/>
      <c r="L1760" s="13"/>
    </row>
    <row r="1761" ht="15.75" customHeight="1">
      <c r="A1761" s="13"/>
      <c r="B1761" s="13"/>
      <c r="C1761" s="13"/>
      <c r="D1761" s="13"/>
      <c r="E1761" s="13"/>
      <c r="F1761" s="227"/>
      <c r="G1761" s="13"/>
      <c r="H1761" s="107"/>
      <c r="I1761" s="13"/>
      <c r="J1761" s="107"/>
      <c r="K1761" s="107"/>
      <c r="L1761" s="13"/>
    </row>
    <row r="1762" ht="15.75" customHeight="1">
      <c r="A1762" s="13"/>
      <c r="B1762" s="13"/>
      <c r="C1762" s="13"/>
      <c r="D1762" s="13"/>
      <c r="E1762" s="13"/>
      <c r="F1762" s="227"/>
      <c r="G1762" s="13"/>
      <c r="H1762" s="107"/>
      <c r="I1762" s="13"/>
      <c r="J1762" s="107"/>
      <c r="K1762" s="107"/>
      <c r="L1762" s="13"/>
    </row>
    <row r="1763" ht="15.75" customHeight="1">
      <c r="A1763" s="13"/>
      <c r="B1763" s="13"/>
      <c r="C1763" s="13"/>
      <c r="D1763" s="13"/>
      <c r="E1763" s="13"/>
      <c r="F1763" s="227"/>
      <c r="G1763" s="13"/>
      <c r="H1763" s="107"/>
      <c r="I1763" s="13"/>
      <c r="J1763" s="107"/>
      <c r="K1763" s="107"/>
      <c r="L1763" s="13"/>
    </row>
    <row r="1764" ht="15.75" customHeight="1">
      <c r="A1764" s="13"/>
      <c r="B1764" s="13"/>
      <c r="C1764" s="13"/>
      <c r="D1764" s="13"/>
      <c r="E1764" s="13"/>
      <c r="F1764" s="227"/>
      <c r="G1764" s="13"/>
      <c r="H1764" s="107"/>
      <c r="I1764" s="13"/>
      <c r="J1764" s="107"/>
      <c r="K1764" s="107"/>
      <c r="L1764" s="13"/>
    </row>
    <row r="1765" ht="15.75" customHeight="1">
      <c r="A1765" s="13"/>
      <c r="B1765" s="13"/>
      <c r="C1765" s="13"/>
      <c r="D1765" s="13"/>
      <c r="E1765" s="13"/>
      <c r="F1765" s="227"/>
      <c r="G1765" s="13"/>
      <c r="H1765" s="107"/>
      <c r="I1765" s="13"/>
      <c r="J1765" s="107"/>
      <c r="K1765" s="107"/>
      <c r="L1765" s="13"/>
    </row>
    <row r="1766" ht="15.75" customHeight="1">
      <c r="A1766" s="13"/>
      <c r="B1766" s="13"/>
      <c r="C1766" s="13"/>
      <c r="D1766" s="13"/>
      <c r="E1766" s="13"/>
      <c r="F1766" s="227"/>
      <c r="G1766" s="13"/>
      <c r="H1766" s="107"/>
      <c r="I1766" s="13"/>
      <c r="J1766" s="107"/>
      <c r="K1766" s="107"/>
      <c r="L1766" s="13"/>
    </row>
    <row r="1767" ht="15.75" customHeight="1">
      <c r="A1767" s="13"/>
      <c r="B1767" s="13"/>
      <c r="C1767" s="13"/>
      <c r="D1767" s="13"/>
      <c r="E1767" s="13"/>
      <c r="F1767" s="227"/>
      <c r="G1767" s="13"/>
      <c r="H1767" s="107"/>
      <c r="I1767" s="13"/>
      <c r="J1767" s="107"/>
      <c r="K1767" s="107"/>
      <c r="L1767" s="13"/>
    </row>
    <row r="1768" ht="15.75" customHeight="1">
      <c r="A1768" s="13"/>
      <c r="B1768" s="13"/>
      <c r="C1768" s="13"/>
      <c r="D1768" s="13"/>
      <c r="E1768" s="13"/>
      <c r="F1768" s="227"/>
      <c r="G1768" s="13"/>
      <c r="H1768" s="107"/>
      <c r="I1768" s="13"/>
      <c r="J1768" s="107"/>
      <c r="K1768" s="107"/>
      <c r="L1768" s="13"/>
    </row>
    <row r="1769" ht="15.75" customHeight="1">
      <c r="A1769" s="13"/>
      <c r="B1769" s="13"/>
      <c r="C1769" s="13"/>
      <c r="D1769" s="13"/>
      <c r="E1769" s="13"/>
      <c r="F1769" s="227"/>
      <c r="G1769" s="13"/>
      <c r="H1769" s="107"/>
      <c r="I1769" s="13"/>
      <c r="J1769" s="107"/>
      <c r="K1769" s="107"/>
      <c r="L1769" s="13"/>
    </row>
    <row r="1770" ht="15.75" customHeight="1">
      <c r="A1770" s="13"/>
      <c r="B1770" s="13"/>
      <c r="C1770" s="13"/>
      <c r="D1770" s="13"/>
      <c r="E1770" s="13"/>
      <c r="F1770" s="227"/>
      <c r="G1770" s="13"/>
      <c r="H1770" s="107"/>
      <c r="I1770" s="13"/>
      <c r="J1770" s="107"/>
      <c r="K1770" s="107"/>
      <c r="L1770" s="13"/>
    </row>
    <row r="1771" ht="15.75" customHeight="1">
      <c r="A1771" s="13"/>
      <c r="B1771" s="13"/>
      <c r="C1771" s="13"/>
      <c r="D1771" s="13"/>
      <c r="E1771" s="13"/>
      <c r="F1771" s="227"/>
      <c r="G1771" s="13"/>
      <c r="H1771" s="107"/>
      <c r="I1771" s="13"/>
      <c r="J1771" s="107"/>
      <c r="K1771" s="107"/>
      <c r="L1771" s="13"/>
    </row>
    <row r="1772" ht="15.75" customHeight="1">
      <c r="A1772" s="13"/>
      <c r="B1772" s="13"/>
      <c r="C1772" s="13"/>
      <c r="D1772" s="13"/>
      <c r="E1772" s="13"/>
      <c r="F1772" s="227"/>
      <c r="G1772" s="13"/>
      <c r="H1772" s="107"/>
      <c r="I1772" s="13"/>
      <c r="J1772" s="107"/>
      <c r="K1772" s="107"/>
      <c r="L1772" s="13"/>
    </row>
    <row r="1773" ht="15.75" customHeight="1">
      <c r="A1773" s="13"/>
      <c r="B1773" s="13"/>
      <c r="C1773" s="13"/>
      <c r="D1773" s="13"/>
      <c r="E1773" s="13"/>
      <c r="F1773" s="227"/>
      <c r="G1773" s="13"/>
      <c r="H1773" s="107"/>
      <c r="I1773" s="13"/>
      <c r="J1773" s="107"/>
      <c r="K1773" s="107"/>
      <c r="L1773" s="13"/>
    </row>
    <row r="1774" ht="15.75" customHeight="1">
      <c r="A1774" s="13"/>
      <c r="B1774" s="13"/>
      <c r="C1774" s="13"/>
      <c r="D1774" s="13"/>
      <c r="E1774" s="13"/>
      <c r="F1774" s="227"/>
      <c r="G1774" s="13"/>
      <c r="H1774" s="107"/>
      <c r="I1774" s="13"/>
      <c r="J1774" s="107"/>
      <c r="K1774" s="107"/>
      <c r="L1774" s="13"/>
    </row>
    <row r="1775" ht="15.75" customHeight="1">
      <c r="A1775" s="13"/>
      <c r="B1775" s="13"/>
      <c r="C1775" s="13"/>
      <c r="D1775" s="13"/>
      <c r="E1775" s="13"/>
      <c r="F1775" s="227"/>
      <c r="G1775" s="13"/>
      <c r="H1775" s="107"/>
      <c r="I1775" s="13"/>
      <c r="J1775" s="107"/>
      <c r="K1775" s="107"/>
      <c r="L1775" s="13"/>
    </row>
    <row r="1776" ht="15.75" customHeight="1">
      <c r="A1776" s="13"/>
      <c r="B1776" s="13"/>
      <c r="C1776" s="13"/>
      <c r="D1776" s="13"/>
      <c r="E1776" s="13"/>
      <c r="F1776" s="227"/>
      <c r="G1776" s="13"/>
      <c r="H1776" s="107"/>
      <c r="I1776" s="13"/>
      <c r="J1776" s="107"/>
      <c r="K1776" s="107"/>
      <c r="L1776" s="13"/>
    </row>
    <row r="1777" ht="15.75" customHeight="1">
      <c r="A1777" s="13"/>
      <c r="B1777" s="13"/>
      <c r="C1777" s="13"/>
      <c r="D1777" s="13"/>
      <c r="E1777" s="13"/>
      <c r="F1777" s="227"/>
      <c r="G1777" s="13"/>
      <c r="H1777" s="107"/>
      <c r="I1777" s="13"/>
      <c r="J1777" s="107"/>
      <c r="K1777" s="107"/>
      <c r="L1777" s="13"/>
    </row>
    <row r="1778" ht="15.75" customHeight="1">
      <c r="A1778" s="13"/>
      <c r="B1778" s="13"/>
      <c r="C1778" s="13"/>
      <c r="D1778" s="13"/>
      <c r="E1778" s="13"/>
      <c r="F1778" s="227"/>
      <c r="G1778" s="13"/>
      <c r="H1778" s="107"/>
      <c r="I1778" s="13"/>
      <c r="J1778" s="107"/>
      <c r="K1778" s="107"/>
      <c r="L1778" s="13"/>
    </row>
    <row r="1779" ht="15.75" customHeight="1">
      <c r="A1779" s="13"/>
      <c r="B1779" s="13"/>
      <c r="C1779" s="13"/>
      <c r="D1779" s="13"/>
      <c r="E1779" s="13"/>
      <c r="F1779" s="227"/>
      <c r="G1779" s="13"/>
      <c r="H1779" s="107"/>
      <c r="I1779" s="13"/>
      <c r="J1779" s="107"/>
      <c r="K1779" s="107"/>
      <c r="L1779" s="13"/>
    </row>
    <row r="1780" ht="15.75" customHeight="1">
      <c r="A1780" s="13"/>
      <c r="B1780" s="13"/>
      <c r="C1780" s="13"/>
      <c r="D1780" s="13"/>
      <c r="E1780" s="13"/>
      <c r="F1780" s="227"/>
      <c r="G1780" s="13"/>
      <c r="H1780" s="107"/>
      <c r="I1780" s="13"/>
      <c r="J1780" s="107"/>
      <c r="K1780" s="107"/>
      <c r="L1780" s="13"/>
    </row>
    <row r="1781" ht="15.75" customHeight="1">
      <c r="A1781" s="13"/>
      <c r="B1781" s="13"/>
      <c r="C1781" s="13"/>
      <c r="D1781" s="13"/>
      <c r="E1781" s="13"/>
      <c r="F1781" s="227"/>
      <c r="G1781" s="13"/>
      <c r="H1781" s="107"/>
      <c r="I1781" s="13"/>
      <c r="J1781" s="107"/>
      <c r="K1781" s="107"/>
      <c r="L1781" s="13"/>
    </row>
    <row r="1782" ht="15.75" customHeight="1">
      <c r="A1782" s="13"/>
      <c r="B1782" s="13"/>
      <c r="C1782" s="13"/>
      <c r="D1782" s="13"/>
      <c r="E1782" s="13"/>
      <c r="F1782" s="227"/>
      <c r="G1782" s="13"/>
      <c r="H1782" s="107"/>
      <c r="I1782" s="13"/>
      <c r="J1782" s="107"/>
      <c r="K1782" s="107"/>
      <c r="L1782" s="13"/>
    </row>
    <row r="1783" ht="15.75" customHeight="1">
      <c r="A1783" s="13"/>
      <c r="B1783" s="13"/>
      <c r="C1783" s="13"/>
      <c r="D1783" s="13"/>
      <c r="E1783" s="13"/>
      <c r="F1783" s="227"/>
      <c r="G1783" s="13"/>
      <c r="H1783" s="107"/>
      <c r="I1783" s="13"/>
      <c r="J1783" s="107"/>
      <c r="K1783" s="107"/>
      <c r="L1783" s="13"/>
    </row>
    <row r="1784" ht="15.75" customHeight="1">
      <c r="A1784" s="13"/>
      <c r="B1784" s="13"/>
      <c r="C1784" s="13"/>
      <c r="D1784" s="13"/>
      <c r="E1784" s="13"/>
      <c r="F1784" s="227"/>
      <c r="G1784" s="13"/>
      <c r="H1784" s="107"/>
      <c r="I1784" s="13"/>
      <c r="J1784" s="107"/>
      <c r="K1784" s="107"/>
      <c r="L1784" s="13"/>
    </row>
    <row r="1785" ht="15.75" customHeight="1">
      <c r="A1785" s="13"/>
      <c r="B1785" s="13"/>
      <c r="C1785" s="13"/>
      <c r="D1785" s="13"/>
      <c r="E1785" s="13"/>
      <c r="F1785" s="227"/>
      <c r="G1785" s="13"/>
      <c r="H1785" s="107"/>
      <c r="I1785" s="13"/>
      <c r="J1785" s="107"/>
      <c r="K1785" s="107"/>
      <c r="L1785" s="13"/>
    </row>
    <row r="1786" ht="15.75" customHeight="1">
      <c r="A1786" s="13"/>
      <c r="B1786" s="13"/>
      <c r="C1786" s="13"/>
      <c r="D1786" s="13"/>
      <c r="E1786" s="13"/>
      <c r="F1786" s="227"/>
      <c r="G1786" s="13"/>
      <c r="H1786" s="107"/>
      <c r="I1786" s="13"/>
      <c r="J1786" s="107"/>
      <c r="K1786" s="107"/>
      <c r="L1786" s="13"/>
    </row>
    <row r="1787" ht="15.75" customHeight="1">
      <c r="A1787" s="13"/>
      <c r="B1787" s="13"/>
      <c r="C1787" s="13"/>
      <c r="D1787" s="13"/>
      <c r="E1787" s="13"/>
      <c r="F1787" s="227"/>
      <c r="G1787" s="13"/>
      <c r="H1787" s="107"/>
      <c r="I1787" s="13"/>
      <c r="J1787" s="107"/>
      <c r="K1787" s="107"/>
      <c r="L1787" s="13"/>
    </row>
    <row r="1788" ht="15.75" customHeight="1">
      <c r="A1788" s="13"/>
      <c r="B1788" s="13"/>
      <c r="C1788" s="13"/>
      <c r="D1788" s="13"/>
      <c r="E1788" s="13"/>
      <c r="F1788" s="227"/>
      <c r="G1788" s="13"/>
      <c r="H1788" s="107"/>
      <c r="I1788" s="13"/>
      <c r="J1788" s="107"/>
      <c r="K1788" s="107"/>
      <c r="L1788" s="13"/>
    </row>
    <row r="1789" ht="15.75" customHeight="1">
      <c r="A1789" s="13"/>
      <c r="B1789" s="13"/>
      <c r="C1789" s="13"/>
      <c r="D1789" s="13"/>
      <c r="E1789" s="13"/>
      <c r="F1789" s="227"/>
      <c r="G1789" s="13"/>
      <c r="H1789" s="107"/>
      <c r="I1789" s="13"/>
      <c r="J1789" s="107"/>
      <c r="K1789" s="107"/>
      <c r="L1789" s="13"/>
    </row>
    <row r="1790" ht="15.75" customHeight="1">
      <c r="A1790" s="13"/>
      <c r="B1790" s="13"/>
      <c r="C1790" s="13"/>
      <c r="D1790" s="13"/>
      <c r="E1790" s="13"/>
      <c r="F1790" s="227"/>
      <c r="G1790" s="13"/>
      <c r="H1790" s="107"/>
      <c r="I1790" s="13"/>
      <c r="J1790" s="107"/>
      <c r="K1790" s="107"/>
      <c r="L1790" s="13"/>
    </row>
    <row r="1791" ht="15.75" customHeight="1">
      <c r="A1791" s="13"/>
      <c r="B1791" s="13"/>
      <c r="C1791" s="13"/>
      <c r="D1791" s="13"/>
      <c r="E1791" s="13"/>
      <c r="F1791" s="227"/>
      <c r="G1791" s="13"/>
      <c r="H1791" s="107"/>
      <c r="I1791" s="13"/>
      <c r="J1791" s="107"/>
      <c r="K1791" s="107"/>
      <c r="L1791" s="13"/>
    </row>
    <row r="1792" ht="15.75" customHeight="1">
      <c r="A1792" s="13"/>
      <c r="B1792" s="13"/>
      <c r="C1792" s="13"/>
      <c r="D1792" s="13"/>
      <c r="E1792" s="13"/>
      <c r="F1792" s="227"/>
      <c r="G1792" s="13"/>
      <c r="H1792" s="107"/>
      <c r="I1792" s="13"/>
      <c r="J1792" s="107"/>
      <c r="K1792" s="107"/>
      <c r="L1792" s="13"/>
    </row>
    <row r="1793" ht="15.75" customHeight="1">
      <c r="A1793" s="13"/>
      <c r="B1793" s="13"/>
      <c r="C1793" s="13"/>
      <c r="D1793" s="13"/>
      <c r="E1793" s="13"/>
      <c r="F1793" s="227"/>
      <c r="G1793" s="13"/>
      <c r="H1793" s="107"/>
      <c r="I1793" s="13"/>
      <c r="J1793" s="107"/>
      <c r="K1793" s="107"/>
      <c r="L1793" s="13"/>
    </row>
    <row r="1794" ht="15.75" customHeight="1">
      <c r="A1794" s="13"/>
      <c r="B1794" s="13"/>
      <c r="C1794" s="13"/>
      <c r="D1794" s="13"/>
      <c r="E1794" s="13"/>
      <c r="F1794" s="227"/>
      <c r="G1794" s="13"/>
      <c r="H1794" s="107"/>
      <c r="I1794" s="13"/>
      <c r="J1794" s="107"/>
      <c r="K1794" s="107"/>
      <c r="L1794" s="13"/>
    </row>
    <row r="1795" ht="15.75" customHeight="1">
      <c r="A1795" s="13"/>
      <c r="B1795" s="13"/>
      <c r="C1795" s="13"/>
      <c r="D1795" s="13"/>
      <c r="E1795" s="13"/>
      <c r="F1795" s="227"/>
      <c r="G1795" s="13"/>
      <c r="H1795" s="107"/>
      <c r="I1795" s="13"/>
      <c r="J1795" s="107"/>
      <c r="K1795" s="107"/>
      <c r="L1795" s="13"/>
    </row>
    <row r="1796" ht="15.75" customHeight="1">
      <c r="A1796" s="13"/>
      <c r="B1796" s="13"/>
      <c r="C1796" s="13"/>
      <c r="D1796" s="13"/>
      <c r="E1796" s="13"/>
      <c r="F1796" s="227"/>
      <c r="G1796" s="13"/>
      <c r="H1796" s="107"/>
      <c r="I1796" s="13"/>
      <c r="J1796" s="107"/>
      <c r="K1796" s="107"/>
      <c r="L1796" s="13"/>
    </row>
    <row r="1797" ht="15.75" customHeight="1">
      <c r="A1797" s="13"/>
      <c r="B1797" s="13"/>
      <c r="C1797" s="13"/>
      <c r="D1797" s="13"/>
      <c r="E1797" s="13"/>
      <c r="F1797" s="227"/>
      <c r="G1797" s="13"/>
      <c r="H1797" s="107"/>
      <c r="I1797" s="13"/>
      <c r="J1797" s="107"/>
      <c r="K1797" s="107"/>
      <c r="L1797" s="13"/>
    </row>
    <row r="1798" ht="15.75" customHeight="1">
      <c r="A1798" s="13"/>
      <c r="B1798" s="13"/>
      <c r="C1798" s="13"/>
      <c r="D1798" s="13"/>
      <c r="E1798" s="13"/>
      <c r="F1798" s="227"/>
      <c r="G1798" s="13"/>
      <c r="H1798" s="107"/>
      <c r="I1798" s="13"/>
      <c r="J1798" s="107"/>
      <c r="K1798" s="107"/>
      <c r="L1798" s="13"/>
    </row>
    <row r="1799" ht="15.75" customHeight="1">
      <c r="A1799" s="13"/>
      <c r="B1799" s="13"/>
      <c r="C1799" s="13"/>
      <c r="D1799" s="13"/>
      <c r="E1799" s="13"/>
      <c r="F1799" s="227"/>
      <c r="G1799" s="13"/>
      <c r="H1799" s="107"/>
      <c r="I1799" s="13"/>
      <c r="J1799" s="107"/>
      <c r="K1799" s="107"/>
      <c r="L1799" s="13"/>
    </row>
    <row r="1800" ht="15.75" customHeight="1">
      <c r="A1800" s="13"/>
      <c r="B1800" s="13"/>
      <c r="C1800" s="13"/>
      <c r="D1800" s="13"/>
      <c r="E1800" s="13"/>
      <c r="F1800" s="227"/>
      <c r="G1800" s="13"/>
      <c r="H1800" s="107"/>
      <c r="I1800" s="13"/>
      <c r="J1800" s="107"/>
      <c r="K1800" s="107"/>
      <c r="L1800" s="13"/>
    </row>
    <row r="1801" ht="15.75" customHeight="1">
      <c r="A1801" s="13"/>
      <c r="B1801" s="13"/>
      <c r="C1801" s="13"/>
      <c r="D1801" s="13"/>
      <c r="E1801" s="13"/>
      <c r="F1801" s="227"/>
      <c r="G1801" s="13"/>
      <c r="H1801" s="107"/>
      <c r="I1801" s="13"/>
      <c r="J1801" s="107"/>
      <c r="K1801" s="107"/>
      <c r="L1801" s="13"/>
    </row>
    <row r="1802" ht="15.75" customHeight="1">
      <c r="A1802" s="13"/>
      <c r="B1802" s="13"/>
      <c r="C1802" s="13"/>
      <c r="D1802" s="13"/>
      <c r="E1802" s="13"/>
      <c r="F1802" s="227"/>
      <c r="G1802" s="13"/>
      <c r="H1802" s="107"/>
      <c r="I1802" s="13"/>
      <c r="J1802" s="107"/>
      <c r="K1802" s="107"/>
      <c r="L1802" s="13"/>
    </row>
    <row r="1803" ht="15.75" customHeight="1">
      <c r="A1803" s="13"/>
      <c r="B1803" s="13"/>
      <c r="C1803" s="13"/>
      <c r="D1803" s="13"/>
      <c r="E1803" s="13"/>
      <c r="F1803" s="227"/>
      <c r="G1803" s="13"/>
      <c r="H1803" s="107"/>
      <c r="I1803" s="13"/>
      <c r="J1803" s="107"/>
      <c r="K1803" s="107"/>
      <c r="L1803" s="13"/>
    </row>
    <row r="1804" ht="15.75" customHeight="1">
      <c r="A1804" s="13"/>
      <c r="B1804" s="13"/>
      <c r="C1804" s="13"/>
      <c r="D1804" s="13"/>
      <c r="E1804" s="13"/>
      <c r="F1804" s="227"/>
      <c r="G1804" s="13"/>
      <c r="H1804" s="107"/>
      <c r="I1804" s="13"/>
      <c r="J1804" s="107"/>
      <c r="K1804" s="107"/>
      <c r="L1804" s="13"/>
    </row>
    <row r="1805" ht="15.75" customHeight="1">
      <c r="A1805" s="13"/>
      <c r="B1805" s="13"/>
      <c r="C1805" s="13"/>
      <c r="D1805" s="13"/>
      <c r="E1805" s="13"/>
      <c r="F1805" s="227"/>
      <c r="G1805" s="13"/>
      <c r="H1805" s="107"/>
      <c r="I1805" s="13"/>
      <c r="J1805" s="107"/>
      <c r="K1805" s="107"/>
      <c r="L1805" s="13"/>
    </row>
    <row r="1806" ht="15.75" customHeight="1">
      <c r="A1806" s="13"/>
      <c r="B1806" s="13"/>
      <c r="C1806" s="13"/>
      <c r="D1806" s="13"/>
      <c r="E1806" s="13"/>
      <c r="F1806" s="227"/>
      <c r="G1806" s="13"/>
      <c r="H1806" s="107"/>
      <c r="I1806" s="13"/>
      <c r="J1806" s="107"/>
      <c r="K1806" s="107"/>
      <c r="L1806" s="13"/>
    </row>
    <row r="1807" ht="15.75" customHeight="1">
      <c r="A1807" s="13"/>
      <c r="B1807" s="13"/>
      <c r="C1807" s="13"/>
      <c r="D1807" s="13"/>
      <c r="E1807" s="13"/>
      <c r="F1807" s="227"/>
      <c r="G1807" s="13"/>
      <c r="H1807" s="107"/>
      <c r="I1807" s="13"/>
      <c r="J1807" s="107"/>
      <c r="K1807" s="107"/>
      <c r="L1807" s="13"/>
    </row>
    <row r="1808" ht="15.75" customHeight="1">
      <c r="A1808" s="13"/>
      <c r="B1808" s="13"/>
      <c r="C1808" s="13"/>
      <c r="D1808" s="13"/>
      <c r="E1808" s="13"/>
      <c r="F1808" s="227"/>
      <c r="G1808" s="13"/>
      <c r="H1808" s="107"/>
      <c r="I1808" s="13"/>
      <c r="J1808" s="107"/>
      <c r="K1808" s="107"/>
      <c r="L1808" s="13"/>
    </row>
    <row r="1809" ht="15.75" customHeight="1">
      <c r="A1809" s="13"/>
      <c r="B1809" s="13"/>
      <c r="C1809" s="13"/>
      <c r="D1809" s="13"/>
      <c r="E1809" s="13"/>
      <c r="F1809" s="227"/>
      <c r="G1809" s="13"/>
      <c r="H1809" s="107"/>
      <c r="I1809" s="13"/>
      <c r="J1809" s="107"/>
      <c r="K1809" s="107"/>
      <c r="L1809" s="13"/>
    </row>
    <row r="1810" ht="15.75" customHeight="1">
      <c r="A1810" s="13"/>
      <c r="B1810" s="13"/>
      <c r="C1810" s="13"/>
      <c r="D1810" s="13"/>
      <c r="E1810" s="13"/>
      <c r="F1810" s="227"/>
      <c r="G1810" s="13"/>
      <c r="H1810" s="107"/>
      <c r="I1810" s="13"/>
      <c r="J1810" s="107"/>
      <c r="K1810" s="107"/>
      <c r="L1810" s="13"/>
    </row>
    <row r="1811" ht="15.75" customHeight="1">
      <c r="A1811" s="13"/>
      <c r="B1811" s="13"/>
      <c r="C1811" s="13"/>
      <c r="D1811" s="13"/>
      <c r="E1811" s="13"/>
      <c r="F1811" s="227"/>
      <c r="G1811" s="13"/>
      <c r="H1811" s="107"/>
      <c r="I1811" s="13"/>
      <c r="J1811" s="107"/>
      <c r="K1811" s="107"/>
      <c r="L1811" s="13"/>
    </row>
    <row r="1812" ht="15.75" customHeight="1">
      <c r="A1812" s="13"/>
      <c r="B1812" s="13"/>
      <c r="C1812" s="13"/>
      <c r="D1812" s="13"/>
      <c r="E1812" s="13"/>
      <c r="F1812" s="227"/>
      <c r="G1812" s="13"/>
      <c r="H1812" s="107"/>
      <c r="I1812" s="13"/>
      <c r="J1812" s="107"/>
      <c r="K1812" s="107"/>
      <c r="L1812" s="13"/>
    </row>
    <row r="1813" ht="15.75" customHeight="1">
      <c r="A1813" s="13"/>
      <c r="B1813" s="13"/>
      <c r="C1813" s="13"/>
      <c r="D1813" s="13"/>
      <c r="E1813" s="13"/>
      <c r="F1813" s="227"/>
      <c r="G1813" s="13"/>
      <c r="H1813" s="107"/>
      <c r="I1813" s="13"/>
      <c r="J1813" s="107"/>
      <c r="K1813" s="107"/>
      <c r="L1813" s="13"/>
    </row>
    <row r="1814" ht="15.75" customHeight="1">
      <c r="A1814" s="13"/>
      <c r="B1814" s="13"/>
      <c r="C1814" s="13"/>
      <c r="D1814" s="13"/>
      <c r="E1814" s="13"/>
      <c r="F1814" s="227"/>
      <c r="G1814" s="13"/>
      <c r="H1814" s="107"/>
      <c r="I1814" s="13"/>
      <c r="J1814" s="107"/>
      <c r="K1814" s="107"/>
      <c r="L1814" s="13"/>
    </row>
    <row r="1815" ht="15.75" customHeight="1">
      <c r="A1815" s="13"/>
      <c r="B1815" s="13"/>
      <c r="C1815" s="13"/>
      <c r="D1815" s="13"/>
      <c r="E1815" s="13"/>
      <c r="F1815" s="227"/>
      <c r="G1815" s="13"/>
      <c r="H1815" s="107"/>
      <c r="I1815" s="13"/>
      <c r="J1815" s="107"/>
      <c r="K1815" s="107"/>
      <c r="L1815" s="13"/>
    </row>
    <row r="1816" ht="15.75" customHeight="1">
      <c r="A1816" s="13"/>
      <c r="B1816" s="13"/>
      <c r="C1816" s="13"/>
      <c r="D1816" s="13"/>
      <c r="E1816" s="13"/>
      <c r="F1816" s="227"/>
      <c r="G1816" s="13"/>
      <c r="H1816" s="107"/>
      <c r="I1816" s="13"/>
      <c r="J1816" s="107"/>
      <c r="K1816" s="107"/>
      <c r="L1816" s="13"/>
    </row>
    <row r="1817" ht="15.75" customHeight="1">
      <c r="A1817" s="13"/>
      <c r="B1817" s="13"/>
      <c r="C1817" s="13"/>
      <c r="D1817" s="13"/>
      <c r="E1817" s="13"/>
      <c r="F1817" s="227"/>
      <c r="G1817" s="13"/>
      <c r="H1817" s="107"/>
      <c r="I1817" s="13"/>
      <c r="J1817" s="107"/>
      <c r="K1817" s="107"/>
      <c r="L1817" s="13"/>
    </row>
    <row r="1818" ht="15.75" customHeight="1">
      <c r="A1818" s="13"/>
      <c r="B1818" s="13"/>
      <c r="C1818" s="13"/>
      <c r="D1818" s="13"/>
      <c r="E1818" s="13"/>
      <c r="F1818" s="227"/>
      <c r="G1818" s="13"/>
      <c r="H1818" s="107"/>
      <c r="I1818" s="13"/>
      <c r="J1818" s="107"/>
      <c r="K1818" s="107"/>
      <c r="L1818" s="13"/>
    </row>
    <row r="1819" ht="15.75" customHeight="1">
      <c r="A1819" s="13"/>
      <c r="B1819" s="13"/>
      <c r="C1819" s="13"/>
      <c r="D1819" s="13"/>
      <c r="E1819" s="13"/>
      <c r="F1819" s="227"/>
      <c r="G1819" s="13"/>
      <c r="H1819" s="107"/>
      <c r="I1819" s="13"/>
      <c r="J1819" s="107"/>
      <c r="K1819" s="107"/>
      <c r="L1819" s="13"/>
    </row>
    <row r="1820" ht="15.75" customHeight="1">
      <c r="A1820" s="13"/>
      <c r="B1820" s="13"/>
      <c r="C1820" s="13"/>
      <c r="D1820" s="13"/>
      <c r="E1820" s="13"/>
      <c r="F1820" s="227"/>
      <c r="G1820" s="13"/>
      <c r="H1820" s="107"/>
      <c r="I1820" s="13"/>
      <c r="J1820" s="107"/>
      <c r="K1820" s="107"/>
      <c r="L1820" s="13"/>
    </row>
    <row r="1821" ht="15.75" customHeight="1">
      <c r="A1821" s="13"/>
      <c r="B1821" s="13"/>
      <c r="C1821" s="13"/>
      <c r="D1821" s="13"/>
      <c r="E1821" s="13"/>
      <c r="F1821" s="227"/>
      <c r="G1821" s="13"/>
      <c r="H1821" s="107"/>
      <c r="I1821" s="13"/>
      <c r="J1821" s="107"/>
      <c r="K1821" s="107"/>
      <c r="L1821" s="13"/>
    </row>
    <row r="1822" ht="15.75" customHeight="1">
      <c r="A1822" s="13"/>
      <c r="B1822" s="13"/>
      <c r="C1822" s="13"/>
      <c r="D1822" s="13"/>
      <c r="E1822" s="13"/>
      <c r="F1822" s="227"/>
      <c r="G1822" s="13"/>
      <c r="H1822" s="107"/>
      <c r="I1822" s="13"/>
      <c r="J1822" s="107"/>
      <c r="K1822" s="107"/>
      <c r="L1822" s="13"/>
    </row>
    <row r="1823" ht="15.75" customHeight="1">
      <c r="A1823" s="13"/>
      <c r="B1823" s="13"/>
      <c r="C1823" s="13"/>
      <c r="D1823" s="13"/>
      <c r="E1823" s="13"/>
      <c r="F1823" s="227"/>
      <c r="G1823" s="13"/>
      <c r="H1823" s="107"/>
      <c r="I1823" s="13"/>
      <c r="J1823" s="107"/>
      <c r="K1823" s="107"/>
      <c r="L1823" s="13"/>
    </row>
    <row r="1824" ht="15.75" customHeight="1">
      <c r="A1824" s="13"/>
      <c r="B1824" s="13"/>
      <c r="C1824" s="13"/>
      <c r="D1824" s="13"/>
      <c r="E1824" s="13"/>
      <c r="F1824" s="227"/>
      <c r="G1824" s="13"/>
      <c r="H1824" s="107"/>
      <c r="I1824" s="13"/>
      <c r="J1824" s="107"/>
      <c r="K1824" s="107"/>
      <c r="L1824" s="13"/>
    </row>
    <row r="1825" ht="15.75" customHeight="1">
      <c r="A1825" s="13"/>
      <c r="B1825" s="13"/>
      <c r="C1825" s="13"/>
      <c r="D1825" s="13"/>
      <c r="E1825" s="13"/>
      <c r="F1825" s="227"/>
      <c r="G1825" s="13"/>
      <c r="H1825" s="107"/>
      <c r="I1825" s="13"/>
      <c r="J1825" s="107"/>
      <c r="K1825" s="107"/>
      <c r="L1825" s="13"/>
    </row>
    <row r="1826" ht="15.75" customHeight="1">
      <c r="A1826" s="13"/>
      <c r="B1826" s="13"/>
      <c r="C1826" s="13"/>
      <c r="D1826" s="13"/>
      <c r="E1826" s="13"/>
      <c r="F1826" s="227"/>
      <c r="G1826" s="13"/>
      <c r="H1826" s="107"/>
      <c r="I1826" s="13"/>
      <c r="J1826" s="107"/>
      <c r="K1826" s="107"/>
      <c r="L1826" s="13"/>
    </row>
    <row r="1827" ht="15.75" customHeight="1">
      <c r="A1827" s="13"/>
      <c r="B1827" s="13"/>
      <c r="C1827" s="13"/>
      <c r="D1827" s="13"/>
      <c r="E1827" s="13"/>
      <c r="F1827" s="227"/>
      <c r="G1827" s="13"/>
      <c r="H1827" s="107"/>
      <c r="I1827" s="13"/>
      <c r="J1827" s="107"/>
      <c r="K1827" s="107"/>
      <c r="L1827" s="13"/>
    </row>
    <row r="1828" ht="15.75" customHeight="1">
      <c r="A1828" s="13"/>
      <c r="B1828" s="13"/>
      <c r="C1828" s="13"/>
      <c r="D1828" s="13"/>
      <c r="E1828" s="13"/>
      <c r="F1828" s="227"/>
      <c r="G1828" s="13"/>
      <c r="H1828" s="107"/>
      <c r="I1828" s="13"/>
      <c r="J1828" s="107"/>
      <c r="K1828" s="107"/>
      <c r="L1828" s="13"/>
    </row>
    <row r="1829" ht="15.75" customHeight="1">
      <c r="A1829" s="13"/>
      <c r="B1829" s="13"/>
      <c r="C1829" s="13"/>
      <c r="D1829" s="13"/>
      <c r="E1829" s="13"/>
      <c r="F1829" s="227"/>
      <c r="G1829" s="13"/>
      <c r="H1829" s="107"/>
      <c r="I1829" s="13"/>
      <c r="J1829" s="107"/>
      <c r="K1829" s="107"/>
      <c r="L1829" s="13"/>
    </row>
    <row r="1830" ht="15.75" customHeight="1">
      <c r="A1830" s="13"/>
      <c r="B1830" s="13"/>
      <c r="C1830" s="13"/>
      <c r="D1830" s="13"/>
      <c r="E1830" s="13"/>
      <c r="F1830" s="227"/>
      <c r="G1830" s="13"/>
      <c r="H1830" s="107"/>
      <c r="I1830" s="13"/>
      <c r="J1830" s="107"/>
      <c r="K1830" s="107"/>
      <c r="L1830" s="13"/>
    </row>
    <row r="1831" ht="15.75" customHeight="1">
      <c r="A1831" s="13"/>
      <c r="B1831" s="13"/>
      <c r="C1831" s="13"/>
      <c r="D1831" s="13"/>
      <c r="E1831" s="13"/>
      <c r="F1831" s="227"/>
      <c r="G1831" s="13"/>
      <c r="H1831" s="107"/>
      <c r="I1831" s="13"/>
      <c r="J1831" s="107"/>
      <c r="K1831" s="107"/>
      <c r="L1831" s="13"/>
    </row>
    <row r="1832" ht="15.75" customHeight="1">
      <c r="A1832" s="13"/>
      <c r="B1832" s="13"/>
      <c r="C1832" s="13"/>
      <c r="D1832" s="13"/>
      <c r="E1832" s="13"/>
      <c r="F1832" s="227"/>
      <c r="G1832" s="13"/>
      <c r="H1832" s="107"/>
      <c r="I1832" s="13"/>
      <c r="J1832" s="107"/>
      <c r="K1832" s="107"/>
      <c r="L1832" s="13"/>
    </row>
    <row r="1833" ht="15.75" customHeight="1">
      <c r="A1833" s="13"/>
      <c r="B1833" s="13"/>
      <c r="C1833" s="13"/>
      <c r="D1833" s="13"/>
      <c r="E1833" s="13"/>
      <c r="F1833" s="227"/>
      <c r="G1833" s="13"/>
      <c r="H1833" s="107"/>
      <c r="I1833" s="13"/>
      <c r="J1833" s="107"/>
      <c r="K1833" s="107"/>
      <c r="L1833" s="13"/>
    </row>
    <row r="1834" ht="15.75" customHeight="1">
      <c r="A1834" s="13"/>
      <c r="B1834" s="13"/>
      <c r="C1834" s="13"/>
      <c r="D1834" s="13"/>
      <c r="E1834" s="13"/>
      <c r="F1834" s="227"/>
      <c r="G1834" s="13"/>
      <c r="H1834" s="107"/>
      <c r="I1834" s="13"/>
      <c r="J1834" s="107"/>
      <c r="K1834" s="107"/>
      <c r="L1834" s="13"/>
    </row>
    <row r="1835" ht="15.75" customHeight="1">
      <c r="A1835" s="13"/>
      <c r="B1835" s="13"/>
      <c r="C1835" s="13"/>
      <c r="D1835" s="13"/>
      <c r="E1835" s="13"/>
      <c r="F1835" s="227"/>
      <c r="G1835" s="13"/>
      <c r="H1835" s="107"/>
      <c r="I1835" s="13"/>
      <c r="J1835" s="107"/>
      <c r="K1835" s="107"/>
      <c r="L1835" s="13"/>
    </row>
    <row r="1836" ht="15.75" customHeight="1">
      <c r="A1836" s="13"/>
      <c r="B1836" s="13"/>
      <c r="C1836" s="13"/>
      <c r="D1836" s="13"/>
      <c r="E1836" s="13"/>
      <c r="F1836" s="227"/>
      <c r="G1836" s="13"/>
      <c r="H1836" s="107"/>
      <c r="I1836" s="13"/>
      <c r="J1836" s="107"/>
      <c r="K1836" s="107"/>
      <c r="L1836" s="13"/>
    </row>
    <row r="1837" ht="15.75" customHeight="1">
      <c r="A1837" s="13"/>
      <c r="B1837" s="13"/>
      <c r="C1837" s="13"/>
      <c r="D1837" s="13"/>
      <c r="E1837" s="13"/>
      <c r="F1837" s="227"/>
      <c r="G1837" s="13"/>
      <c r="H1837" s="107"/>
      <c r="I1837" s="13"/>
      <c r="J1837" s="107"/>
      <c r="K1837" s="107"/>
      <c r="L1837" s="13"/>
    </row>
    <row r="1838" ht="15.75" customHeight="1">
      <c r="A1838" s="13"/>
      <c r="B1838" s="13"/>
      <c r="C1838" s="13"/>
      <c r="D1838" s="13"/>
      <c r="E1838" s="13"/>
      <c r="F1838" s="227"/>
      <c r="G1838" s="13"/>
      <c r="H1838" s="107"/>
      <c r="I1838" s="13"/>
      <c r="J1838" s="107"/>
      <c r="K1838" s="107"/>
      <c r="L1838" s="13"/>
    </row>
    <row r="1839" ht="15.75" customHeight="1">
      <c r="A1839" s="13"/>
      <c r="B1839" s="13"/>
      <c r="C1839" s="13"/>
      <c r="D1839" s="13"/>
      <c r="E1839" s="13"/>
      <c r="F1839" s="227"/>
      <c r="G1839" s="13"/>
      <c r="H1839" s="107"/>
      <c r="I1839" s="13"/>
      <c r="J1839" s="107"/>
      <c r="K1839" s="107"/>
      <c r="L1839" s="13"/>
    </row>
    <row r="1840" ht="15.75" customHeight="1">
      <c r="A1840" s="13"/>
      <c r="B1840" s="13"/>
      <c r="C1840" s="13"/>
      <c r="D1840" s="13"/>
      <c r="E1840" s="13"/>
      <c r="F1840" s="227"/>
      <c r="G1840" s="13"/>
      <c r="H1840" s="107"/>
      <c r="I1840" s="13"/>
      <c r="J1840" s="107"/>
      <c r="K1840" s="107"/>
      <c r="L1840" s="13"/>
    </row>
    <row r="1841" ht="15.75" customHeight="1">
      <c r="A1841" s="13"/>
      <c r="B1841" s="13"/>
      <c r="C1841" s="13"/>
      <c r="D1841" s="13"/>
      <c r="E1841" s="13"/>
      <c r="F1841" s="227"/>
      <c r="G1841" s="13"/>
      <c r="H1841" s="107"/>
      <c r="I1841" s="13"/>
      <c r="J1841" s="107"/>
      <c r="K1841" s="107"/>
      <c r="L1841" s="13"/>
    </row>
    <row r="1842" ht="15.75" customHeight="1">
      <c r="A1842" s="13"/>
      <c r="B1842" s="13"/>
      <c r="C1842" s="13"/>
      <c r="D1842" s="13"/>
      <c r="E1842" s="13"/>
      <c r="F1842" s="227"/>
      <c r="G1842" s="13"/>
      <c r="H1842" s="107"/>
      <c r="I1842" s="13"/>
      <c r="J1842" s="107"/>
      <c r="K1842" s="107"/>
      <c r="L1842" s="13"/>
    </row>
    <row r="1843" ht="15.75" customHeight="1">
      <c r="A1843" s="13"/>
      <c r="B1843" s="13"/>
      <c r="C1843" s="13"/>
      <c r="D1843" s="13"/>
      <c r="E1843" s="13"/>
      <c r="F1843" s="227"/>
      <c r="G1843" s="13"/>
      <c r="H1843" s="107"/>
      <c r="I1843" s="13"/>
      <c r="J1843" s="107"/>
      <c r="K1843" s="107"/>
      <c r="L1843" s="13"/>
    </row>
    <row r="1844" ht="15.75" customHeight="1">
      <c r="A1844" s="13"/>
      <c r="B1844" s="13"/>
      <c r="C1844" s="13"/>
      <c r="D1844" s="13"/>
      <c r="E1844" s="13"/>
      <c r="F1844" s="227"/>
      <c r="G1844" s="13"/>
      <c r="H1844" s="107"/>
      <c r="I1844" s="13"/>
      <c r="J1844" s="107"/>
      <c r="K1844" s="107"/>
      <c r="L1844" s="13"/>
    </row>
    <row r="1845" ht="15.75" customHeight="1">
      <c r="A1845" s="13"/>
      <c r="B1845" s="13"/>
      <c r="C1845" s="13"/>
      <c r="D1845" s="13"/>
      <c r="E1845" s="13"/>
      <c r="F1845" s="227"/>
      <c r="G1845" s="13"/>
      <c r="H1845" s="107"/>
      <c r="I1845" s="13"/>
      <c r="J1845" s="107"/>
      <c r="K1845" s="107"/>
      <c r="L1845" s="13"/>
    </row>
    <row r="1846" ht="15.75" customHeight="1">
      <c r="A1846" s="13"/>
      <c r="B1846" s="13"/>
      <c r="C1846" s="13"/>
      <c r="D1846" s="13"/>
      <c r="E1846" s="13"/>
      <c r="F1846" s="227"/>
      <c r="G1846" s="13"/>
      <c r="H1846" s="107"/>
      <c r="I1846" s="13"/>
      <c r="J1846" s="107"/>
      <c r="K1846" s="107"/>
      <c r="L1846" s="13"/>
    </row>
    <row r="1847" ht="15.75" customHeight="1">
      <c r="A1847" s="13"/>
      <c r="B1847" s="13"/>
      <c r="C1847" s="13"/>
      <c r="D1847" s="13"/>
      <c r="E1847" s="13"/>
      <c r="F1847" s="227"/>
      <c r="G1847" s="13"/>
      <c r="H1847" s="107"/>
      <c r="I1847" s="13"/>
      <c r="J1847" s="107"/>
      <c r="K1847" s="107"/>
      <c r="L1847" s="13"/>
    </row>
    <row r="1848" ht="15.75" customHeight="1">
      <c r="A1848" s="13"/>
      <c r="B1848" s="13"/>
      <c r="C1848" s="13"/>
      <c r="D1848" s="13"/>
      <c r="E1848" s="13"/>
      <c r="F1848" s="227"/>
      <c r="G1848" s="13"/>
      <c r="H1848" s="107"/>
      <c r="I1848" s="13"/>
      <c r="J1848" s="107"/>
      <c r="K1848" s="107"/>
      <c r="L1848" s="13"/>
    </row>
    <row r="1849" ht="15.75" customHeight="1">
      <c r="A1849" s="13"/>
      <c r="B1849" s="13"/>
      <c r="C1849" s="13"/>
      <c r="D1849" s="13"/>
      <c r="E1849" s="13"/>
      <c r="F1849" s="227"/>
      <c r="G1849" s="13"/>
      <c r="H1849" s="107"/>
      <c r="I1849" s="13"/>
      <c r="J1849" s="107"/>
      <c r="K1849" s="107"/>
      <c r="L1849" s="13"/>
    </row>
    <row r="1850" ht="15.75" customHeight="1">
      <c r="A1850" s="13"/>
      <c r="B1850" s="13"/>
      <c r="C1850" s="13"/>
      <c r="D1850" s="13"/>
      <c r="E1850" s="13"/>
      <c r="F1850" s="227"/>
      <c r="G1850" s="13"/>
      <c r="H1850" s="107"/>
      <c r="I1850" s="13"/>
      <c r="J1850" s="107"/>
      <c r="K1850" s="107"/>
      <c r="L1850" s="13"/>
    </row>
    <row r="1851" ht="15.75" customHeight="1">
      <c r="A1851" s="13"/>
      <c r="B1851" s="13"/>
      <c r="C1851" s="13"/>
      <c r="D1851" s="13"/>
      <c r="E1851" s="13"/>
      <c r="F1851" s="227"/>
      <c r="G1851" s="13"/>
      <c r="H1851" s="107"/>
      <c r="I1851" s="13"/>
      <c r="J1851" s="107"/>
      <c r="K1851" s="107"/>
      <c r="L1851" s="13"/>
    </row>
    <row r="1852" ht="15.75" customHeight="1">
      <c r="A1852" s="13"/>
      <c r="B1852" s="13"/>
      <c r="C1852" s="13"/>
      <c r="D1852" s="13"/>
      <c r="E1852" s="13"/>
      <c r="F1852" s="227"/>
      <c r="G1852" s="13"/>
      <c r="H1852" s="107"/>
      <c r="I1852" s="13"/>
      <c r="J1852" s="107"/>
      <c r="K1852" s="107"/>
      <c r="L1852" s="13"/>
    </row>
    <row r="1853" ht="15.75" customHeight="1">
      <c r="A1853" s="13"/>
      <c r="B1853" s="13"/>
      <c r="C1853" s="13"/>
      <c r="D1853" s="13"/>
      <c r="E1853" s="13"/>
      <c r="F1853" s="227"/>
      <c r="G1853" s="13"/>
      <c r="H1853" s="107"/>
      <c r="I1853" s="13"/>
      <c r="J1853" s="107"/>
      <c r="K1853" s="107"/>
      <c r="L1853" s="13"/>
    </row>
    <row r="1854" ht="15.75" customHeight="1">
      <c r="A1854" s="13"/>
      <c r="B1854" s="13"/>
      <c r="C1854" s="13"/>
      <c r="D1854" s="13"/>
      <c r="E1854" s="13"/>
      <c r="F1854" s="227"/>
      <c r="G1854" s="13"/>
      <c r="H1854" s="107"/>
      <c r="I1854" s="13"/>
      <c r="J1854" s="107"/>
      <c r="K1854" s="107"/>
      <c r="L1854" s="13"/>
    </row>
    <row r="1855" ht="15.75" customHeight="1">
      <c r="A1855" s="13"/>
      <c r="B1855" s="13"/>
      <c r="C1855" s="13"/>
      <c r="D1855" s="13"/>
      <c r="E1855" s="13"/>
      <c r="F1855" s="227"/>
      <c r="G1855" s="13"/>
      <c r="H1855" s="107"/>
      <c r="I1855" s="13"/>
      <c r="J1855" s="107"/>
      <c r="K1855" s="107"/>
      <c r="L1855" s="13"/>
    </row>
    <row r="1856" ht="15.75" customHeight="1">
      <c r="A1856" s="13"/>
      <c r="B1856" s="13"/>
      <c r="C1856" s="13"/>
      <c r="D1856" s="13"/>
      <c r="E1856" s="13"/>
      <c r="F1856" s="227"/>
      <c r="G1856" s="13"/>
      <c r="H1856" s="107"/>
      <c r="I1856" s="13"/>
      <c r="J1856" s="107"/>
      <c r="K1856" s="107"/>
      <c r="L1856" s="13"/>
    </row>
    <row r="1857" ht="15.75" customHeight="1">
      <c r="A1857" s="13"/>
      <c r="B1857" s="13"/>
      <c r="C1857" s="13"/>
      <c r="D1857" s="13"/>
      <c r="E1857" s="13"/>
      <c r="F1857" s="227"/>
      <c r="G1857" s="13"/>
      <c r="H1857" s="107"/>
      <c r="I1857" s="13"/>
      <c r="J1857" s="107"/>
      <c r="K1857" s="107"/>
      <c r="L1857" s="13"/>
    </row>
    <row r="1858" ht="15.75" customHeight="1">
      <c r="A1858" s="13"/>
      <c r="B1858" s="13"/>
      <c r="C1858" s="13"/>
      <c r="D1858" s="13"/>
      <c r="E1858" s="13"/>
      <c r="F1858" s="227"/>
      <c r="G1858" s="13"/>
      <c r="H1858" s="107"/>
      <c r="I1858" s="13"/>
      <c r="J1858" s="107"/>
      <c r="K1858" s="107"/>
      <c r="L1858" s="13"/>
    </row>
    <row r="1859" ht="15.75" customHeight="1">
      <c r="A1859" s="13"/>
      <c r="B1859" s="13"/>
      <c r="C1859" s="13"/>
      <c r="D1859" s="13"/>
      <c r="E1859" s="13"/>
      <c r="F1859" s="227"/>
      <c r="G1859" s="13"/>
      <c r="H1859" s="107"/>
      <c r="I1859" s="13"/>
      <c r="J1859" s="107"/>
      <c r="K1859" s="107"/>
      <c r="L1859" s="13"/>
    </row>
    <row r="1860" ht="15.75" customHeight="1">
      <c r="A1860" s="13"/>
      <c r="B1860" s="13"/>
      <c r="C1860" s="13"/>
      <c r="D1860" s="13"/>
      <c r="E1860" s="13"/>
      <c r="F1860" s="227"/>
      <c r="G1860" s="13"/>
      <c r="H1860" s="107"/>
      <c r="I1860" s="13"/>
      <c r="J1860" s="107"/>
      <c r="K1860" s="107"/>
      <c r="L1860" s="13"/>
    </row>
    <row r="1861" ht="15.75" customHeight="1">
      <c r="A1861" s="13"/>
      <c r="B1861" s="13"/>
      <c r="C1861" s="13"/>
      <c r="D1861" s="13"/>
      <c r="E1861" s="13"/>
      <c r="F1861" s="227"/>
      <c r="G1861" s="13"/>
      <c r="H1861" s="107"/>
      <c r="I1861" s="13"/>
      <c r="J1861" s="107"/>
      <c r="K1861" s="107"/>
      <c r="L1861" s="13"/>
    </row>
    <row r="1862" ht="15.75" customHeight="1">
      <c r="A1862" s="13"/>
      <c r="B1862" s="13"/>
      <c r="C1862" s="13"/>
      <c r="D1862" s="13"/>
      <c r="E1862" s="13"/>
      <c r="F1862" s="227"/>
      <c r="G1862" s="13"/>
      <c r="H1862" s="107"/>
      <c r="I1862" s="13"/>
      <c r="J1862" s="107"/>
      <c r="K1862" s="107"/>
      <c r="L1862" s="13"/>
    </row>
    <row r="1863" ht="15.75" customHeight="1">
      <c r="A1863" s="13"/>
      <c r="B1863" s="13"/>
      <c r="C1863" s="13"/>
      <c r="D1863" s="13"/>
      <c r="E1863" s="13"/>
      <c r="F1863" s="227"/>
      <c r="G1863" s="13"/>
      <c r="H1863" s="107"/>
      <c r="I1863" s="13"/>
      <c r="J1863" s="107"/>
      <c r="K1863" s="107"/>
      <c r="L1863" s="13"/>
    </row>
    <row r="1864" ht="15.75" customHeight="1">
      <c r="A1864" s="13"/>
      <c r="B1864" s="13"/>
      <c r="C1864" s="13"/>
      <c r="D1864" s="13"/>
      <c r="E1864" s="13"/>
      <c r="F1864" s="227"/>
      <c r="G1864" s="13"/>
      <c r="H1864" s="107"/>
      <c r="I1864" s="13"/>
      <c r="J1864" s="107"/>
      <c r="K1864" s="107"/>
      <c r="L1864" s="13"/>
    </row>
    <row r="1865" ht="15.75" customHeight="1">
      <c r="A1865" s="13"/>
      <c r="B1865" s="13"/>
      <c r="C1865" s="13"/>
      <c r="D1865" s="13"/>
      <c r="E1865" s="13"/>
      <c r="F1865" s="227"/>
      <c r="G1865" s="13"/>
      <c r="H1865" s="107"/>
      <c r="I1865" s="13"/>
      <c r="J1865" s="107"/>
      <c r="K1865" s="107"/>
      <c r="L1865" s="13"/>
    </row>
    <row r="1866" ht="15.75" customHeight="1">
      <c r="A1866" s="13"/>
      <c r="B1866" s="13"/>
      <c r="C1866" s="13"/>
      <c r="D1866" s="13"/>
      <c r="E1866" s="13"/>
      <c r="F1866" s="227"/>
      <c r="G1866" s="13"/>
      <c r="H1866" s="107"/>
      <c r="I1866" s="13"/>
      <c r="J1866" s="107"/>
      <c r="K1866" s="107"/>
      <c r="L1866" s="13"/>
    </row>
    <row r="1867" ht="15.75" customHeight="1">
      <c r="A1867" s="13"/>
      <c r="B1867" s="13"/>
      <c r="C1867" s="13"/>
      <c r="D1867" s="13"/>
      <c r="E1867" s="13"/>
      <c r="F1867" s="227"/>
      <c r="G1867" s="13"/>
      <c r="H1867" s="107"/>
      <c r="I1867" s="13"/>
      <c r="J1867" s="107"/>
      <c r="K1867" s="107"/>
      <c r="L1867" s="13"/>
    </row>
    <row r="1868" ht="15.75" customHeight="1">
      <c r="A1868" s="13"/>
      <c r="B1868" s="13"/>
      <c r="C1868" s="13"/>
      <c r="D1868" s="13"/>
      <c r="E1868" s="13"/>
      <c r="F1868" s="227"/>
      <c r="G1868" s="13"/>
      <c r="H1868" s="107"/>
      <c r="I1868" s="13"/>
      <c r="J1868" s="107"/>
      <c r="K1868" s="107"/>
      <c r="L1868" s="13"/>
    </row>
    <row r="1869" ht="15.75" customHeight="1">
      <c r="A1869" s="13"/>
      <c r="B1869" s="13"/>
      <c r="C1869" s="13"/>
      <c r="D1869" s="13"/>
      <c r="E1869" s="13"/>
      <c r="F1869" s="227"/>
      <c r="G1869" s="13"/>
      <c r="H1869" s="107"/>
      <c r="I1869" s="13"/>
      <c r="J1869" s="107"/>
      <c r="K1869" s="107"/>
      <c r="L1869" s="13"/>
    </row>
    <row r="1870" ht="15.75" customHeight="1">
      <c r="A1870" s="13"/>
      <c r="B1870" s="13"/>
      <c r="C1870" s="13"/>
      <c r="D1870" s="13"/>
      <c r="E1870" s="13"/>
      <c r="F1870" s="227"/>
      <c r="G1870" s="13"/>
      <c r="H1870" s="107"/>
      <c r="I1870" s="13"/>
      <c r="J1870" s="107"/>
      <c r="K1870" s="107"/>
      <c r="L1870" s="13"/>
    </row>
    <row r="1871" ht="15.75" customHeight="1">
      <c r="A1871" s="13"/>
      <c r="B1871" s="13"/>
      <c r="C1871" s="13"/>
      <c r="D1871" s="13"/>
      <c r="E1871" s="13"/>
      <c r="F1871" s="227"/>
      <c r="G1871" s="13"/>
      <c r="H1871" s="107"/>
      <c r="I1871" s="13"/>
      <c r="J1871" s="107"/>
      <c r="K1871" s="107"/>
      <c r="L1871" s="13"/>
    </row>
    <row r="1872" ht="15.75" customHeight="1">
      <c r="A1872" s="13"/>
      <c r="B1872" s="13"/>
      <c r="C1872" s="13"/>
      <c r="D1872" s="13"/>
      <c r="E1872" s="13"/>
      <c r="F1872" s="227"/>
      <c r="G1872" s="13"/>
      <c r="H1872" s="107"/>
      <c r="I1872" s="13"/>
      <c r="J1872" s="107"/>
      <c r="K1872" s="107"/>
      <c r="L1872" s="13"/>
    </row>
    <row r="1873" ht="15.75" customHeight="1">
      <c r="A1873" s="13"/>
      <c r="B1873" s="13"/>
      <c r="C1873" s="13"/>
      <c r="D1873" s="13"/>
      <c r="E1873" s="13"/>
      <c r="F1873" s="227"/>
      <c r="G1873" s="13"/>
      <c r="H1873" s="107"/>
      <c r="I1873" s="13"/>
      <c r="J1873" s="107"/>
      <c r="K1873" s="107"/>
      <c r="L1873" s="13"/>
    </row>
    <row r="1874" ht="15.75" customHeight="1">
      <c r="A1874" s="13"/>
      <c r="B1874" s="13"/>
      <c r="C1874" s="13"/>
      <c r="D1874" s="13"/>
      <c r="E1874" s="13"/>
      <c r="F1874" s="227"/>
      <c r="G1874" s="13"/>
      <c r="H1874" s="107"/>
      <c r="I1874" s="13"/>
      <c r="J1874" s="107"/>
      <c r="K1874" s="107"/>
      <c r="L1874" s="13"/>
    </row>
    <row r="1875" ht="15.75" customHeight="1">
      <c r="A1875" s="13"/>
      <c r="B1875" s="13"/>
      <c r="C1875" s="13"/>
      <c r="D1875" s="13"/>
      <c r="E1875" s="13"/>
      <c r="F1875" s="227"/>
      <c r="G1875" s="13"/>
      <c r="H1875" s="107"/>
      <c r="I1875" s="13"/>
      <c r="J1875" s="107"/>
      <c r="K1875" s="107"/>
      <c r="L1875" s="13"/>
    </row>
    <row r="1876" ht="15.75" customHeight="1">
      <c r="A1876" s="13"/>
      <c r="B1876" s="13"/>
      <c r="C1876" s="13"/>
      <c r="D1876" s="13"/>
      <c r="E1876" s="13"/>
      <c r="F1876" s="227"/>
      <c r="G1876" s="13"/>
      <c r="H1876" s="107"/>
      <c r="I1876" s="13"/>
      <c r="J1876" s="107"/>
      <c r="K1876" s="107"/>
      <c r="L1876" s="13"/>
    </row>
    <row r="1877" ht="15.75" customHeight="1">
      <c r="A1877" s="13"/>
      <c r="B1877" s="13"/>
      <c r="C1877" s="13"/>
      <c r="D1877" s="13"/>
      <c r="E1877" s="13"/>
      <c r="F1877" s="227"/>
      <c r="G1877" s="13"/>
      <c r="H1877" s="107"/>
      <c r="I1877" s="13"/>
      <c r="J1877" s="107"/>
      <c r="K1877" s="107"/>
      <c r="L1877" s="13"/>
    </row>
    <row r="1878" ht="15.75" customHeight="1">
      <c r="A1878" s="13"/>
      <c r="B1878" s="13"/>
      <c r="C1878" s="13"/>
      <c r="D1878" s="13"/>
      <c r="E1878" s="13"/>
      <c r="F1878" s="227"/>
      <c r="G1878" s="13"/>
      <c r="H1878" s="107"/>
      <c r="I1878" s="13"/>
      <c r="J1878" s="107"/>
      <c r="K1878" s="107"/>
      <c r="L1878" s="13"/>
    </row>
    <row r="1879" ht="15.75" customHeight="1">
      <c r="A1879" s="13"/>
      <c r="B1879" s="13"/>
      <c r="C1879" s="13"/>
      <c r="D1879" s="13"/>
      <c r="E1879" s="13"/>
      <c r="F1879" s="227"/>
      <c r="G1879" s="13"/>
      <c r="H1879" s="107"/>
      <c r="I1879" s="13"/>
      <c r="J1879" s="107"/>
      <c r="K1879" s="107"/>
      <c r="L1879" s="13"/>
    </row>
    <row r="1880" ht="15.75" customHeight="1">
      <c r="A1880" s="13"/>
      <c r="B1880" s="13"/>
      <c r="C1880" s="13"/>
      <c r="D1880" s="13"/>
      <c r="E1880" s="13"/>
      <c r="F1880" s="227"/>
      <c r="G1880" s="13"/>
      <c r="H1880" s="107"/>
      <c r="I1880" s="13"/>
      <c r="J1880" s="107"/>
      <c r="K1880" s="107"/>
      <c r="L1880" s="13"/>
    </row>
    <row r="1881" ht="15.75" customHeight="1">
      <c r="A1881" s="13"/>
      <c r="B1881" s="13"/>
      <c r="C1881" s="13"/>
      <c r="D1881" s="13"/>
      <c r="E1881" s="13"/>
      <c r="F1881" s="227"/>
      <c r="G1881" s="13"/>
      <c r="H1881" s="107"/>
      <c r="I1881" s="13"/>
      <c r="J1881" s="107"/>
      <c r="K1881" s="107"/>
      <c r="L1881" s="13"/>
    </row>
    <row r="1882" ht="15.75" customHeight="1">
      <c r="A1882" s="13"/>
      <c r="B1882" s="13"/>
      <c r="C1882" s="13"/>
      <c r="D1882" s="13"/>
      <c r="E1882" s="13"/>
      <c r="F1882" s="227"/>
      <c r="G1882" s="13"/>
      <c r="H1882" s="107"/>
      <c r="I1882" s="13"/>
      <c r="J1882" s="107"/>
      <c r="K1882" s="107"/>
      <c r="L1882" s="13"/>
    </row>
    <row r="1883" ht="15.75" customHeight="1">
      <c r="A1883" s="13"/>
      <c r="B1883" s="13"/>
      <c r="C1883" s="13"/>
      <c r="D1883" s="13"/>
      <c r="E1883" s="13"/>
      <c r="F1883" s="227"/>
      <c r="G1883" s="13"/>
      <c r="H1883" s="107"/>
      <c r="I1883" s="13"/>
      <c r="J1883" s="107"/>
      <c r="K1883" s="107"/>
      <c r="L1883" s="13"/>
    </row>
    <row r="1884" ht="15.75" customHeight="1">
      <c r="A1884" s="13"/>
      <c r="B1884" s="13"/>
      <c r="C1884" s="13"/>
      <c r="D1884" s="13"/>
      <c r="E1884" s="13"/>
      <c r="F1884" s="227"/>
      <c r="G1884" s="13"/>
      <c r="H1884" s="107"/>
      <c r="I1884" s="13"/>
      <c r="J1884" s="107"/>
      <c r="K1884" s="107"/>
      <c r="L1884" s="13"/>
    </row>
    <row r="1885" ht="15.75" customHeight="1">
      <c r="A1885" s="13"/>
      <c r="B1885" s="13"/>
      <c r="C1885" s="13"/>
      <c r="D1885" s="13"/>
      <c r="E1885" s="13"/>
      <c r="F1885" s="227"/>
      <c r="G1885" s="13"/>
      <c r="H1885" s="107"/>
      <c r="I1885" s="13"/>
      <c r="J1885" s="107"/>
      <c r="K1885" s="107"/>
      <c r="L1885" s="13"/>
    </row>
    <row r="1886" ht="15.75" customHeight="1">
      <c r="A1886" s="13"/>
      <c r="B1886" s="13"/>
      <c r="C1886" s="13"/>
      <c r="D1886" s="13"/>
      <c r="E1886" s="13"/>
      <c r="F1886" s="227"/>
      <c r="G1886" s="13"/>
      <c r="H1886" s="107"/>
      <c r="I1886" s="13"/>
      <c r="J1886" s="107"/>
      <c r="K1886" s="107"/>
      <c r="L1886" s="13"/>
    </row>
    <row r="1887" ht="15.75" customHeight="1">
      <c r="A1887" s="13"/>
      <c r="B1887" s="13"/>
      <c r="C1887" s="13"/>
      <c r="D1887" s="13"/>
      <c r="E1887" s="13"/>
      <c r="F1887" s="227"/>
      <c r="G1887" s="13"/>
      <c r="H1887" s="107"/>
      <c r="I1887" s="13"/>
      <c r="J1887" s="107"/>
      <c r="K1887" s="107"/>
      <c r="L1887" s="13"/>
    </row>
    <row r="1888" ht="15.75" customHeight="1">
      <c r="A1888" s="13"/>
      <c r="B1888" s="13"/>
      <c r="C1888" s="13"/>
      <c r="D1888" s="13"/>
      <c r="E1888" s="13"/>
      <c r="F1888" s="227"/>
      <c r="G1888" s="13"/>
      <c r="H1888" s="107"/>
      <c r="I1888" s="13"/>
      <c r="J1888" s="107"/>
      <c r="K1888" s="107"/>
      <c r="L1888" s="13"/>
    </row>
    <row r="1889" ht="15.75" customHeight="1">
      <c r="A1889" s="13"/>
      <c r="B1889" s="13"/>
      <c r="C1889" s="13"/>
      <c r="D1889" s="13"/>
      <c r="E1889" s="13"/>
      <c r="F1889" s="227"/>
      <c r="G1889" s="13"/>
      <c r="H1889" s="107"/>
      <c r="I1889" s="13"/>
      <c r="J1889" s="107"/>
      <c r="K1889" s="107"/>
      <c r="L1889" s="13"/>
    </row>
    <row r="1890" ht="15.75" customHeight="1">
      <c r="A1890" s="13"/>
      <c r="B1890" s="13"/>
      <c r="C1890" s="13"/>
      <c r="D1890" s="13"/>
      <c r="E1890" s="13"/>
      <c r="F1890" s="227"/>
      <c r="G1890" s="13"/>
      <c r="H1890" s="107"/>
      <c r="I1890" s="13"/>
      <c r="J1890" s="107"/>
      <c r="K1890" s="107"/>
      <c r="L1890" s="13"/>
    </row>
    <row r="1891" ht="15.75" customHeight="1">
      <c r="A1891" s="13"/>
      <c r="B1891" s="13"/>
      <c r="C1891" s="13"/>
      <c r="D1891" s="13"/>
      <c r="E1891" s="13"/>
      <c r="F1891" s="227"/>
      <c r="G1891" s="13"/>
      <c r="H1891" s="107"/>
      <c r="I1891" s="13"/>
      <c r="J1891" s="107"/>
      <c r="K1891" s="107"/>
      <c r="L1891" s="13"/>
    </row>
    <row r="1892" ht="15.75" customHeight="1">
      <c r="A1892" s="13"/>
      <c r="B1892" s="13"/>
      <c r="C1892" s="13"/>
      <c r="D1892" s="13"/>
      <c r="E1892" s="13"/>
      <c r="F1892" s="227"/>
      <c r="G1892" s="13"/>
      <c r="H1892" s="107"/>
      <c r="I1892" s="13"/>
      <c r="J1892" s="107"/>
      <c r="K1892" s="107"/>
      <c r="L1892" s="13"/>
    </row>
    <row r="1893" ht="15.75" customHeight="1">
      <c r="A1893" s="13"/>
      <c r="B1893" s="13"/>
      <c r="C1893" s="13"/>
      <c r="D1893" s="13"/>
      <c r="E1893" s="13"/>
      <c r="F1893" s="227"/>
      <c r="G1893" s="13"/>
      <c r="H1893" s="107"/>
      <c r="I1893" s="13"/>
      <c r="J1893" s="107"/>
      <c r="K1893" s="107"/>
      <c r="L1893" s="13"/>
    </row>
    <row r="1894" ht="15.75" customHeight="1">
      <c r="A1894" s="13"/>
      <c r="B1894" s="13"/>
      <c r="C1894" s="13"/>
      <c r="D1894" s="13"/>
      <c r="E1894" s="13"/>
      <c r="F1894" s="227"/>
      <c r="G1894" s="13"/>
      <c r="H1894" s="107"/>
      <c r="I1894" s="13"/>
      <c r="J1894" s="107"/>
      <c r="K1894" s="107"/>
      <c r="L1894" s="13"/>
    </row>
    <row r="1895" ht="15.75" customHeight="1">
      <c r="A1895" s="13"/>
      <c r="B1895" s="13"/>
      <c r="C1895" s="13"/>
      <c r="D1895" s="13"/>
      <c r="E1895" s="13"/>
      <c r="F1895" s="227"/>
      <c r="G1895" s="13"/>
      <c r="H1895" s="107"/>
      <c r="I1895" s="13"/>
      <c r="J1895" s="107"/>
      <c r="K1895" s="107"/>
      <c r="L1895" s="13"/>
    </row>
    <row r="1896" ht="15.75" customHeight="1">
      <c r="A1896" s="13"/>
      <c r="B1896" s="13"/>
      <c r="C1896" s="13"/>
      <c r="D1896" s="13"/>
      <c r="E1896" s="13"/>
      <c r="F1896" s="227"/>
      <c r="G1896" s="13"/>
      <c r="H1896" s="107"/>
      <c r="I1896" s="13"/>
      <c r="J1896" s="107"/>
      <c r="K1896" s="107"/>
      <c r="L1896" s="13"/>
    </row>
    <row r="1897" ht="15.75" customHeight="1">
      <c r="A1897" s="13"/>
      <c r="B1897" s="13"/>
      <c r="C1897" s="13"/>
      <c r="D1897" s="13"/>
      <c r="E1897" s="13"/>
      <c r="F1897" s="227"/>
      <c r="G1897" s="13"/>
      <c r="H1897" s="107"/>
      <c r="I1897" s="13"/>
      <c r="J1897" s="107"/>
      <c r="K1897" s="107"/>
      <c r="L1897" s="13"/>
    </row>
    <row r="1898" ht="15.75" customHeight="1">
      <c r="A1898" s="13"/>
      <c r="B1898" s="13"/>
      <c r="C1898" s="13"/>
      <c r="D1898" s="13"/>
      <c r="E1898" s="13"/>
      <c r="F1898" s="227"/>
      <c r="G1898" s="13"/>
      <c r="H1898" s="107"/>
      <c r="I1898" s="13"/>
      <c r="J1898" s="107"/>
      <c r="K1898" s="107"/>
      <c r="L1898" s="13"/>
    </row>
    <row r="1899" ht="15.75" customHeight="1">
      <c r="A1899" s="13"/>
      <c r="B1899" s="13"/>
      <c r="C1899" s="13"/>
      <c r="D1899" s="13"/>
      <c r="E1899" s="13"/>
      <c r="F1899" s="227"/>
      <c r="G1899" s="13"/>
      <c r="H1899" s="107"/>
      <c r="I1899" s="13"/>
      <c r="J1899" s="107"/>
      <c r="K1899" s="107"/>
      <c r="L1899" s="13"/>
    </row>
    <row r="1900" ht="15.75" customHeight="1">
      <c r="A1900" s="13"/>
      <c r="B1900" s="13"/>
      <c r="C1900" s="13"/>
      <c r="D1900" s="13"/>
      <c r="E1900" s="13"/>
      <c r="F1900" s="227"/>
      <c r="G1900" s="13"/>
      <c r="H1900" s="107"/>
      <c r="I1900" s="13"/>
      <c r="J1900" s="107"/>
      <c r="K1900" s="107"/>
      <c r="L1900" s="13"/>
    </row>
    <row r="1901" ht="15.75" customHeight="1">
      <c r="A1901" s="13"/>
      <c r="B1901" s="13"/>
      <c r="C1901" s="13"/>
      <c r="D1901" s="13"/>
      <c r="E1901" s="13"/>
      <c r="F1901" s="227"/>
      <c r="G1901" s="13"/>
      <c r="H1901" s="107"/>
      <c r="I1901" s="13"/>
      <c r="J1901" s="107"/>
      <c r="K1901" s="107"/>
      <c r="L1901" s="13"/>
    </row>
    <row r="1902" ht="15.75" customHeight="1">
      <c r="A1902" s="13"/>
      <c r="B1902" s="13"/>
      <c r="C1902" s="13"/>
      <c r="D1902" s="13"/>
      <c r="E1902" s="13"/>
      <c r="F1902" s="227"/>
      <c r="G1902" s="13"/>
      <c r="H1902" s="107"/>
      <c r="I1902" s="13"/>
      <c r="J1902" s="107"/>
      <c r="K1902" s="107"/>
      <c r="L1902" s="13"/>
    </row>
    <row r="1903" ht="15.75" customHeight="1">
      <c r="A1903" s="13"/>
      <c r="B1903" s="13"/>
      <c r="C1903" s="13"/>
      <c r="D1903" s="13"/>
      <c r="E1903" s="13"/>
      <c r="F1903" s="227"/>
      <c r="G1903" s="13"/>
      <c r="H1903" s="107"/>
      <c r="I1903" s="13"/>
      <c r="J1903" s="107"/>
      <c r="K1903" s="107"/>
      <c r="L1903" s="13"/>
    </row>
    <row r="1904" ht="15.75" customHeight="1">
      <c r="A1904" s="13"/>
      <c r="B1904" s="13"/>
      <c r="C1904" s="13"/>
      <c r="D1904" s="13"/>
      <c r="E1904" s="13"/>
      <c r="F1904" s="227"/>
      <c r="G1904" s="13"/>
      <c r="H1904" s="107"/>
      <c r="I1904" s="13"/>
      <c r="J1904" s="107"/>
      <c r="K1904" s="107"/>
      <c r="L1904" s="13"/>
    </row>
    <row r="1905" ht="15.75" customHeight="1">
      <c r="A1905" s="13"/>
      <c r="B1905" s="13"/>
      <c r="C1905" s="13"/>
      <c r="D1905" s="13"/>
      <c r="E1905" s="13"/>
      <c r="F1905" s="227"/>
      <c r="G1905" s="13"/>
      <c r="H1905" s="107"/>
      <c r="I1905" s="13"/>
      <c r="J1905" s="107"/>
      <c r="K1905" s="107"/>
      <c r="L1905" s="13"/>
    </row>
    <row r="1906" ht="15.75" customHeight="1">
      <c r="A1906" s="13"/>
      <c r="B1906" s="13"/>
      <c r="C1906" s="13"/>
      <c r="D1906" s="13"/>
      <c r="E1906" s="13"/>
      <c r="F1906" s="227"/>
      <c r="G1906" s="13"/>
      <c r="H1906" s="107"/>
      <c r="I1906" s="13"/>
      <c r="J1906" s="107"/>
      <c r="K1906" s="107"/>
      <c r="L1906" s="13"/>
    </row>
    <row r="1907" ht="15.75" customHeight="1">
      <c r="A1907" s="13"/>
      <c r="B1907" s="13"/>
      <c r="C1907" s="13"/>
      <c r="D1907" s="13"/>
      <c r="E1907" s="13"/>
      <c r="F1907" s="227"/>
      <c r="G1907" s="13"/>
      <c r="H1907" s="107"/>
      <c r="I1907" s="13"/>
      <c r="J1907" s="107"/>
      <c r="K1907" s="107"/>
      <c r="L1907" s="13"/>
    </row>
    <row r="1908" ht="15.75" customHeight="1">
      <c r="A1908" s="13"/>
      <c r="B1908" s="13"/>
      <c r="C1908" s="13"/>
      <c r="D1908" s="13"/>
      <c r="E1908" s="13"/>
      <c r="F1908" s="227"/>
      <c r="G1908" s="13"/>
      <c r="H1908" s="107"/>
      <c r="I1908" s="13"/>
      <c r="J1908" s="107"/>
      <c r="K1908" s="107"/>
      <c r="L1908" s="13"/>
    </row>
    <row r="1909" ht="15.75" customHeight="1">
      <c r="A1909" s="13"/>
      <c r="B1909" s="13"/>
      <c r="C1909" s="13"/>
      <c r="D1909" s="13"/>
      <c r="E1909" s="13"/>
      <c r="F1909" s="227"/>
      <c r="G1909" s="13"/>
      <c r="H1909" s="107"/>
      <c r="I1909" s="13"/>
      <c r="J1909" s="107"/>
      <c r="K1909" s="107"/>
      <c r="L1909" s="13"/>
    </row>
    <row r="1910" ht="15.75" customHeight="1">
      <c r="A1910" s="13"/>
      <c r="B1910" s="13"/>
      <c r="C1910" s="13"/>
      <c r="D1910" s="13"/>
      <c r="E1910" s="13"/>
      <c r="F1910" s="227"/>
      <c r="G1910" s="13"/>
      <c r="H1910" s="107"/>
      <c r="I1910" s="13"/>
      <c r="J1910" s="107"/>
      <c r="K1910" s="107"/>
      <c r="L1910" s="13"/>
    </row>
    <row r="1911" ht="15.75" customHeight="1">
      <c r="A1911" s="13"/>
      <c r="B1911" s="13"/>
      <c r="C1911" s="13"/>
      <c r="D1911" s="13"/>
      <c r="E1911" s="13"/>
      <c r="F1911" s="227"/>
      <c r="G1911" s="13"/>
      <c r="H1911" s="107"/>
      <c r="I1911" s="13"/>
      <c r="J1911" s="107"/>
      <c r="K1911" s="107"/>
      <c r="L1911" s="13"/>
    </row>
    <row r="1912" ht="15.75" customHeight="1">
      <c r="A1912" s="13"/>
      <c r="B1912" s="13"/>
      <c r="C1912" s="13"/>
      <c r="D1912" s="13"/>
      <c r="E1912" s="13"/>
      <c r="F1912" s="227"/>
      <c r="G1912" s="13"/>
      <c r="H1912" s="107"/>
      <c r="I1912" s="13"/>
      <c r="J1912" s="107"/>
      <c r="K1912" s="107"/>
      <c r="L1912" s="13"/>
    </row>
    <row r="1913" ht="15.75" customHeight="1">
      <c r="A1913" s="13"/>
      <c r="B1913" s="13"/>
      <c r="C1913" s="13"/>
      <c r="D1913" s="13"/>
      <c r="E1913" s="13"/>
      <c r="F1913" s="227"/>
      <c r="G1913" s="13"/>
      <c r="H1913" s="107"/>
      <c r="I1913" s="13"/>
      <c r="J1913" s="107"/>
      <c r="K1913" s="107"/>
      <c r="L1913" s="13"/>
    </row>
    <row r="1914" ht="15.75" customHeight="1">
      <c r="A1914" s="13"/>
      <c r="B1914" s="13"/>
      <c r="C1914" s="13"/>
      <c r="D1914" s="13"/>
      <c r="E1914" s="13"/>
      <c r="F1914" s="227"/>
      <c r="G1914" s="13"/>
      <c r="H1914" s="107"/>
      <c r="I1914" s="13"/>
      <c r="J1914" s="107"/>
      <c r="K1914" s="107"/>
      <c r="L1914" s="13"/>
    </row>
    <row r="1915" ht="15.75" customHeight="1">
      <c r="A1915" s="13"/>
      <c r="B1915" s="13"/>
      <c r="C1915" s="13"/>
      <c r="D1915" s="13"/>
      <c r="E1915" s="13"/>
      <c r="F1915" s="227"/>
      <c r="G1915" s="13"/>
      <c r="H1915" s="107"/>
      <c r="I1915" s="13"/>
      <c r="J1915" s="107"/>
      <c r="K1915" s="107"/>
      <c r="L1915" s="13"/>
    </row>
    <row r="1916" ht="15.75" customHeight="1">
      <c r="A1916" s="13"/>
      <c r="B1916" s="13"/>
      <c r="C1916" s="13"/>
      <c r="D1916" s="13"/>
      <c r="E1916" s="13"/>
      <c r="F1916" s="227"/>
      <c r="G1916" s="13"/>
      <c r="H1916" s="107"/>
      <c r="I1916" s="13"/>
      <c r="J1916" s="107"/>
      <c r="K1916" s="107"/>
      <c r="L1916" s="13"/>
    </row>
    <row r="1917" ht="15.75" customHeight="1">
      <c r="A1917" s="13"/>
      <c r="B1917" s="13"/>
      <c r="C1917" s="13"/>
      <c r="D1917" s="13"/>
      <c r="E1917" s="13"/>
      <c r="F1917" s="227"/>
      <c r="G1917" s="13"/>
      <c r="H1917" s="107"/>
      <c r="I1917" s="13"/>
      <c r="J1917" s="107"/>
      <c r="K1917" s="107"/>
      <c r="L1917" s="13"/>
    </row>
    <row r="1918" ht="15.75" customHeight="1">
      <c r="A1918" s="13"/>
      <c r="B1918" s="13"/>
      <c r="C1918" s="13"/>
      <c r="D1918" s="13"/>
      <c r="E1918" s="13"/>
      <c r="F1918" s="227"/>
      <c r="G1918" s="13"/>
      <c r="H1918" s="107"/>
      <c r="I1918" s="13"/>
      <c r="J1918" s="107"/>
      <c r="K1918" s="107"/>
      <c r="L1918" s="13"/>
    </row>
    <row r="1919" ht="15.75" customHeight="1">
      <c r="A1919" s="13"/>
      <c r="B1919" s="13"/>
      <c r="C1919" s="13"/>
      <c r="D1919" s="13"/>
      <c r="E1919" s="13"/>
      <c r="F1919" s="227"/>
      <c r="G1919" s="13"/>
      <c r="H1919" s="107"/>
      <c r="I1919" s="13"/>
      <c r="J1919" s="107"/>
      <c r="K1919" s="107"/>
      <c r="L1919" s="13"/>
    </row>
    <row r="1920" ht="15.75" customHeight="1">
      <c r="A1920" s="13"/>
      <c r="B1920" s="13"/>
      <c r="C1920" s="13"/>
      <c r="D1920" s="13"/>
      <c r="E1920" s="13"/>
      <c r="F1920" s="227"/>
      <c r="G1920" s="13"/>
      <c r="H1920" s="107"/>
      <c r="I1920" s="13"/>
      <c r="J1920" s="107"/>
      <c r="K1920" s="107"/>
      <c r="L1920" s="13"/>
    </row>
    <row r="1921" ht="15.75" customHeight="1">
      <c r="A1921" s="13"/>
      <c r="B1921" s="13"/>
      <c r="C1921" s="13"/>
      <c r="D1921" s="13"/>
      <c r="E1921" s="13"/>
      <c r="F1921" s="227"/>
      <c r="G1921" s="13"/>
      <c r="H1921" s="107"/>
      <c r="I1921" s="13"/>
      <c r="J1921" s="107"/>
      <c r="K1921" s="107"/>
      <c r="L1921" s="13"/>
    </row>
    <row r="1922" ht="15.75" customHeight="1">
      <c r="A1922" s="13"/>
      <c r="B1922" s="13"/>
      <c r="C1922" s="13"/>
      <c r="D1922" s="13"/>
      <c r="E1922" s="13"/>
      <c r="F1922" s="227"/>
      <c r="G1922" s="13"/>
      <c r="H1922" s="107"/>
      <c r="I1922" s="13"/>
      <c r="J1922" s="107"/>
      <c r="K1922" s="107"/>
      <c r="L1922" s="13"/>
    </row>
    <row r="1923" ht="15.75" customHeight="1">
      <c r="A1923" s="13"/>
      <c r="B1923" s="13"/>
      <c r="C1923" s="13"/>
      <c r="D1923" s="13"/>
      <c r="E1923" s="13"/>
      <c r="F1923" s="227"/>
      <c r="G1923" s="13"/>
      <c r="H1923" s="107"/>
      <c r="I1923" s="13"/>
      <c r="J1923" s="107"/>
      <c r="K1923" s="107"/>
      <c r="L1923" s="13"/>
    </row>
    <row r="1924" ht="15.75" customHeight="1">
      <c r="A1924" s="13"/>
      <c r="B1924" s="13"/>
      <c r="C1924" s="13"/>
      <c r="D1924" s="13"/>
      <c r="E1924" s="13"/>
      <c r="F1924" s="227"/>
      <c r="G1924" s="13"/>
      <c r="H1924" s="107"/>
      <c r="I1924" s="13"/>
      <c r="J1924" s="107"/>
      <c r="K1924" s="107"/>
      <c r="L1924" s="13"/>
    </row>
    <row r="1925" ht="15.75" customHeight="1">
      <c r="A1925" s="13"/>
      <c r="B1925" s="13"/>
      <c r="C1925" s="13"/>
      <c r="D1925" s="13"/>
      <c r="E1925" s="13"/>
      <c r="F1925" s="227"/>
      <c r="G1925" s="13"/>
      <c r="H1925" s="107"/>
      <c r="I1925" s="13"/>
      <c r="J1925" s="107"/>
      <c r="K1925" s="107"/>
      <c r="L1925" s="13"/>
    </row>
    <row r="1926" ht="15.75" customHeight="1">
      <c r="A1926" s="13"/>
      <c r="B1926" s="13"/>
      <c r="C1926" s="13"/>
      <c r="D1926" s="13"/>
      <c r="E1926" s="13"/>
      <c r="F1926" s="227"/>
      <c r="G1926" s="13"/>
      <c r="H1926" s="107"/>
      <c r="I1926" s="13"/>
      <c r="J1926" s="107"/>
      <c r="K1926" s="107"/>
      <c r="L1926" s="13"/>
    </row>
    <row r="1927" ht="15.75" customHeight="1">
      <c r="A1927" s="13"/>
      <c r="B1927" s="13"/>
      <c r="C1927" s="13"/>
      <c r="D1927" s="13"/>
      <c r="E1927" s="13"/>
      <c r="F1927" s="227"/>
      <c r="G1927" s="13"/>
      <c r="H1927" s="107"/>
      <c r="I1927" s="13"/>
      <c r="J1927" s="107"/>
      <c r="K1927" s="107"/>
      <c r="L1927" s="13"/>
    </row>
    <row r="1928" ht="15.75" customHeight="1">
      <c r="A1928" s="13"/>
      <c r="B1928" s="13"/>
      <c r="C1928" s="13"/>
      <c r="D1928" s="13"/>
      <c r="E1928" s="13"/>
      <c r="F1928" s="227"/>
      <c r="G1928" s="13"/>
      <c r="H1928" s="107"/>
      <c r="I1928" s="13"/>
      <c r="J1928" s="107"/>
      <c r="K1928" s="107"/>
      <c r="L1928" s="13"/>
    </row>
    <row r="1929" ht="15.75" customHeight="1">
      <c r="A1929" s="13"/>
      <c r="B1929" s="13"/>
      <c r="C1929" s="13"/>
      <c r="D1929" s="13"/>
      <c r="E1929" s="13"/>
      <c r="F1929" s="227"/>
      <c r="G1929" s="13"/>
      <c r="H1929" s="107"/>
      <c r="I1929" s="13"/>
      <c r="J1929" s="107"/>
      <c r="K1929" s="107"/>
      <c r="L1929" s="13"/>
    </row>
    <row r="1930" ht="15.75" customHeight="1">
      <c r="A1930" s="13"/>
      <c r="B1930" s="13"/>
      <c r="C1930" s="13"/>
      <c r="D1930" s="13"/>
      <c r="E1930" s="13"/>
      <c r="F1930" s="227"/>
      <c r="G1930" s="13"/>
      <c r="H1930" s="107"/>
      <c r="I1930" s="13"/>
      <c r="J1930" s="107"/>
      <c r="K1930" s="107"/>
      <c r="L1930" s="13"/>
    </row>
    <row r="1931" ht="15.75" customHeight="1">
      <c r="A1931" s="13"/>
      <c r="B1931" s="13"/>
      <c r="C1931" s="13"/>
      <c r="D1931" s="13"/>
      <c r="E1931" s="13"/>
      <c r="F1931" s="227"/>
      <c r="G1931" s="13"/>
      <c r="H1931" s="107"/>
      <c r="I1931" s="13"/>
      <c r="J1931" s="107"/>
      <c r="K1931" s="107"/>
      <c r="L1931" s="13"/>
    </row>
    <row r="1932" ht="15.75" customHeight="1">
      <c r="A1932" s="13"/>
      <c r="B1932" s="13"/>
      <c r="C1932" s="13"/>
      <c r="D1932" s="13"/>
      <c r="E1932" s="13"/>
      <c r="F1932" s="227"/>
      <c r="G1932" s="13"/>
      <c r="H1932" s="107"/>
      <c r="I1932" s="13"/>
      <c r="J1932" s="107"/>
      <c r="K1932" s="107"/>
      <c r="L1932" s="13"/>
    </row>
    <row r="1933" ht="15.75" customHeight="1">
      <c r="A1933" s="13"/>
      <c r="B1933" s="13"/>
      <c r="C1933" s="13"/>
      <c r="D1933" s="13"/>
      <c r="E1933" s="13"/>
      <c r="F1933" s="227"/>
      <c r="G1933" s="13"/>
      <c r="H1933" s="107"/>
      <c r="I1933" s="13"/>
      <c r="J1933" s="107"/>
      <c r="K1933" s="107"/>
      <c r="L1933" s="13"/>
    </row>
    <row r="1934" ht="15.75" customHeight="1">
      <c r="A1934" s="13"/>
      <c r="B1934" s="13"/>
      <c r="C1934" s="13"/>
      <c r="D1934" s="13"/>
      <c r="E1934" s="13"/>
      <c r="F1934" s="227"/>
      <c r="G1934" s="13"/>
      <c r="H1934" s="107"/>
      <c r="I1934" s="13"/>
      <c r="J1934" s="107"/>
      <c r="K1934" s="107"/>
      <c r="L1934" s="13"/>
    </row>
    <row r="1935" ht="15.75" customHeight="1">
      <c r="A1935" s="13"/>
      <c r="B1935" s="13"/>
      <c r="C1935" s="13"/>
      <c r="D1935" s="13"/>
      <c r="E1935" s="13"/>
      <c r="F1935" s="227"/>
      <c r="G1935" s="13"/>
      <c r="H1935" s="107"/>
      <c r="I1935" s="13"/>
      <c r="J1935" s="107"/>
      <c r="K1935" s="107"/>
      <c r="L1935" s="13"/>
    </row>
    <row r="1936" ht="15.75" customHeight="1">
      <c r="A1936" s="13"/>
      <c r="B1936" s="13"/>
      <c r="C1936" s="13"/>
      <c r="D1936" s="13"/>
      <c r="E1936" s="13"/>
      <c r="F1936" s="227"/>
      <c r="G1936" s="13"/>
      <c r="H1936" s="107"/>
      <c r="I1936" s="13"/>
      <c r="J1936" s="107"/>
      <c r="K1936" s="107"/>
      <c r="L1936" s="13"/>
    </row>
    <row r="1937" ht="15.75" customHeight="1">
      <c r="A1937" s="13"/>
      <c r="B1937" s="13"/>
      <c r="C1937" s="13"/>
      <c r="D1937" s="13"/>
      <c r="E1937" s="13"/>
      <c r="F1937" s="227"/>
      <c r="G1937" s="13"/>
      <c r="H1937" s="107"/>
      <c r="I1937" s="13"/>
      <c r="J1937" s="107"/>
      <c r="K1937" s="107"/>
      <c r="L1937" s="13"/>
    </row>
    <row r="1938" ht="15.75" customHeight="1">
      <c r="A1938" s="13"/>
      <c r="B1938" s="13"/>
      <c r="C1938" s="13"/>
      <c r="D1938" s="13"/>
      <c r="E1938" s="13"/>
      <c r="F1938" s="227"/>
      <c r="G1938" s="13"/>
      <c r="H1938" s="107"/>
      <c r="I1938" s="13"/>
      <c r="J1938" s="107"/>
      <c r="K1938" s="107"/>
      <c r="L1938" s="13"/>
    </row>
    <row r="1939" ht="15.75" customHeight="1">
      <c r="A1939" s="13"/>
      <c r="B1939" s="13"/>
      <c r="C1939" s="13"/>
      <c r="D1939" s="13"/>
      <c r="E1939" s="13"/>
      <c r="F1939" s="227"/>
      <c r="G1939" s="13"/>
      <c r="H1939" s="107"/>
      <c r="I1939" s="13"/>
      <c r="J1939" s="107"/>
      <c r="K1939" s="107"/>
      <c r="L1939" s="13"/>
    </row>
    <row r="1940" ht="15.75" customHeight="1">
      <c r="A1940" s="13"/>
      <c r="B1940" s="13"/>
      <c r="C1940" s="13"/>
      <c r="D1940" s="13"/>
      <c r="E1940" s="13"/>
      <c r="F1940" s="227"/>
      <c r="G1940" s="13"/>
      <c r="H1940" s="107"/>
      <c r="I1940" s="13"/>
      <c r="J1940" s="107"/>
      <c r="K1940" s="107"/>
      <c r="L1940" s="13"/>
    </row>
    <row r="1941" ht="15.75" customHeight="1">
      <c r="A1941" s="13"/>
      <c r="B1941" s="13"/>
      <c r="C1941" s="13"/>
      <c r="D1941" s="13"/>
      <c r="E1941" s="13"/>
      <c r="F1941" s="227"/>
      <c r="G1941" s="13"/>
      <c r="H1941" s="107"/>
      <c r="I1941" s="13"/>
      <c r="J1941" s="107"/>
      <c r="K1941" s="107"/>
      <c r="L1941" s="13"/>
    </row>
    <row r="1942" ht="15.75" customHeight="1">
      <c r="A1942" s="13"/>
      <c r="B1942" s="13"/>
      <c r="C1942" s="13"/>
      <c r="D1942" s="13"/>
      <c r="E1942" s="13"/>
      <c r="F1942" s="227"/>
      <c r="G1942" s="13"/>
      <c r="H1942" s="107"/>
      <c r="I1942" s="13"/>
      <c r="J1942" s="107"/>
      <c r="K1942" s="107"/>
      <c r="L1942" s="13"/>
    </row>
    <row r="1943" ht="15.75" customHeight="1">
      <c r="A1943" s="13"/>
      <c r="B1943" s="13"/>
      <c r="C1943" s="13"/>
      <c r="D1943" s="13"/>
      <c r="E1943" s="13"/>
      <c r="F1943" s="227"/>
      <c r="G1943" s="13"/>
      <c r="H1943" s="107"/>
      <c r="I1943" s="13"/>
      <c r="J1943" s="107"/>
      <c r="K1943" s="107"/>
      <c r="L1943" s="13"/>
    </row>
    <row r="1944" ht="15.75" customHeight="1">
      <c r="A1944" s="13"/>
      <c r="B1944" s="13"/>
      <c r="C1944" s="13"/>
      <c r="D1944" s="13"/>
      <c r="E1944" s="13"/>
      <c r="F1944" s="227"/>
      <c r="G1944" s="13"/>
      <c r="H1944" s="107"/>
      <c r="I1944" s="13"/>
      <c r="J1944" s="107"/>
      <c r="K1944" s="107"/>
      <c r="L1944" s="13"/>
    </row>
    <row r="1945" ht="15.75" customHeight="1">
      <c r="A1945" s="13"/>
      <c r="B1945" s="13"/>
      <c r="C1945" s="13"/>
      <c r="D1945" s="13"/>
      <c r="E1945" s="13"/>
      <c r="F1945" s="227"/>
      <c r="G1945" s="13"/>
      <c r="H1945" s="107"/>
      <c r="I1945" s="13"/>
      <c r="J1945" s="107"/>
      <c r="K1945" s="107"/>
      <c r="L1945" s="13"/>
    </row>
    <row r="1946" ht="15.75" customHeight="1">
      <c r="A1946" s="13"/>
      <c r="B1946" s="13"/>
      <c r="C1946" s="13"/>
      <c r="D1946" s="13"/>
      <c r="E1946" s="13"/>
      <c r="F1946" s="227"/>
      <c r="G1946" s="13"/>
      <c r="H1946" s="107"/>
      <c r="I1946" s="13"/>
      <c r="J1946" s="107"/>
      <c r="K1946" s="107"/>
      <c r="L1946" s="13"/>
    </row>
    <row r="1947" ht="15.75" customHeight="1">
      <c r="A1947" s="13"/>
      <c r="B1947" s="13"/>
      <c r="C1947" s="13"/>
      <c r="D1947" s="13"/>
      <c r="E1947" s="13"/>
      <c r="F1947" s="227"/>
      <c r="G1947" s="13"/>
      <c r="H1947" s="107"/>
      <c r="I1947" s="13"/>
      <c r="J1947" s="107"/>
      <c r="K1947" s="107"/>
      <c r="L1947" s="13"/>
    </row>
    <row r="1948" ht="15.75" customHeight="1">
      <c r="A1948" s="13"/>
      <c r="B1948" s="13"/>
      <c r="C1948" s="13"/>
      <c r="D1948" s="13"/>
      <c r="E1948" s="13"/>
      <c r="F1948" s="227"/>
      <c r="G1948" s="13"/>
      <c r="H1948" s="107"/>
      <c r="I1948" s="13"/>
      <c r="J1948" s="107"/>
      <c r="K1948" s="107"/>
      <c r="L1948" s="13"/>
    </row>
    <row r="1949" ht="15.75" customHeight="1">
      <c r="A1949" s="13"/>
      <c r="B1949" s="13"/>
      <c r="C1949" s="13"/>
      <c r="D1949" s="13"/>
      <c r="E1949" s="13"/>
      <c r="F1949" s="227"/>
      <c r="G1949" s="13"/>
      <c r="H1949" s="107"/>
      <c r="I1949" s="13"/>
      <c r="J1949" s="107"/>
      <c r="K1949" s="107"/>
      <c r="L1949" s="13"/>
    </row>
    <row r="1950" ht="15.75" customHeight="1">
      <c r="A1950" s="13"/>
      <c r="B1950" s="13"/>
      <c r="C1950" s="13"/>
      <c r="D1950" s="13"/>
      <c r="E1950" s="13"/>
      <c r="F1950" s="227"/>
      <c r="G1950" s="13"/>
      <c r="H1950" s="107"/>
      <c r="I1950" s="13"/>
      <c r="J1950" s="107"/>
      <c r="K1950" s="107"/>
      <c r="L1950" s="13"/>
    </row>
    <row r="1951" ht="15.75" customHeight="1">
      <c r="A1951" s="13"/>
      <c r="B1951" s="13"/>
      <c r="C1951" s="13"/>
      <c r="D1951" s="13"/>
      <c r="E1951" s="13"/>
      <c r="F1951" s="227"/>
      <c r="G1951" s="13"/>
      <c r="H1951" s="107"/>
      <c r="I1951" s="13"/>
      <c r="J1951" s="107"/>
      <c r="K1951" s="107"/>
      <c r="L1951" s="13"/>
    </row>
    <row r="1952" ht="15.75" customHeight="1">
      <c r="A1952" s="13"/>
      <c r="B1952" s="13"/>
      <c r="C1952" s="13"/>
      <c r="D1952" s="13"/>
      <c r="E1952" s="13"/>
      <c r="F1952" s="227"/>
      <c r="G1952" s="13"/>
      <c r="H1952" s="107"/>
      <c r="I1952" s="13"/>
      <c r="J1952" s="107"/>
      <c r="K1952" s="107"/>
      <c r="L1952" s="13"/>
    </row>
    <row r="1953" ht="15.75" customHeight="1">
      <c r="A1953" s="13"/>
      <c r="B1953" s="13"/>
      <c r="C1953" s="13"/>
      <c r="D1953" s="13"/>
      <c r="E1953" s="13"/>
      <c r="F1953" s="227"/>
      <c r="G1953" s="13"/>
      <c r="H1953" s="107"/>
      <c r="I1953" s="13"/>
      <c r="J1953" s="107"/>
      <c r="K1953" s="107"/>
      <c r="L1953" s="13"/>
    </row>
    <row r="1954" ht="15.75" customHeight="1">
      <c r="A1954" s="13"/>
      <c r="B1954" s="13"/>
      <c r="C1954" s="13"/>
      <c r="D1954" s="13"/>
      <c r="E1954" s="13"/>
      <c r="F1954" s="227"/>
      <c r="G1954" s="13"/>
      <c r="H1954" s="107"/>
      <c r="I1954" s="13"/>
      <c r="J1954" s="107"/>
      <c r="K1954" s="107"/>
      <c r="L1954" s="13"/>
    </row>
    <row r="1955" ht="15.75" customHeight="1">
      <c r="A1955" s="13"/>
      <c r="B1955" s="13"/>
      <c r="C1955" s="13"/>
      <c r="D1955" s="13"/>
      <c r="E1955" s="13"/>
      <c r="F1955" s="227"/>
      <c r="G1955" s="13"/>
      <c r="H1955" s="107"/>
      <c r="I1955" s="13"/>
      <c r="J1955" s="107"/>
      <c r="K1955" s="107"/>
      <c r="L1955" s="13"/>
    </row>
    <row r="1956" ht="15.75" customHeight="1">
      <c r="A1956" s="13"/>
      <c r="B1956" s="13"/>
      <c r="C1956" s="13"/>
      <c r="D1956" s="13"/>
      <c r="E1956" s="13"/>
      <c r="F1956" s="227"/>
      <c r="G1956" s="13"/>
      <c r="H1956" s="107"/>
      <c r="I1956" s="13"/>
      <c r="J1956" s="107"/>
      <c r="K1956" s="107"/>
      <c r="L1956" s="13"/>
    </row>
    <row r="1957" ht="15.75" customHeight="1">
      <c r="A1957" s="13"/>
      <c r="B1957" s="13"/>
      <c r="C1957" s="13"/>
      <c r="D1957" s="13"/>
      <c r="E1957" s="13"/>
      <c r="F1957" s="227"/>
      <c r="G1957" s="13"/>
      <c r="H1957" s="107"/>
      <c r="I1957" s="13"/>
      <c r="J1957" s="107"/>
      <c r="K1957" s="107"/>
      <c r="L1957" s="13"/>
    </row>
    <row r="1958" ht="15.75" customHeight="1">
      <c r="A1958" s="13"/>
      <c r="B1958" s="13"/>
      <c r="C1958" s="13"/>
      <c r="D1958" s="13"/>
      <c r="E1958" s="13"/>
      <c r="F1958" s="227"/>
      <c r="G1958" s="13"/>
      <c r="H1958" s="107"/>
      <c r="I1958" s="13"/>
      <c r="J1958" s="107"/>
      <c r="K1958" s="107"/>
      <c r="L1958" s="13"/>
    </row>
    <row r="1959" ht="15.75" customHeight="1">
      <c r="A1959" s="13"/>
      <c r="B1959" s="13"/>
      <c r="C1959" s="13"/>
      <c r="D1959" s="13"/>
      <c r="E1959" s="13"/>
      <c r="F1959" s="227"/>
      <c r="G1959" s="13"/>
      <c r="H1959" s="107"/>
      <c r="I1959" s="13"/>
      <c r="J1959" s="107"/>
      <c r="K1959" s="107"/>
      <c r="L1959" s="13"/>
    </row>
    <row r="1960" ht="15.75" customHeight="1">
      <c r="A1960" s="13"/>
      <c r="B1960" s="13"/>
      <c r="C1960" s="13"/>
      <c r="D1960" s="13"/>
      <c r="E1960" s="13"/>
      <c r="F1960" s="227"/>
      <c r="G1960" s="13"/>
      <c r="H1960" s="107"/>
      <c r="I1960" s="13"/>
      <c r="J1960" s="107"/>
      <c r="K1960" s="107"/>
      <c r="L1960" s="13"/>
    </row>
    <row r="1961" ht="15.75" customHeight="1">
      <c r="A1961" s="13"/>
      <c r="B1961" s="13"/>
      <c r="C1961" s="13"/>
      <c r="D1961" s="13"/>
      <c r="E1961" s="13"/>
      <c r="F1961" s="227"/>
      <c r="G1961" s="13"/>
      <c r="H1961" s="107"/>
      <c r="I1961" s="13"/>
      <c r="J1961" s="107"/>
      <c r="K1961" s="107"/>
      <c r="L1961" s="13"/>
    </row>
    <row r="1962" ht="15.75" customHeight="1">
      <c r="A1962" s="13"/>
      <c r="B1962" s="13"/>
      <c r="C1962" s="13"/>
      <c r="D1962" s="13"/>
      <c r="E1962" s="13"/>
      <c r="F1962" s="227"/>
      <c r="G1962" s="13"/>
      <c r="H1962" s="107"/>
      <c r="I1962" s="13"/>
      <c r="J1962" s="107"/>
      <c r="K1962" s="107"/>
      <c r="L1962" s="13"/>
    </row>
    <row r="1963" ht="15.75" customHeight="1">
      <c r="A1963" s="13"/>
      <c r="B1963" s="13"/>
      <c r="C1963" s="13"/>
      <c r="D1963" s="13"/>
      <c r="E1963" s="13"/>
      <c r="F1963" s="227"/>
      <c r="G1963" s="13"/>
      <c r="H1963" s="107"/>
      <c r="I1963" s="13"/>
      <c r="J1963" s="107"/>
      <c r="K1963" s="107"/>
      <c r="L1963" s="13"/>
    </row>
    <row r="1964" ht="15.75" customHeight="1">
      <c r="A1964" s="13"/>
      <c r="B1964" s="13"/>
      <c r="C1964" s="13"/>
      <c r="D1964" s="13"/>
      <c r="E1964" s="13"/>
      <c r="F1964" s="227"/>
      <c r="G1964" s="13"/>
      <c r="H1964" s="107"/>
      <c r="I1964" s="13"/>
      <c r="J1964" s="107"/>
      <c r="K1964" s="107"/>
      <c r="L1964" s="13"/>
    </row>
    <row r="1965" ht="15.75" customHeight="1">
      <c r="A1965" s="13"/>
      <c r="B1965" s="13"/>
      <c r="C1965" s="13"/>
      <c r="D1965" s="13"/>
      <c r="E1965" s="13"/>
      <c r="F1965" s="227"/>
      <c r="G1965" s="13"/>
      <c r="H1965" s="107"/>
      <c r="I1965" s="13"/>
      <c r="J1965" s="107"/>
      <c r="K1965" s="107"/>
      <c r="L1965" s="13"/>
    </row>
    <row r="1966" ht="15.75" customHeight="1">
      <c r="A1966" s="13"/>
      <c r="B1966" s="13"/>
      <c r="C1966" s="13"/>
      <c r="D1966" s="13"/>
      <c r="E1966" s="13"/>
      <c r="F1966" s="227"/>
      <c r="G1966" s="13"/>
      <c r="H1966" s="107"/>
      <c r="I1966" s="13"/>
      <c r="J1966" s="107"/>
      <c r="K1966" s="107"/>
      <c r="L1966" s="13"/>
    </row>
    <row r="1967" ht="15.75" customHeight="1">
      <c r="A1967" s="13"/>
      <c r="B1967" s="13"/>
      <c r="C1967" s="13"/>
      <c r="D1967" s="13"/>
      <c r="E1967" s="13"/>
      <c r="F1967" s="227"/>
      <c r="G1967" s="13"/>
      <c r="H1967" s="107"/>
      <c r="I1967" s="13"/>
      <c r="J1967" s="107"/>
      <c r="K1967" s="107"/>
      <c r="L1967" s="13"/>
    </row>
    <row r="1968" ht="15.75" customHeight="1">
      <c r="A1968" s="13"/>
      <c r="B1968" s="13"/>
      <c r="C1968" s="13"/>
      <c r="D1968" s="13"/>
      <c r="E1968" s="13"/>
      <c r="F1968" s="227"/>
      <c r="G1968" s="13"/>
      <c r="H1968" s="107"/>
      <c r="I1968" s="13"/>
      <c r="J1968" s="107"/>
      <c r="K1968" s="107"/>
      <c r="L1968" s="13"/>
    </row>
    <row r="1969" ht="15.75" customHeight="1">
      <c r="A1969" s="13"/>
      <c r="B1969" s="13"/>
      <c r="C1969" s="13"/>
      <c r="D1969" s="13"/>
      <c r="E1969" s="13"/>
      <c r="F1969" s="227"/>
      <c r="G1969" s="13"/>
      <c r="H1969" s="107"/>
      <c r="I1969" s="13"/>
      <c r="J1969" s="107"/>
      <c r="K1969" s="107"/>
      <c r="L1969" s="13"/>
    </row>
    <row r="1970" ht="15.75" customHeight="1">
      <c r="A1970" s="13"/>
      <c r="B1970" s="13"/>
      <c r="C1970" s="13"/>
      <c r="D1970" s="13"/>
      <c r="E1970" s="13"/>
      <c r="F1970" s="227"/>
      <c r="G1970" s="13"/>
      <c r="H1970" s="107"/>
      <c r="I1970" s="13"/>
      <c r="J1970" s="107"/>
      <c r="K1970" s="107"/>
      <c r="L1970" s="13"/>
    </row>
    <row r="1971" ht="15.75" customHeight="1">
      <c r="A1971" s="13"/>
      <c r="B1971" s="13"/>
      <c r="C1971" s="13"/>
      <c r="D1971" s="13"/>
      <c r="E1971" s="13"/>
      <c r="F1971" s="227"/>
      <c r="G1971" s="13"/>
      <c r="H1971" s="107"/>
      <c r="I1971" s="13"/>
      <c r="J1971" s="107"/>
      <c r="K1971" s="107"/>
      <c r="L1971" s="13"/>
    </row>
    <row r="1972" ht="15.75" customHeight="1">
      <c r="A1972" s="13"/>
      <c r="B1972" s="13"/>
      <c r="C1972" s="13"/>
      <c r="D1972" s="13"/>
      <c r="E1972" s="13"/>
      <c r="F1972" s="227"/>
      <c r="G1972" s="13"/>
      <c r="H1972" s="107"/>
      <c r="I1972" s="13"/>
      <c r="J1972" s="107"/>
      <c r="K1972" s="107"/>
      <c r="L1972" s="13"/>
    </row>
    <row r="1973" ht="15.75" customHeight="1">
      <c r="A1973" s="13"/>
      <c r="B1973" s="13"/>
      <c r="C1973" s="13"/>
      <c r="D1973" s="13"/>
      <c r="E1973" s="13"/>
      <c r="F1973" s="227"/>
      <c r="G1973" s="13"/>
      <c r="H1973" s="107"/>
      <c r="I1973" s="13"/>
      <c r="J1973" s="107"/>
      <c r="K1973" s="107"/>
      <c r="L1973" s="13"/>
    </row>
    <row r="1974" ht="15.75" customHeight="1">
      <c r="A1974" s="13"/>
      <c r="B1974" s="13"/>
      <c r="C1974" s="13"/>
      <c r="D1974" s="13"/>
      <c r="E1974" s="13"/>
      <c r="F1974" s="227"/>
      <c r="G1974" s="13"/>
      <c r="H1974" s="107"/>
      <c r="I1974" s="13"/>
      <c r="J1974" s="107"/>
      <c r="K1974" s="107"/>
      <c r="L1974" s="13"/>
    </row>
    <row r="1975" ht="15.75" customHeight="1">
      <c r="A1975" s="13"/>
      <c r="B1975" s="13"/>
      <c r="C1975" s="13"/>
      <c r="D1975" s="13"/>
      <c r="E1975" s="13"/>
      <c r="F1975" s="227"/>
      <c r="G1975" s="13"/>
      <c r="H1975" s="107"/>
      <c r="I1975" s="13"/>
      <c r="J1975" s="107"/>
      <c r="K1975" s="107"/>
      <c r="L1975" s="13"/>
    </row>
    <row r="1976" ht="15.75" customHeight="1">
      <c r="A1976" s="13"/>
      <c r="B1976" s="13"/>
      <c r="C1976" s="13"/>
      <c r="D1976" s="13"/>
      <c r="E1976" s="13"/>
      <c r="F1976" s="227"/>
      <c r="G1976" s="13"/>
      <c r="H1976" s="107"/>
      <c r="I1976" s="13"/>
      <c r="J1976" s="107"/>
      <c r="K1976" s="107"/>
      <c r="L1976" s="13"/>
    </row>
    <row r="1977" ht="15.75" customHeight="1">
      <c r="A1977" s="13"/>
      <c r="B1977" s="13"/>
      <c r="C1977" s="13"/>
      <c r="D1977" s="13"/>
      <c r="E1977" s="13"/>
      <c r="F1977" s="227"/>
      <c r="G1977" s="13"/>
      <c r="H1977" s="107"/>
      <c r="I1977" s="13"/>
      <c r="J1977" s="107"/>
      <c r="K1977" s="107"/>
      <c r="L1977" s="13"/>
    </row>
    <row r="1978" ht="15.75" customHeight="1">
      <c r="A1978" s="13"/>
      <c r="B1978" s="13"/>
      <c r="C1978" s="13"/>
      <c r="D1978" s="13"/>
      <c r="E1978" s="13"/>
      <c r="F1978" s="227"/>
      <c r="G1978" s="13"/>
      <c r="H1978" s="107"/>
      <c r="I1978" s="13"/>
      <c r="J1978" s="107"/>
      <c r="K1978" s="107"/>
      <c r="L1978" s="13"/>
    </row>
    <row r="1979" ht="15.75" customHeight="1">
      <c r="A1979" s="13"/>
      <c r="B1979" s="13"/>
      <c r="C1979" s="13"/>
      <c r="D1979" s="13"/>
      <c r="E1979" s="13"/>
      <c r="F1979" s="227"/>
      <c r="G1979" s="13"/>
      <c r="H1979" s="107"/>
      <c r="I1979" s="13"/>
      <c r="J1979" s="107"/>
      <c r="K1979" s="107"/>
      <c r="L1979" s="13"/>
    </row>
    <row r="1980" ht="15.75" customHeight="1">
      <c r="A1980" s="13"/>
      <c r="B1980" s="13"/>
      <c r="C1980" s="13"/>
      <c r="D1980" s="13"/>
      <c r="E1980" s="13"/>
      <c r="F1980" s="227"/>
      <c r="G1980" s="13"/>
      <c r="H1980" s="107"/>
      <c r="I1980" s="13"/>
      <c r="J1980" s="107"/>
      <c r="K1980" s="107"/>
      <c r="L1980" s="13"/>
    </row>
    <row r="1981" ht="15.75" customHeight="1">
      <c r="A1981" s="13"/>
      <c r="B1981" s="13"/>
      <c r="C1981" s="13"/>
      <c r="D1981" s="13"/>
      <c r="E1981" s="13"/>
      <c r="F1981" s="227"/>
      <c r="G1981" s="13"/>
      <c r="H1981" s="107"/>
      <c r="I1981" s="13"/>
      <c r="J1981" s="107"/>
      <c r="K1981" s="107"/>
      <c r="L1981" s="13"/>
    </row>
    <row r="1982" ht="15.75" customHeight="1">
      <c r="A1982" s="13"/>
      <c r="B1982" s="13"/>
      <c r="C1982" s="13"/>
      <c r="D1982" s="13"/>
      <c r="E1982" s="13"/>
      <c r="F1982" s="227"/>
      <c r="G1982" s="13"/>
      <c r="H1982" s="107"/>
      <c r="I1982" s="13"/>
      <c r="J1982" s="107"/>
      <c r="K1982" s="107"/>
      <c r="L1982" s="13"/>
    </row>
    <row r="1983" ht="15.75" customHeight="1">
      <c r="A1983" s="13"/>
      <c r="B1983" s="13"/>
      <c r="C1983" s="13"/>
      <c r="D1983" s="13"/>
      <c r="E1983" s="13"/>
      <c r="F1983" s="227"/>
      <c r="G1983" s="13"/>
      <c r="H1983" s="107"/>
      <c r="I1983" s="13"/>
      <c r="J1983" s="107"/>
      <c r="K1983" s="107"/>
      <c r="L1983" s="13"/>
    </row>
    <row r="1984" ht="15.75" customHeight="1">
      <c r="A1984" s="13"/>
      <c r="B1984" s="13"/>
      <c r="C1984" s="13"/>
      <c r="D1984" s="13"/>
      <c r="E1984" s="13"/>
      <c r="F1984" s="227"/>
      <c r="G1984" s="13"/>
      <c r="H1984" s="107"/>
      <c r="I1984" s="13"/>
      <c r="J1984" s="107"/>
      <c r="K1984" s="107"/>
      <c r="L1984" s="13"/>
    </row>
    <row r="1985" ht="15.75" customHeight="1">
      <c r="A1985" s="13"/>
      <c r="B1985" s="13"/>
      <c r="C1985" s="13"/>
      <c r="D1985" s="13"/>
      <c r="E1985" s="13"/>
      <c r="F1985" s="227"/>
      <c r="G1985" s="13"/>
      <c r="H1985" s="107"/>
      <c r="I1985" s="13"/>
      <c r="J1985" s="107"/>
      <c r="K1985" s="107"/>
      <c r="L1985" s="13"/>
    </row>
    <row r="1986" ht="15.75" customHeight="1">
      <c r="A1986" s="13"/>
      <c r="B1986" s="13"/>
      <c r="C1986" s="13"/>
      <c r="D1986" s="13"/>
      <c r="E1986" s="13"/>
      <c r="F1986" s="227"/>
      <c r="G1986" s="13"/>
      <c r="H1986" s="107"/>
      <c r="I1986" s="13"/>
      <c r="J1986" s="107"/>
      <c r="K1986" s="107"/>
      <c r="L1986" s="13"/>
    </row>
    <row r="1987" ht="15.75" customHeight="1">
      <c r="A1987" s="13"/>
      <c r="B1987" s="13"/>
      <c r="C1987" s="13"/>
      <c r="D1987" s="13"/>
      <c r="E1987" s="13"/>
      <c r="F1987" s="227"/>
      <c r="G1987" s="13"/>
      <c r="H1987" s="107"/>
      <c r="I1987" s="13"/>
      <c r="J1987" s="107"/>
      <c r="K1987" s="107"/>
      <c r="L1987" s="13"/>
    </row>
    <row r="1988" ht="15.75" customHeight="1">
      <c r="A1988" s="13"/>
      <c r="B1988" s="13"/>
      <c r="C1988" s="13"/>
      <c r="D1988" s="13"/>
      <c r="E1988" s="13"/>
      <c r="F1988" s="227"/>
      <c r="G1988" s="13"/>
      <c r="H1988" s="107"/>
      <c r="I1988" s="13"/>
      <c r="J1988" s="107"/>
      <c r="K1988" s="107"/>
      <c r="L1988" s="13"/>
    </row>
    <row r="1989" ht="15.75" customHeight="1">
      <c r="A1989" s="13"/>
      <c r="B1989" s="13"/>
      <c r="C1989" s="13"/>
      <c r="D1989" s="13"/>
      <c r="E1989" s="13"/>
      <c r="F1989" s="227"/>
      <c r="G1989" s="13"/>
      <c r="H1989" s="107"/>
      <c r="I1989" s="13"/>
      <c r="J1989" s="107"/>
      <c r="K1989" s="107"/>
      <c r="L1989" s="13"/>
    </row>
    <row r="1990" ht="15.75" customHeight="1">
      <c r="A1990" s="13"/>
      <c r="B1990" s="13"/>
      <c r="C1990" s="13"/>
      <c r="D1990" s="13"/>
      <c r="E1990" s="13"/>
      <c r="F1990" s="227"/>
      <c r="G1990" s="13"/>
      <c r="H1990" s="107"/>
      <c r="I1990" s="13"/>
      <c r="J1990" s="107"/>
      <c r="K1990" s="107"/>
      <c r="L1990" s="13"/>
    </row>
    <row r="1991" ht="15.75" customHeight="1">
      <c r="A1991" s="13"/>
      <c r="B1991" s="13"/>
      <c r="C1991" s="13"/>
      <c r="D1991" s="13"/>
      <c r="E1991" s="13"/>
      <c r="F1991" s="227"/>
      <c r="G1991" s="13"/>
      <c r="H1991" s="107"/>
      <c r="I1991" s="13"/>
      <c r="J1991" s="107"/>
      <c r="K1991" s="107"/>
      <c r="L1991" s="13"/>
    </row>
    <row r="1992" ht="15.75" customHeight="1">
      <c r="A1992" s="13"/>
      <c r="B1992" s="13"/>
      <c r="C1992" s="13"/>
      <c r="D1992" s="13"/>
      <c r="E1992" s="13"/>
      <c r="F1992" s="227"/>
      <c r="G1992" s="13"/>
      <c r="H1992" s="107"/>
      <c r="I1992" s="13"/>
      <c r="J1992" s="107"/>
      <c r="K1992" s="107"/>
      <c r="L1992" s="13"/>
    </row>
    <row r="1993" ht="15.75" customHeight="1">
      <c r="A1993" s="13"/>
      <c r="B1993" s="13"/>
      <c r="C1993" s="13"/>
      <c r="D1993" s="13"/>
      <c r="E1993" s="13"/>
      <c r="F1993" s="227"/>
      <c r="G1993" s="13"/>
      <c r="H1993" s="107"/>
      <c r="I1993" s="13"/>
      <c r="J1993" s="107"/>
      <c r="K1993" s="107"/>
      <c r="L1993" s="13"/>
    </row>
    <row r="1994" ht="15.75" customHeight="1">
      <c r="A1994" s="13"/>
      <c r="B1994" s="13"/>
      <c r="C1994" s="13"/>
      <c r="D1994" s="13"/>
      <c r="E1994" s="13"/>
      <c r="F1994" s="227"/>
      <c r="G1994" s="13"/>
      <c r="H1994" s="107"/>
      <c r="I1994" s="13"/>
      <c r="J1994" s="107"/>
      <c r="K1994" s="107"/>
      <c r="L1994" s="13"/>
    </row>
    <row r="1995" ht="15.75" customHeight="1">
      <c r="A1995" s="13"/>
      <c r="B1995" s="13"/>
      <c r="C1995" s="13"/>
      <c r="D1995" s="13"/>
      <c r="E1995" s="13"/>
      <c r="F1995" s="227"/>
      <c r="G1995" s="13"/>
      <c r="H1995" s="107"/>
      <c r="I1995" s="13"/>
      <c r="J1995" s="107"/>
      <c r="K1995" s="107"/>
      <c r="L1995" s="13"/>
    </row>
    <row r="1996" ht="15.75" customHeight="1">
      <c r="A1996" s="13"/>
      <c r="B1996" s="13"/>
      <c r="C1996" s="13"/>
      <c r="D1996" s="13"/>
      <c r="E1996" s="13"/>
      <c r="F1996" s="227"/>
      <c r="G1996" s="13"/>
      <c r="H1996" s="107"/>
      <c r="I1996" s="13"/>
      <c r="J1996" s="107"/>
      <c r="K1996" s="107"/>
      <c r="L1996" s="13"/>
    </row>
    <row r="1997" ht="15.75" customHeight="1">
      <c r="A1997" s="13"/>
      <c r="B1997" s="13"/>
      <c r="C1997" s="13"/>
      <c r="D1997" s="13"/>
      <c r="E1997" s="13"/>
      <c r="F1997" s="227"/>
      <c r="G1997" s="13"/>
      <c r="H1997" s="107"/>
      <c r="I1997" s="13"/>
      <c r="J1997" s="107"/>
      <c r="K1997" s="107"/>
      <c r="L1997" s="13"/>
    </row>
    <row r="1998" ht="15.75" customHeight="1">
      <c r="A1998" s="13"/>
      <c r="B1998" s="13"/>
      <c r="C1998" s="13"/>
      <c r="D1998" s="13"/>
      <c r="E1998" s="13"/>
      <c r="F1998" s="227"/>
      <c r="G1998" s="13"/>
      <c r="H1998" s="107"/>
      <c r="I1998" s="13"/>
      <c r="J1998" s="107"/>
      <c r="K1998" s="107"/>
      <c r="L1998" s="13"/>
    </row>
    <row r="1999" ht="15.75" customHeight="1">
      <c r="A1999" s="13"/>
      <c r="B1999" s="13"/>
      <c r="C1999" s="13"/>
      <c r="D1999" s="13"/>
      <c r="E1999" s="13"/>
      <c r="F1999" s="227"/>
      <c r="G1999" s="13"/>
      <c r="H1999" s="107"/>
      <c r="I1999" s="13"/>
      <c r="J1999" s="107"/>
      <c r="K1999" s="107"/>
      <c r="L1999" s="13"/>
    </row>
    <row r="2000" ht="15.75" customHeight="1">
      <c r="A2000" s="13"/>
      <c r="B2000" s="13"/>
      <c r="C2000" s="13"/>
      <c r="D2000" s="13"/>
      <c r="E2000" s="13"/>
      <c r="F2000" s="227"/>
      <c r="G2000" s="13"/>
      <c r="H2000" s="107"/>
      <c r="I2000" s="13"/>
      <c r="J2000" s="107"/>
      <c r="K2000" s="107"/>
      <c r="L2000" s="13"/>
    </row>
    <row r="2001" ht="15.75" customHeight="1">
      <c r="A2001" s="13"/>
      <c r="B2001" s="13"/>
      <c r="C2001" s="13"/>
      <c r="D2001" s="13"/>
      <c r="E2001" s="13"/>
      <c r="F2001" s="227"/>
      <c r="G2001" s="13"/>
      <c r="H2001" s="107"/>
      <c r="I2001" s="13"/>
      <c r="J2001" s="107"/>
      <c r="K2001" s="107"/>
      <c r="L2001" s="13"/>
    </row>
    <row r="2002" ht="15.75" customHeight="1">
      <c r="A2002" s="13"/>
      <c r="B2002" s="13"/>
      <c r="C2002" s="13"/>
      <c r="D2002" s="13"/>
      <c r="E2002" s="13"/>
      <c r="F2002" s="227"/>
      <c r="G2002" s="13"/>
      <c r="H2002" s="107"/>
      <c r="I2002" s="13"/>
      <c r="J2002" s="107"/>
      <c r="K2002" s="107"/>
      <c r="L2002" s="13"/>
    </row>
    <row r="2003" ht="15.75" customHeight="1">
      <c r="A2003" s="13"/>
      <c r="B2003" s="13"/>
      <c r="C2003" s="13"/>
      <c r="D2003" s="13"/>
      <c r="E2003" s="13"/>
      <c r="F2003" s="227"/>
      <c r="G2003" s="13"/>
      <c r="H2003" s="107"/>
      <c r="I2003" s="13"/>
      <c r="J2003" s="107"/>
      <c r="K2003" s="107"/>
      <c r="L2003" s="13"/>
    </row>
    <row r="2004" ht="15.75" customHeight="1">
      <c r="A2004" s="13"/>
      <c r="B2004" s="13"/>
      <c r="C2004" s="13"/>
      <c r="D2004" s="13"/>
      <c r="E2004" s="13"/>
      <c r="F2004" s="227"/>
      <c r="G2004" s="13"/>
      <c r="H2004" s="107"/>
      <c r="I2004" s="13"/>
      <c r="J2004" s="107"/>
      <c r="K2004" s="107"/>
      <c r="L2004" s="13"/>
    </row>
    <row r="2005" ht="15.75" customHeight="1">
      <c r="A2005" s="13"/>
      <c r="B2005" s="13"/>
      <c r="C2005" s="13"/>
      <c r="D2005" s="13"/>
      <c r="E2005" s="13"/>
      <c r="F2005" s="227"/>
      <c r="G2005" s="13"/>
      <c r="H2005" s="107"/>
      <c r="I2005" s="13"/>
      <c r="J2005" s="107"/>
      <c r="K2005" s="107"/>
      <c r="L2005" s="13"/>
    </row>
    <row r="2006" ht="15.75" customHeight="1">
      <c r="A2006" s="13"/>
      <c r="B2006" s="13"/>
      <c r="C2006" s="13"/>
      <c r="D2006" s="13"/>
      <c r="E2006" s="13"/>
      <c r="F2006" s="227"/>
      <c r="G2006" s="13"/>
      <c r="H2006" s="107"/>
      <c r="I2006" s="13"/>
      <c r="J2006" s="107"/>
      <c r="K2006" s="107"/>
      <c r="L2006" s="13"/>
    </row>
    <row r="2007" ht="15.75" customHeight="1">
      <c r="A2007" s="13"/>
      <c r="B2007" s="13"/>
      <c r="C2007" s="13"/>
      <c r="D2007" s="13"/>
      <c r="E2007" s="13"/>
      <c r="F2007" s="227"/>
      <c r="G2007" s="13"/>
      <c r="H2007" s="107"/>
      <c r="I2007" s="13"/>
      <c r="J2007" s="107"/>
      <c r="K2007" s="107"/>
      <c r="L2007" s="13"/>
    </row>
    <row r="2008" ht="15.75" customHeight="1">
      <c r="A2008" s="13"/>
      <c r="B2008" s="13"/>
      <c r="C2008" s="13"/>
      <c r="D2008" s="13"/>
      <c r="E2008" s="13"/>
      <c r="F2008" s="227"/>
      <c r="G2008" s="13"/>
      <c r="H2008" s="107"/>
      <c r="I2008" s="13"/>
      <c r="J2008" s="107"/>
      <c r="K2008" s="107"/>
      <c r="L2008" s="13"/>
    </row>
    <row r="2009" ht="15.75" customHeight="1">
      <c r="A2009" s="13"/>
      <c r="B2009" s="13"/>
      <c r="C2009" s="13"/>
      <c r="D2009" s="13"/>
      <c r="E2009" s="13"/>
      <c r="F2009" s="227"/>
      <c r="G2009" s="13"/>
      <c r="H2009" s="107"/>
      <c r="I2009" s="13"/>
      <c r="J2009" s="107"/>
      <c r="K2009" s="107"/>
      <c r="L2009" s="13"/>
    </row>
    <row r="2010" ht="15.75" customHeight="1">
      <c r="A2010" s="13"/>
      <c r="B2010" s="13"/>
      <c r="C2010" s="13"/>
      <c r="D2010" s="13"/>
      <c r="E2010" s="13"/>
      <c r="F2010" s="227"/>
      <c r="G2010" s="13"/>
      <c r="H2010" s="107"/>
      <c r="I2010" s="13"/>
      <c r="J2010" s="107"/>
      <c r="K2010" s="107"/>
      <c r="L2010" s="13"/>
    </row>
    <row r="2011" ht="15.75" customHeight="1">
      <c r="A2011" s="13"/>
      <c r="B2011" s="13"/>
      <c r="C2011" s="13"/>
      <c r="D2011" s="13"/>
      <c r="E2011" s="13"/>
      <c r="F2011" s="227"/>
      <c r="G2011" s="13"/>
      <c r="H2011" s="107"/>
      <c r="I2011" s="13"/>
      <c r="J2011" s="107"/>
      <c r="K2011" s="107"/>
      <c r="L2011" s="13"/>
    </row>
    <row r="2012" ht="15.75" customHeight="1">
      <c r="A2012" s="13"/>
      <c r="B2012" s="13"/>
      <c r="C2012" s="13"/>
      <c r="D2012" s="13"/>
      <c r="E2012" s="13"/>
      <c r="F2012" s="227"/>
      <c r="G2012" s="13"/>
      <c r="H2012" s="107"/>
      <c r="I2012" s="13"/>
      <c r="J2012" s="107"/>
      <c r="K2012" s="107"/>
      <c r="L2012" s="13"/>
    </row>
    <row r="2013" ht="15.75" customHeight="1">
      <c r="A2013" s="13"/>
      <c r="B2013" s="13"/>
      <c r="C2013" s="13"/>
      <c r="D2013" s="13"/>
      <c r="E2013" s="13"/>
      <c r="F2013" s="227"/>
      <c r="G2013" s="13"/>
      <c r="H2013" s="107"/>
      <c r="I2013" s="13"/>
      <c r="J2013" s="107"/>
      <c r="K2013" s="107"/>
      <c r="L2013" s="13"/>
    </row>
    <row r="2014" ht="15.75" customHeight="1">
      <c r="A2014" s="13"/>
      <c r="B2014" s="13"/>
      <c r="C2014" s="13"/>
      <c r="D2014" s="13"/>
      <c r="E2014" s="13"/>
      <c r="F2014" s="227"/>
      <c r="G2014" s="13"/>
      <c r="H2014" s="107"/>
      <c r="I2014" s="13"/>
      <c r="J2014" s="107"/>
      <c r="K2014" s="107"/>
      <c r="L2014" s="13"/>
    </row>
    <row r="2015" ht="15.75" customHeight="1">
      <c r="A2015" s="13"/>
      <c r="B2015" s="13"/>
      <c r="C2015" s="13"/>
      <c r="D2015" s="13"/>
      <c r="E2015" s="13"/>
      <c r="F2015" s="227"/>
      <c r="G2015" s="13"/>
      <c r="H2015" s="107"/>
      <c r="I2015" s="13"/>
      <c r="J2015" s="107"/>
      <c r="K2015" s="107"/>
      <c r="L2015" s="13"/>
    </row>
    <row r="2016" ht="15.75" customHeight="1">
      <c r="A2016" s="13"/>
      <c r="B2016" s="13"/>
      <c r="C2016" s="13"/>
      <c r="D2016" s="13"/>
      <c r="E2016" s="13"/>
      <c r="F2016" s="227"/>
      <c r="G2016" s="13"/>
      <c r="H2016" s="107"/>
      <c r="I2016" s="13"/>
      <c r="J2016" s="107"/>
      <c r="K2016" s="107"/>
      <c r="L2016" s="13"/>
    </row>
    <row r="2017" ht="15.75" customHeight="1">
      <c r="A2017" s="13"/>
      <c r="B2017" s="13"/>
      <c r="C2017" s="13"/>
      <c r="D2017" s="13"/>
      <c r="E2017" s="13"/>
      <c r="F2017" s="227"/>
      <c r="G2017" s="13"/>
      <c r="H2017" s="107"/>
      <c r="I2017" s="13"/>
      <c r="J2017" s="107"/>
      <c r="K2017" s="107"/>
      <c r="L2017" s="13"/>
    </row>
    <row r="2018" ht="15.75" customHeight="1">
      <c r="A2018" s="13"/>
      <c r="B2018" s="13"/>
      <c r="C2018" s="13"/>
      <c r="D2018" s="13"/>
      <c r="E2018" s="13"/>
      <c r="F2018" s="227"/>
      <c r="G2018" s="13"/>
      <c r="H2018" s="107"/>
      <c r="I2018" s="13"/>
      <c r="J2018" s="107"/>
      <c r="K2018" s="107"/>
      <c r="L2018" s="13"/>
    </row>
    <row r="2019" ht="15.75" customHeight="1">
      <c r="A2019" s="13"/>
      <c r="B2019" s="13"/>
      <c r="C2019" s="13"/>
      <c r="D2019" s="13"/>
      <c r="E2019" s="13"/>
      <c r="F2019" s="227"/>
      <c r="G2019" s="13"/>
      <c r="H2019" s="107"/>
      <c r="I2019" s="13"/>
      <c r="J2019" s="107"/>
      <c r="K2019" s="107"/>
      <c r="L2019" s="13"/>
    </row>
    <row r="2020" ht="15.75" customHeight="1">
      <c r="A2020" s="13"/>
      <c r="B2020" s="13"/>
      <c r="C2020" s="13"/>
      <c r="D2020" s="13"/>
      <c r="E2020" s="13"/>
      <c r="F2020" s="227"/>
      <c r="G2020" s="13"/>
      <c r="H2020" s="107"/>
      <c r="I2020" s="13"/>
      <c r="J2020" s="107"/>
      <c r="K2020" s="107"/>
      <c r="L2020" s="13"/>
    </row>
    <row r="2021" ht="15.75" customHeight="1">
      <c r="A2021" s="13"/>
      <c r="B2021" s="13"/>
      <c r="C2021" s="13"/>
      <c r="D2021" s="13"/>
      <c r="E2021" s="13"/>
      <c r="F2021" s="227"/>
      <c r="G2021" s="13"/>
      <c r="H2021" s="107"/>
      <c r="I2021" s="13"/>
      <c r="J2021" s="107"/>
      <c r="K2021" s="107"/>
      <c r="L2021" s="13"/>
    </row>
    <row r="2022" ht="15.75" customHeight="1">
      <c r="A2022" s="13"/>
      <c r="B2022" s="13"/>
      <c r="C2022" s="13"/>
      <c r="D2022" s="13"/>
      <c r="E2022" s="13"/>
      <c r="F2022" s="227"/>
      <c r="G2022" s="13"/>
      <c r="H2022" s="107"/>
      <c r="I2022" s="13"/>
      <c r="J2022" s="107"/>
      <c r="K2022" s="107"/>
      <c r="L2022" s="13"/>
    </row>
    <row r="2023" ht="15.75" customHeight="1">
      <c r="A2023" s="13"/>
      <c r="B2023" s="13"/>
      <c r="C2023" s="13"/>
      <c r="D2023" s="13"/>
      <c r="E2023" s="13"/>
      <c r="F2023" s="227"/>
      <c r="G2023" s="13"/>
      <c r="H2023" s="107"/>
      <c r="I2023" s="13"/>
      <c r="J2023" s="107"/>
      <c r="K2023" s="107"/>
      <c r="L2023" s="13"/>
    </row>
    <row r="2024" ht="15.75" customHeight="1">
      <c r="A2024" s="13"/>
      <c r="B2024" s="13"/>
      <c r="C2024" s="13"/>
      <c r="D2024" s="13"/>
      <c r="E2024" s="13"/>
      <c r="F2024" s="227"/>
      <c r="G2024" s="13"/>
      <c r="H2024" s="107"/>
      <c r="I2024" s="13"/>
      <c r="J2024" s="107"/>
      <c r="K2024" s="107"/>
      <c r="L2024" s="13"/>
    </row>
    <row r="2025" ht="15.75" customHeight="1">
      <c r="A2025" s="13"/>
      <c r="B2025" s="13"/>
      <c r="C2025" s="13"/>
      <c r="D2025" s="13"/>
      <c r="E2025" s="13"/>
      <c r="F2025" s="227"/>
      <c r="G2025" s="13"/>
      <c r="H2025" s="107"/>
      <c r="I2025" s="13"/>
      <c r="J2025" s="107"/>
      <c r="K2025" s="107"/>
      <c r="L2025" s="13"/>
    </row>
    <row r="2026" ht="15.75" customHeight="1">
      <c r="A2026" s="13"/>
      <c r="B2026" s="13"/>
      <c r="C2026" s="13"/>
      <c r="D2026" s="13"/>
      <c r="E2026" s="13"/>
      <c r="F2026" s="227"/>
      <c r="G2026" s="13"/>
      <c r="H2026" s="107"/>
      <c r="I2026" s="13"/>
      <c r="J2026" s="107"/>
      <c r="K2026" s="107"/>
      <c r="L2026" s="13"/>
    </row>
    <row r="2027" ht="15.75" customHeight="1">
      <c r="A2027" s="13"/>
      <c r="B2027" s="13"/>
      <c r="C2027" s="13"/>
      <c r="D2027" s="13"/>
      <c r="E2027" s="13"/>
      <c r="F2027" s="227"/>
      <c r="G2027" s="13"/>
      <c r="H2027" s="107"/>
      <c r="I2027" s="13"/>
      <c r="J2027" s="107"/>
      <c r="K2027" s="107"/>
      <c r="L2027" s="13"/>
    </row>
    <row r="2028" ht="15.75" customHeight="1">
      <c r="A2028" s="13"/>
      <c r="B2028" s="13"/>
      <c r="C2028" s="13"/>
      <c r="D2028" s="13"/>
      <c r="E2028" s="13"/>
      <c r="F2028" s="227"/>
      <c r="G2028" s="13"/>
      <c r="H2028" s="107"/>
      <c r="I2028" s="13"/>
      <c r="J2028" s="107"/>
      <c r="K2028" s="107"/>
      <c r="L2028" s="13"/>
    </row>
    <row r="2029" ht="15.75" customHeight="1">
      <c r="A2029" s="13"/>
      <c r="B2029" s="13"/>
      <c r="C2029" s="13"/>
      <c r="D2029" s="13"/>
      <c r="E2029" s="13"/>
      <c r="F2029" s="227"/>
      <c r="G2029" s="13"/>
      <c r="H2029" s="107"/>
      <c r="I2029" s="13"/>
      <c r="J2029" s="107"/>
      <c r="K2029" s="107"/>
      <c r="L2029" s="13"/>
    </row>
    <row r="2030" ht="15.75" customHeight="1">
      <c r="A2030" s="13"/>
      <c r="B2030" s="13"/>
      <c r="C2030" s="13"/>
      <c r="D2030" s="13"/>
      <c r="E2030" s="13"/>
      <c r="F2030" s="227"/>
      <c r="G2030" s="13"/>
      <c r="H2030" s="107"/>
      <c r="I2030" s="13"/>
      <c r="J2030" s="107"/>
      <c r="K2030" s="107"/>
      <c r="L2030" s="13"/>
    </row>
    <row r="2031" ht="15.75" customHeight="1">
      <c r="A2031" s="13"/>
      <c r="B2031" s="13"/>
      <c r="C2031" s="13"/>
      <c r="D2031" s="13"/>
      <c r="E2031" s="13"/>
      <c r="F2031" s="227"/>
      <c r="G2031" s="13"/>
      <c r="H2031" s="107"/>
      <c r="I2031" s="13"/>
      <c r="J2031" s="107"/>
      <c r="K2031" s="107"/>
      <c r="L2031" s="13"/>
    </row>
    <row r="2032" ht="15.75" customHeight="1">
      <c r="A2032" s="13"/>
      <c r="B2032" s="13"/>
      <c r="C2032" s="13"/>
      <c r="D2032" s="13"/>
      <c r="E2032" s="13"/>
      <c r="F2032" s="227"/>
      <c r="G2032" s="13"/>
      <c r="H2032" s="107"/>
      <c r="I2032" s="13"/>
      <c r="J2032" s="107"/>
      <c r="K2032" s="107"/>
      <c r="L2032" s="13"/>
    </row>
    <row r="2033" ht="15.75" customHeight="1">
      <c r="A2033" s="13"/>
      <c r="B2033" s="13"/>
      <c r="C2033" s="13"/>
      <c r="D2033" s="13"/>
      <c r="E2033" s="13"/>
      <c r="F2033" s="227"/>
      <c r="G2033" s="13"/>
      <c r="H2033" s="107"/>
      <c r="I2033" s="13"/>
      <c r="J2033" s="107"/>
      <c r="K2033" s="107"/>
      <c r="L2033" s="13"/>
    </row>
    <row r="2034" ht="15.75" customHeight="1">
      <c r="A2034" s="13"/>
      <c r="B2034" s="13"/>
      <c r="C2034" s="13"/>
      <c r="D2034" s="13"/>
      <c r="E2034" s="13"/>
      <c r="F2034" s="227"/>
      <c r="G2034" s="13"/>
      <c r="H2034" s="107"/>
      <c r="I2034" s="13"/>
      <c r="J2034" s="107"/>
      <c r="K2034" s="107"/>
      <c r="L2034" s="13"/>
    </row>
    <row r="2035" ht="15.75" customHeight="1">
      <c r="A2035" s="13"/>
      <c r="B2035" s="13"/>
      <c r="C2035" s="13"/>
      <c r="D2035" s="13"/>
      <c r="E2035" s="13"/>
      <c r="F2035" s="227"/>
      <c r="G2035" s="13"/>
      <c r="H2035" s="107"/>
      <c r="I2035" s="13"/>
      <c r="J2035" s="107"/>
      <c r="K2035" s="107"/>
      <c r="L2035" s="13"/>
    </row>
    <row r="2036" ht="15.75" customHeight="1">
      <c r="A2036" s="13"/>
      <c r="B2036" s="13"/>
      <c r="C2036" s="13"/>
      <c r="D2036" s="13"/>
      <c r="E2036" s="13"/>
      <c r="F2036" s="227"/>
      <c r="G2036" s="13"/>
      <c r="H2036" s="107"/>
      <c r="I2036" s="13"/>
      <c r="J2036" s="107"/>
      <c r="K2036" s="107"/>
      <c r="L2036" s="13"/>
    </row>
    <row r="2037" ht="15.75" customHeight="1">
      <c r="A2037" s="13"/>
      <c r="B2037" s="13"/>
      <c r="C2037" s="13"/>
      <c r="D2037" s="13"/>
      <c r="E2037" s="13"/>
      <c r="F2037" s="227"/>
      <c r="G2037" s="13"/>
      <c r="H2037" s="107"/>
      <c r="I2037" s="13"/>
      <c r="J2037" s="107"/>
      <c r="K2037" s="107"/>
      <c r="L2037" s="13"/>
    </row>
    <row r="2038" ht="15.75" customHeight="1">
      <c r="A2038" s="13"/>
      <c r="B2038" s="13"/>
      <c r="C2038" s="13"/>
      <c r="D2038" s="13"/>
      <c r="E2038" s="13"/>
      <c r="F2038" s="227"/>
      <c r="G2038" s="13"/>
      <c r="H2038" s="107"/>
      <c r="I2038" s="13"/>
      <c r="J2038" s="107"/>
      <c r="K2038" s="107"/>
      <c r="L2038" s="13"/>
    </row>
    <row r="2039" ht="15.75" customHeight="1">
      <c r="A2039" s="13"/>
      <c r="B2039" s="13"/>
      <c r="C2039" s="13"/>
      <c r="D2039" s="13"/>
      <c r="E2039" s="13"/>
      <c r="F2039" s="227"/>
      <c r="G2039" s="13"/>
      <c r="H2039" s="107"/>
      <c r="I2039" s="13"/>
      <c r="J2039" s="107"/>
      <c r="K2039" s="107"/>
      <c r="L2039" s="13"/>
    </row>
    <row r="2040" ht="15.75" customHeight="1">
      <c r="A2040" s="13"/>
      <c r="B2040" s="13"/>
      <c r="C2040" s="13"/>
      <c r="D2040" s="13"/>
      <c r="E2040" s="13"/>
      <c r="F2040" s="227"/>
      <c r="G2040" s="13"/>
      <c r="H2040" s="107"/>
      <c r="I2040" s="13"/>
      <c r="J2040" s="107"/>
      <c r="K2040" s="107"/>
      <c r="L2040" s="13"/>
    </row>
    <row r="2041" ht="15.75" customHeight="1">
      <c r="A2041" s="13"/>
      <c r="B2041" s="13"/>
      <c r="C2041" s="13"/>
      <c r="D2041" s="13"/>
      <c r="E2041" s="13"/>
      <c r="F2041" s="227"/>
      <c r="G2041" s="13"/>
      <c r="H2041" s="107"/>
      <c r="I2041" s="13"/>
      <c r="J2041" s="107"/>
      <c r="K2041" s="107"/>
      <c r="L2041" s="13"/>
    </row>
    <row r="2042" ht="15.75" customHeight="1">
      <c r="A2042" s="13"/>
      <c r="B2042" s="13"/>
      <c r="C2042" s="13"/>
      <c r="D2042" s="13"/>
      <c r="E2042" s="13"/>
      <c r="F2042" s="227"/>
      <c r="G2042" s="13"/>
      <c r="H2042" s="107"/>
      <c r="I2042" s="13"/>
      <c r="J2042" s="107"/>
      <c r="K2042" s="107"/>
      <c r="L2042" s="13"/>
    </row>
    <row r="2043" ht="15.75" customHeight="1">
      <c r="A2043" s="13"/>
      <c r="B2043" s="13"/>
      <c r="C2043" s="13"/>
      <c r="D2043" s="13"/>
      <c r="E2043" s="13"/>
      <c r="F2043" s="227"/>
      <c r="G2043" s="13"/>
      <c r="H2043" s="107"/>
      <c r="I2043" s="13"/>
      <c r="J2043" s="107"/>
      <c r="K2043" s="107"/>
      <c r="L2043" s="13"/>
    </row>
    <row r="2044" ht="15.75" customHeight="1">
      <c r="A2044" s="13"/>
      <c r="B2044" s="13"/>
      <c r="C2044" s="13"/>
      <c r="D2044" s="13"/>
      <c r="E2044" s="13"/>
      <c r="F2044" s="227"/>
      <c r="G2044" s="13"/>
      <c r="H2044" s="107"/>
      <c r="I2044" s="13"/>
      <c r="J2044" s="107"/>
      <c r="K2044" s="107"/>
      <c r="L2044" s="13"/>
    </row>
    <row r="2045" ht="15.75" customHeight="1">
      <c r="A2045" s="13"/>
      <c r="B2045" s="13"/>
      <c r="C2045" s="13"/>
      <c r="D2045" s="13"/>
      <c r="E2045" s="13"/>
      <c r="F2045" s="227"/>
      <c r="G2045" s="13"/>
      <c r="H2045" s="107"/>
      <c r="I2045" s="13"/>
      <c r="J2045" s="107"/>
      <c r="K2045" s="107"/>
      <c r="L2045" s="13"/>
    </row>
    <row r="2046" ht="15.75" customHeight="1">
      <c r="A2046" s="13"/>
      <c r="B2046" s="13"/>
      <c r="C2046" s="13"/>
      <c r="D2046" s="13"/>
      <c r="E2046" s="13"/>
      <c r="F2046" s="227"/>
      <c r="G2046" s="13"/>
      <c r="H2046" s="107"/>
      <c r="I2046" s="13"/>
      <c r="J2046" s="107"/>
      <c r="K2046" s="107"/>
      <c r="L2046" s="13"/>
    </row>
    <row r="2047" ht="15.75" customHeight="1">
      <c r="A2047" s="13"/>
      <c r="B2047" s="13"/>
      <c r="C2047" s="13"/>
      <c r="D2047" s="13"/>
      <c r="E2047" s="13"/>
      <c r="F2047" s="227"/>
      <c r="G2047" s="13"/>
      <c r="H2047" s="107"/>
      <c r="I2047" s="13"/>
      <c r="J2047" s="107"/>
      <c r="K2047" s="107"/>
      <c r="L2047" s="13"/>
    </row>
    <row r="2048" ht="15.75" customHeight="1">
      <c r="A2048" s="13"/>
      <c r="B2048" s="13"/>
      <c r="C2048" s="13"/>
      <c r="D2048" s="13"/>
      <c r="E2048" s="13"/>
      <c r="F2048" s="227"/>
      <c r="G2048" s="13"/>
      <c r="H2048" s="107"/>
      <c r="I2048" s="13"/>
      <c r="J2048" s="107"/>
      <c r="K2048" s="107"/>
      <c r="L2048" s="13"/>
    </row>
    <row r="2049" ht="15.75" customHeight="1">
      <c r="A2049" s="13"/>
      <c r="B2049" s="13"/>
      <c r="C2049" s="13"/>
      <c r="D2049" s="13"/>
      <c r="E2049" s="13"/>
      <c r="F2049" s="227"/>
      <c r="G2049" s="13"/>
      <c r="H2049" s="107"/>
      <c r="I2049" s="13"/>
      <c r="J2049" s="107"/>
      <c r="K2049" s="107"/>
      <c r="L2049" s="13"/>
    </row>
    <row r="2050" ht="15.75" customHeight="1">
      <c r="A2050" s="13"/>
      <c r="B2050" s="13"/>
      <c r="C2050" s="13"/>
      <c r="D2050" s="13"/>
      <c r="E2050" s="13"/>
      <c r="F2050" s="227"/>
      <c r="G2050" s="13"/>
      <c r="H2050" s="107"/>
      <c r="I2050" s="13"/>
      <c r="J2050" s="107"/>
      <c r="K2050" s="107"/>
      <c r="L2050" s="13"/>
    </row>
    <row r="2051" ht="15.75" customHeight="1">
      <c r="A2051" s="13"/>
      <c r="B2051" s="13"/>
      <c r="C2051" s="13"/>
      <c r="D2051" s="13"/>
      <c r="E2051" s="13"/>
      <c r="F2051" s="227"/>
      <c r="G2051" s="13"/>
      <c r="H2051" s="107"/>
      <c r="I2051" s="13"/>
      <c r="J2051" s="107"/>
      <c r="K2051" s="107"/>
      <c r="L2051" s="13"/>
    </row>
    <row r="2052" ht="15.75" customHeight="1">
      <c r="A2052" s="13"/>
      <c r="B2052" s="13"/>
      <c r="C2052" s="13"/>
      <c r="D2052" s="13"/>
      <c r="E2052" s="13"/>
      <c r="F2052" s="227"/>
      <c r="G2052" s="13"/>
      <c r="H2052" s="107"/>
      <c r="I2052" s="13"/>
      <c r="J2052" s="107"/>
      <c r="K2052" s="107"/>
      <c r="L2052" s="13"/>
    </row>
    <row r="2053" ht="15.75" customHeight="1">
      <c r="A2053" s="13"/>
      <c r="B2053" s="13"/>
      <c r="C2053" s="13"/>
      <c r="D2053" s="13"/>
      <c r="E2053" s="13"/>
      <c r="F2053" s="227"/>
      <c r="G2053" s="13"/>
      <c r="H2053" s="107"/>
      <c r="I2053" s="13"/>
      <c r="J2053" s="107"/>
      <c r="K2053" s="107"/>
      <c r="L2053" s="13"/>
    </row>
    <row r="2054" ht="15.75" customHeight="1">
      <c r="A2054" s="13"/>
      <c r="B2054" s="13"/>
      <c r="C2054" s="13"/>
      <c r="D2054" s="13"/>
      <c r="E2054" s="13"/>
      <c r="F2054" s="227"/>
      <c r="G2054" s="13"/>
      <c r="H2054" s="107"/>
      <c r="I2054" s="13"/>
      <c r="J2054" s="107"/>
      <c r="K2054" s="107"/>
      <c r="L2054" s="13"/>
    </row>
    <row r="2055" ht="15.75" customHeight="1">
      <c r="A2055" s="13"/>
      <c r="B2055" s="13"/>
      <c r="C2055" s="13"/>
      <c r="D2055" s="13"/>
      <c r="E2055" s="13"/>
      <c r="F2055" s="227"/>
      <c r="G2055" s="13"/>
      <c r="H2055" s="107"/>
      <c r="I2055" s="13"/>
      <c r="J2055" s="107"/>
      <c r="K2055" s="107"/>
      <c r="L2055" s="13"/>
    </row>
    <row r="2056" ht="15.75" customHeight="1">
      <c r="A2056" s="13"/>
      <c r="B2056" s="13"/>
      <c r="C2056" s="13"/>
      <c r="D2056" s="13"/>
      <c r="E2056" s="13"/>
      <c r="F2056" s="227"/>
      <c r="G2056" s="13"/>
      <c r="H2056" s="107"/>
      <c r="I2056" s="13"/>
      <c r="J2056" s="107"/>
      <c r="K2056" s="107"/>
      <c r="L2056" s="13"/>
    </row>
    <row r="2057" ht="15.75" customHeight="1">
      <c r="A2057" s="13"/>
      <c r="B2057" s="13"/>
      <c r="C2057" s="13"/>
      <c r="D2057" s="13"/>
      <c r="E2057" s="13"/>
      <c r="F2057" s="227"/>
      <c r="G2057" s="13"/>
      <c r="H2057" s="107"/>
      <c r="I2057" s="13"/>
      <c r="J2057" s="107"/>
      <c r="K2057" s="107"/>
      <c r="L2057" s="13"/>
    </row>
    <row r="2058" ht="15.75" customHeight="1">
      <c r="A2058" s="13"/>
      <c r="B2058" s="13"/>
      <c r="C2058" s="13"/>
      <c r="D2058" s="13"/>
      <c r="E2058" s="13"/>
      <c r="F2058" s="227"/>
      <c r="G2058" s="13"/>
      <c r="H2058" s="107"/>
      <c r="I2058" s="13"/>
      <c r="J2058" s="107"/>
      <c r="K2058" s="107"/>
      <c r="L2058" s="13"/>
    </row>
    <row r="2059" ht="15.75" customHeight="1">
      <c r="A2059" s="13"/>
      <c r="B2059" s="13"/>
      <c r="C2059" s="13"/>
      <c r="D2059" s="13"/>
      <c r="E2059" s="13"/>
      <c r="F2059" s="227"/>
      <c r="G2059" s="13"/>
      <c r="H2059" s="107"/>
      <c r="I2059" s="13"/>
      <c r="J2059" s="107"/>
      <c r="K2059" s="107"/>
      <c r="L2059" s="13"/>
    </row>
    <row r="2060" ht="15.75" customHeight="1">
      <c r="A2060" s="13"/>
      <c r="B2060" s="13"/>
      <c r="C2060" s="13"/>
      <c r="D2060" s="13"/>
      <c r="E2060" s="13"/>
      <c r="F2060" s="227"/>
      <c r="G2060" s="13"/>
      <c r="H2060" s="107"/>
      <c r="I2060" s="13"/>
      <c r="J2060" s="107"/>
      <c r="K2060" s="107"/>
      <c r="L2060" s="13"/>
    </row>
    <row r="2061" ht="15.75" customHeight="1">
      <c r="A2061" s="13"/>
      <c r="B2061" s="13"/>
      <c r="C2061" s="13"/>
      <c r="D2061" s="13"/>
      <c r="E2061" s="13"/>
      <c r="F2061" s="227"/>
      <c r="G2061" s="13"/>
      <c r="H2061" s="107"/>
      <c r="I2061" s="13"/>
      <c r="J2061" s="107"/>
      <c r="K2061" s="107"/>
      <c r="L2061" s="13"/>
    </row>
    <row r="2062" ht="15.75" customHeight="1">
      <c r="A2062" s="13"/>
      <c r="B2062" s="13"/>
      <c r="C2062" s="13"/>
      <c r="D2062" s="13"/>
      <c r="E2062" s="13"/>
      <c r="F2062" s="227"/>
      <c r="G2062" s="13"/>
      <c r="H2062" s="107"/>
      <c r="I2062" s="13"/>
      <c r="J2062" s="107"/>
      <c r="K2062" s="107"/>
      <c r="L2062" s="13"/>
    </row>
    <row r="2063" ht="15.75" customHeight="1">
      <c r="A2063" s="13"/>
      <c r="B2063" s="13"/>
      <c r="C2063" s="13"/>
      <c r="D2063" s="13"/>
      <c r="E2063" s="13"/>
      <c r="F2063" s="227"/>
      <c r="G2063" s="13"/>
      <c r="H2063" s="107"/>
      <c r="I2063" s="13"/>
      <c r="J2063" s="107"/>
      <c r="K2063" s="107"/>
      <c r="L2063" s="13"/>
    </row>
    <row r="2064" ht="15.75" customHeight="1">
      <c r="A2064" s="13"/>
      <c r="B2064" s="13"/>
      <c r="C2064" s="13"/>
      <c r="D2064" s="13"/>
      <c r="E2064" s="13"/>
      <c r="F2064" s="227"/>
      <c r="G2064" s="13"/>
      <c r="H2064" s="107"/>
      <c r="I2064" s="13"/>
      <c r="J2064" s="107"/>
      <c r="K2064" s="107"/>
      <c r="L2064" s="13"/>
    </row>
    <row r="2065" ht="15.75" customHeight="1">
      <c r="A2065" s="13"/>
      <c r="B2065" s="13"/>
      <c r="C2065" s="13"/>
      <c r="D2065" s="13"/>
      <c r="E2065" s="13"/>
      <c r="F2065" s="227"/>
      <c r="G2065" s="13"/>
      <c r="H2065" s="107"/>
      <c r="I2065" s="13"/>
      <c r="J2065" s="107"/>
      <c r="K2065" s="107"/>
      <c r="L2065" s="13"/>
    </row>
    <row r="2066" ht="15.75" customHeight="1">
      <c r="A2066" s="13"/>
      <c r="B2066" s="13"/>
      <c r="C2066" s="13"/>
      <c r="D2066" s="13"/>
      <c r="E2066" s="13"/>
      <c r="F2066" s="227"/>
      <c r="G2066" s="13"/>
      <c r="H2066" s="107"/>
      <c r="I2066" s="13"/>
      <c r="J2066" s="107"/>
      <c r="K2066" s="107"/>
      <c r="L2066" s="13"/>
    </row>
    <row r="2067" ht="15.75" customHeight="1">
      <c r="A2067" s="13"/>
      <c r="B2067" s="13"/>
      <c r="C2067" s="13"/>
      <c r="D2067" s="13"/>
      <c r="E2067" s="13"/>
      <c r="F2067" s="227"/>
      <c r="G2067" s="13"/>
      <c r="H2067" s="107"/>
      <c r="I2067" s="13"/>
      <c r="J2067" s="107"/>
      <c r="K2067" s="107"/>
      <c r="L2067" s="13"/>
    </row>
    <row r="2068" ht="15.75" customHeight="1">
      <c r="A2068" s="13"/>
      <c r="B2068" s="13"/>
      <c r="C2068" s="13"/>
      <c r="D2068" s="13"/>
      <c r="E2068" s="13"/>
      <c r="F2068" s="227"/>
      <c r="G2068" s="13"/>
      <c r="H2068" s="107"/>
      <c r="I2068" s="13"/>
      <c r="J2068" s="107"/>
      <c r="K2068" s="107"/>
      <c r="L2068" s="13"/>
    </row>
    <row r="2069" ht="15.75" customHeight="1">
      <c r="A2069" s="13"/>
      <c r="B2069" s="13"/>
      <c r="C2069" s="13"/>
      <c r="D2069" s="13"/>
      <c r="E2069" s="13"/>
      <c r="F2069" s="227"/>
      <c r="G2069" s="13"/>
      <c r="H2069" s="107"/>
      <c r="I2069" s="13"/>
      <c r="J2069" s="107"/>
      <c r="K2069" s="107"/>
      <c r="L2069" s="13"/>
    </row>
    <row r="2070" ht="15.75" customHeight="1">
      <c r="A2070" s="13"/>
      <c r="B2070" s="13"/>
      <c r="C2070" s="13"/>
      <c r="D2070" s="13"/>
      <c r="E2070" s="13"/>
      <c r="F2070" s="227"/>
      <c r="G2070" s="13"/>
      <c r="H2070" s="107"/>
      <c r="I2070" s="13"/>
      <c r="J2070" s="107"/>
      <c r="K2070" s="107"/>
      <c r="L2070" s="13"/>
    </row>
    <row r="2071" ht="15.75" customHeight="1">
      <c r="A2071" s="13"/>
      <c r="B2071" s="13"/>
      <c r="C2071" s="13"/>
      <c r="D2071" s="13"/>
      <c r="E2071" s="13"/>
      <c r="F2071" s="227"/>
      <c r="G2071" s="13"/>
      <c r="H2071" s="107"/>
      <c r="I2071" s="13"/>
      <c r="J2071" s="107"/>
      <c r="K2071" s="107"/>
      <c r="L2071" s="13"/>
    </row>
    <row r="2072" ht="15.75" customHeight="1">
      <c r="A2072" s="13"/>
      <c r="B2072" s="13"/>
      <c r="C2072" s="13"/>
      <c r="D2072" s="13"/>
      <c r="E2072" s="13"/>
      <c r="F2072" s="227"/>
      <c r="G2072" s="13"/>
      <c r="H2072" s="107"/>
      <c r="I2072" s="13"/>
      <c r="J2072" s="107"/>
      <c r="K2072" s="107"/>
      <c r="L2072" s="13"/>
    </row>
    <row r="2073" ht="15.75" customHeight="1">
      <c r="A2073" s="13"/>
      <c r="B2073" s="13"/>
      <c r="C2073" s="13"/>
      <c r="D2073" s="13"/>
      <c r="E2073" s="13"/>
      <c r="F2073" s="227"/>
      <c r="G2073" s="13"/>
      <c r="H2073" s="107"/>
      <c r="I2073" s="13"/>
      <c r="J2073" s="107"/>
      <c r="K2073" s="107"/>
      <c r="L2073" s="13"/>
    </row>
    <row r="2074" ht="15.75" customHeight="1">
      <c r="A2074" s="13"/>
      <c r="B2074" s="13"/>
      <c r="C2074" s="13"/>
      <c r="D2074" s="13"/>
      <c r="E2074" s="13"/>
      <c r="F2074" s="227"/>
      <c r="G2074" s="13"/>
      <c r="H2074" s="107"/>
      <c r="I2074" s="13"/>
      <c r="J2074" s="107"/>
      <c r="K2074" s="107"/>
      <c r="L2074" s="13"/>
    </row>
    <row r="2075" ht="15.75" customHeight="1">
      <c r="A2075" s="13"/>
      <c r="B2075" s="13"/>
      <c r="C2075" s="13"/>
      <c r="D2075" s="13"/>
      <c r="E2075" s="13"/>
      <c r="F2075" s="227"/>
      <c r="G2075" s="13"/>
      <c r="H2075" s="107"/>
      <c r="I2075" s="13"/>
      <c r="J2075" s="107"/>
      <c r="K2075" s="107"/>
      <c r="L2075" s="13"/>
    </row>
    <row r="2076" ht="15.75" customHeight="1">
      <c r="A2076" s="13"/>
      <c r="B2076" s="13"/>
      <c r="C2076" s="13"/>
      <c r="D2076" s="13"/>
      <c r="E2076" s="13"/>
      <c r="F2076" s="227"/>
      <c r="G2076" s="13"/>
      <c r="H2076" s="107"/>
      <c r="I2076" s="13"/>
      <c r="J2076" s="107"/>
      <c r="K2076" s="107"/>
      <c r="L2076" s="13"/>
    </row>
    <row r="2077" ht="15.75" customHeight="1">
      <c r="A2077" s="13"/>
      <c r="B2077" s="13"/>
      <c r="C2077" s="13"/>
      <c r="D2077" s="13"/>
      <c r="E2077" s="13"/>
      <c r="F2077" s="227"/>
      <c r="G2077" s="13"/>
      <c r="H2077" s="107"/>
      <c r="I2077" s="13"/>
      <c r="J2077" s="107"/>
      <c r="K2077" s="107"/>
      <c r="L2077" s="13"/>
    </row>
    <row r="2078" ht="15.75" customHeight="1">
      <c r="A2078" s="13"/>
      <c r="B2078" s="13"/>
      <c r="C2078" s="13"/>
      <c r="D2078" s="13"/>
      <c r="E2078" s="13"/>
      <c r="F2078" s="227"/>
      <c r="G2078" s="13"/>
      <c r="H2078" s="107"/>
      <c r="I2078" s="13"/>
      <c r="J2078" s="107"/>
      <c r="K2078" s="107"/>
      <c r="L2078" s="13"/>
    </row>
    <row r="2079" ht="15.75" customHeight="1">
      <c r="A2079" s="13"/>
      <c r="B2079" s="13"/>
      <c r="C2079" s="13"/>
      <c r="D2079" s="13"/>
      <c r="E2079" s="13"/>
      <c r="F2079" s="227"/>
      <c r="G2079" s="13"/>
      <c r="H2079" s="107"/>
      <c r="I2079" s="13"/>
      <c r="J2079" s="107"/>
      <c r="K2079" s="107"/>
      <c r="L2079" s="13"/>
    </row>
    <row r="2080" ht="15.75" customHeight="1">
      <c r="A2080" s="13"/>
      <c r="B2080" s="13"/>
      <c r="C2080" s="13"/>
      <c r="D2080" s="13"/>
      <c r="E2080" s="13"/>
      <c r="F2080" s="227"/>
      <c r="G2080" s="13"/>
      <c r="H2080" s="107"/>
      <c r="I2080" s="13"/>
      <c r="J2080" s="107"/>
      <c r="K2080" s="107"/>
      <c r="L2080" s="13"/>
    </row>
    <row r="2081" ht="15.75" customHeight="1">
      <c r="A2081" s="13"/>
      <c r="B2081" s="13"/>
      <c r="C2081" s="13"/>
      <c r="D2081" s="13"/>
      <c r="E2081" s="13"/>
      <c r="F2081" s="227"/>
      <c r="G2081" s="13"/>
      <c r="H2081" s="107"/>
      <c r="I2081" s="13"/>
      <c r="J2081" s="107"/>
      <c r="K2081" s="107"/>
      <c r="L2081" s="13"/>
    </row>
    <row r="2082" ht="15.75" customHeight="1">
      <c r="A2082" s="13"/>
      <c r="B2082" s="13"/>
      <c r="C2082" s="13"/>
      <c r="D2082" s="13"/>
      <c r="E2082" s="13"/>
      <c r="F2082" s="227"/>
      <c r="G2082" s="13"/>
      <c r="H2082" s="107"/>
      <c r="I2082" s="13"/>
      <c r="J2082" s="107"/>
      <c r="K2082" s="107"/>
      <c r="L2082" s="13"/>
    </row>
    <row r="2083" ht="15.75" customHeight="1">
      <c r="A2083" s="13"/>
      <c r="B2083" s="13"/>
      <c r="C2083" s="13"/>
      <c r="D2083" s="13"/>
      <c r="E2083" s="13"/>
      <c r="F2083" s="227"/>
      <c r="G2083" s="13"/>
      <c r="H2083" s="107"/>
      <c r="I2083" s="13"/>
      <c r="J2083" s="107"/>
      <c r="K2083" s="107"/>
      <c r="L2083" s="13"/>
    </row>
    <row r="2084" ht="15.75" customHeight="1">
      <c r="A2084" s="13"/>
      <c r="B2084" s="13"/>
      <c r="C2084" s="13"/>
      <c r="D2084" s="13"/>
      <c r="E2084" s="13"/>
      <c r="F2084" s="227"/>
      <c r="G2084" s="13"/>
      <c r="H2084" s="107"/>
      <c r="I2084" s="13"/>
      <c r="J2084" s="107"/>
      <c r="K2084" s="107"/>
      <c r="L2084" s="13"/>
    </row>
    <row r="2085" ht="15.75" customHeight="1">
      <c r="A2085" s="13"/>
      <c r="B2085" s="13"/>
      <c r="C2085" s="13"/>
      <c r="D2085" s="13"/>
      <c r="E2085" s="13"/>
      <c r="F2085" s="227"/>
      <c r="G2085" s="13"/>
      <c r="H2085" s="107"/>
      <c r="I2085" s="13"/>
      <c r="J2085" s="107"/>
      <c r="K2085" s="107"/>
      <c r="L2085" s="13"/>
    </row>
    <row r="2086" ht="15.75" customHeight="1">
      <c r="A2086" s="13"/>
      <c r="B2086" s="13"/>
      <c r="C2086" s="13"/>
      <c r="D2086" s="13"/>
      <c r="E2086" s="13"/>
      <c r="F2086" s="227"/>
      <c r="G2086" s="13"/>
      <c r="H2086" s="107"/>
      <c r="I2086" s="13"/>
      <c r="J2086" s="107"/>
      <c r="K2086" s="107"/>
      <c r="L2086" s="13"/>
    </row>
    <row r="2087" ht="15.75" customHeight="1">
      <c r="A2087" s="13"/>
      <c r="B2087" s="13"/>
      <c r="C2087" s="13"/>
      <c r="D2087" s="13"/>
      <c r="E2087" s="13"/>
      <c r="F2087" s="227"/>
      <c r="G2087" s="13"/>
      <c r="H2087" s="107"/>
      <c r="I2087" s="13"/>
      <c r="J2087" s="107"/>
      <c r="K2087" s="107"/>
      <c r="L2087" s="13"/>
    </row>
    <row r="2088" ht="15.75" customHeight="1">
      <c r="A2088" s="13"/>
      <c r="B2088" s="13"/>
      <c r="C2088" s="13"/>
      <c r="D2088" s="13"/>
      <c r="E2088" s="13"/>
      <c r="F2088" s="227"/>
      <c r="G2088" s="13"/>
      <c r="H2088" s="107"/>
      <c r="I2088" s="13"/>
      <c r="J2088" s="107"/>
      <c r="K2088" s="107"/>
      <c r="L2088" s="13"/>
    </row>
    <row r="2089" ht="15.75" customHeight="1">
      <c r="A2089" s="13"/>
      <c r="B2089" s="13"/>
      <c r="C2089" s="13"/>
      <c r="D2089" s="13"/>
      <c r="E2089" s="13"/>
      <c r="F2089" s="227"/>
      <c r="G2089" s="13"/>
      <c r="H2089" s="107"/>
      <c r="I2089" s="13"/>
      <c r="J2089" s="107"/>
      <c r="K2089" s="107"/>
      <c r="L2089" s="13"/>
    </row>
    <row r="2090" ht="15.75" customHeight="1">
      <c r="A2090" s="13"/>
      <c r="B2090" s="13"/>
      <c r="C2090" s="13"/>
      <c r="D2090" s="13"/>
      <c r="E2090" s="13"/>
      <c r="F2090" s="227"/>
      <c r="G2090" s="13"/>
      <c r="H2090" s="107"/>
      <c r="I2090" s="13"/>
      <c r="J2090" s="107"/>
      <c r="K2090" s="107"/>
      <c r="L2090" s="13"/>
    </row>
    <row r="2091" ht="15.75" customHeight="1">
      <c r="A2091" s="13"/>
      <c r="B2091" s="13"/>
      <c r="C2091" s="13"/>
      <c r="D2091" s="13"/>
      <c r="E2091" s="13"/>
      <c r="F2091" s="227"/>
      <c r="G2091" s="13"/>
      <c r="H2091" s="107"/>
      <c r="I2091" s="13"/>
      <c r="J2091" s="107"/>
      <c r="K2091" s="107"/>
      <c r="L2091" s="13"/>
    </row>
    <row r="2092" ht="15.75" customHeight="1">
      <c r="A2092" s="13"/>
      <c r="B2092" s="13"/>
      <c r="C2092" s="13"/>
      <c r="D2092" s="13"/>
      <c r="E2092" s="13"/>
      <c r="F2092" s="227"/>
      <c r="G2092" s="13"/>
      <c r="H2092" s="107"/>
      <c r="I2092" s="13"/>
      <c r="J2092" s="107"/>
      <c r="K2092" s="107"/>
      <c r="L2092" s="13"/>
    </row>
    <row r="2093" ht="15.75" customHeight="1">
      <c r="A2093" s="13"/>
      <c r="B2093" s="13"/>
      <c r="C2093" s="13"/>
      <c r="D2093" s="13"/>
      <c r="E2093" s="13"/>
      <c r="F2093" s="227"/>
      <c r="G2093" s="13"/>
      <c r="H2093" s="107"/>
      <c r="I2093" s="13"/>
      <c r="J2093" s="107"/>
      <c r="K2093" s="107"/>
      <c r="L2093" s="13"/>
    </row>
    <row r="2094" ht="15.75" customHeight="1">
      <c r="A2094" s="13"/>
      <c r="B2094" s="13"/>
      <c r="C2094" s="13"/>
      <c r="D2094" s="13"/>
      <c r="E2094" s="13"/>
      <c r="F2094" s="227"/>
      <c r="G2094" s="13"/>
      <c r="H2094" s="107"/>
      <c r="I2094" s="13"/>
      <c r="J2094" s="107"/>
      <c r="K2094" s="107"/>
      <c r="L2094" s="13"/>
    </row>
    <row r="2095" ht="15.75" customHeight="1">
      <c r="A2095" s="13"/>
      <c r="B2095" s="13"/>
      <c r="C2095" s="13"/>
      <c r="D2095" s="13"/>
      <c r="E2095" s="13"/>
      <c r="F2095" s="227"/>
      <c r="G2095" s="13"/>
      <c r="H2095" s="107"/>
      <c r="I2095" s="13"/>
      <c r="J2095" s="107"/>
      <c r="K2095" s="107"/>
      <c r="L2095" s="13"/>
    </row>
    <row r="2096" ht="15.75" customHeight="1">
      <c r="A2096" s="13"/>
      <c r="B2096" s="13"/>
      <c r="C2096" s="13"/>
      <c r="D2096" s="13"/>
      <c r="E2096" s="13"/>
      <c r="F2096" s="227"/>
      <c r="G2096" s="13"/>
      <c r="H2096" s="107"/>
      <c r="I2096" s="13"/>
      <c r="J2096" s="107"/>
      <c r="K2096" s="107"/>
      <c r="L2096" s="13"/>
    </row>
    <row r="2097" ht="15.75" customHeight="1">
      <c r="A2097" s="13"/>
      <c r="B2097" s="13"/>
      <c r="C2097" s="13"/>
      <c r="D2097" s="13"/>
      <c r="E2097" s="13"/>
      <c r="F2097" s="227"/>
      <c r="G2097" s="13"/>
      <c r="H2097" s="107"/>
      <c r="I2097" s="13"/>
      <c r="J2097" s="107"/>
      <c r="K2097" s="107"/>
      <c r="L2097" s="13"/>
    </row>
    <row r="2098" ht="15.75" customHeight="1">
      <c r="A2098" s="13"/>
      <c r="B2098" s="13"/>
      <c r="C2098" s="13"/>
      <c r="D2098" s="13"/>
      <c r="E2098" s="13"/>
      <c r="F2098" s="227"/>
      <c r="G2098" s="13"/>
      <c r="H2098" s="107"/>
      <c r="I2098" s="13"/>
      <c r="J2098" s="107"/>
      <c r="K2098" s="107"/>
      <c r="L2098" s="13"/>
    </row>
    <row r="2099" ht="15.75" customHeight="1">
      <c r="A2099" s="13"/>
      <c r="B2099" s="13"/>
      <c r="C2099" s="13"/>
      <c r="D2099" s="13"/>
      <c r="E2099" s="13"/>
      <c r="F2099" s="227"/>
      <c r="G2099" s="13"/>
      <c r="H2099" s="107"/>
      <c r="I2099" s="13"/>
      <c r="J2099" s="107"/>
      <c r="K2099" s="107"/>
      <c r="L2099" s="13"/>
    </row>
    <row r="2100" ht="15.75" customHeight="1">
      <c r="A2100" s="13"/>
      <c r="B2100" s="13"/>
      <c r="C2100" s="13"/>
      <c r="D2100" s="13"/>
      <c r="E2100" s="13"/>
      <c r="F2100" s="227"/>
      <c r="G2100" s="13"/>
      <c r="H2100" s="107"/>
      <c r="I2100" s="13"/>
      <c r="J2100" s="107"/>
      <c r="K2100" s="107"/>
      <c r="L2100" s="13"/>
    </row>
    <row r="2101" ht="15.75" customHeight="1">
      <c r="A2101" s="13"/>
      <c r="B2101" s="13"/>
      <c r="C2101" s="13"/>
      <c r="D2101" s="13"/>
      <c r="E2101" s="13"/>
      <c r="F2101" s="227"/>
      <c r="G2101" s="13"/>
      <c r="H2101" s="107"/>
      <c r="I2101" s="13"/>
      <c r="J2101" s="107"/>
      <c r="K2101" s="107"/>
      <c r="L2101" s="13"/>
    </row>
    <row r="2102" ht="15.75" customHeight="1">
      <c r="A2102" s="13"/>
      <c r="B2102" s="13"/>
      <c r="C2102" s="13"/>
      <c r="D2102" s="13"/>
      <c r="E2102" s="13"/>
      <c r="F2102" s="227"/>
      <c r="G2102" s="13"/>
      <c r="H2102" s="107"/>
      <c r="I2102" s="13"/>
      <c r="J2102" s="107"/>
      <c r="K2102" s="107"/>
      <c r="L2102" s="13"/>
    </row>
    <row r="2103" ht="15.75" customHeight="1">
      <c r="A2103" s="13"/>
      <c r="B2103" s="13"/>
      <c r="C2103" s="13"/>
      <c r="D2103" s="13"/>
      <c r="E2103" s="13"/>
      <c r="F2103" s="227"/>
      <c r="G2103" s="13"/>
      <c r="H2103" s="107"/>
      <c r="I2103" s="13"/>
      <c r="J2103" s="107"/>
      <c r="K2103" s="107"/>
      <c r="L2103" s="13"/>
    </row>
    <row r="2104" ht="15.75" customHeight="1">
      <c r="A2104" s="13"/>
      <c r="B2104" s="13"/>
      <c r="C2104" s="13"/>
      <c r="D2104" s="13"/>
      <c r="E2104" s="13"/>
      <c r="F2104" s="227"/>
      <c r="G2104" s="13"/>
      <c r="H2104" s="107"/>
      <c r="I2104" s="13"/>
      <c r="J2104" s="107"/>
      <c r="K2104" s="107"/>
      <c r="L2104" s="13"/>
    </row>
    <row r="2105" ht="15.75" customHeight="1">
      <c r="A2105" s="13"/>
      <c r="B2105" s="13"/>
      <c r="C2105" s="13"/>
      <c r="D2105" s="13"/>
      <c r="E2105" s="13"/>
      <c r="F2105" s="227"/>
      <c r="G2105" s="13"/>
      <c r="H2105" s="107"/>
      <c r="I2105" s="13"/>
      <c r="J2105" s="107"/>
      <c r="K2105" s="107"/>
      <c r="L2105" s="13"/>
    </row>
    <row r="2106" ht="15.75" customHeight="1">
      <c r="A2106" s="13"/>
      <c r="B2106" s="13"/>
      <c r="C2106" s="13"/>
      <c r="D2106" s="13"/>
      <c r="E2106" s="13"/>
      <c r="F2106" s="227"/>
      <c r="G2106" s="13"/>
      <c r="H2106" s="107"/>
      <c r="I2106" s="13"/>
      <c r="J2106" s="107"/>
      <c r="K2106" s="107"/>
      <c r="L2106" s="13"/>
    </row>
    <row r="2107" ht="15.75" customHeight="1">
      <c r="A2107" s="13"/>
      <c r="B2107" s="13"/>
      <c r="C2107" s="13"/>
      <c r="D2107" s="13"/>
      <c r="E2107" s="13"/>
      <c r="F2107" s="227"/>
      <c r="G2107" s="13"/>
      <c r="H2107" s="107"/>
      <c r="I2107" s="13"/>
      <c r="J2107" s="107"/>
      <c r="K2107" s="107"/>
      <c r="L2107" s="13"/>
    </row>
    <row r="2108" ht="15.75" customHeight="1">
      <c r="A2108" s="13"/>
      <c r="B2108" s="13"/>
      <c r="C2108" s="13"/>
      <c r="D2108" s="13"/>
      <c r="E2108" s="13"/>
      <c r="F2108" s="227"/>
      <c r="G2108" s="13"/>
      <c r="H2108" s="107"/>
      <c r="I2108" s="13"/>
      <c r="J2108" s="107"/>
      <c r="K2108" s="107"/>
      <c r="L2108" s="13"/>
    </row>
    <row r="2109" ht="15.75" customHeight="1">
      <c r="A2109" s="13"/>
      <c r="B2109" s="13"/>
      <c r="C2109" s="13"/>
      <c r="D2109" s="13"/>
      <c r="E2109" s="13"/>
      <c r="F2109" s="227"/>
      <c r="G2109" s="13"/>
      <c r="H2109" s="107"/>
      <c r="I2109" s="13"/>
      <c r="J2109" s="107"/>
      <c r="K2109" s="107"/>
      <c r="L2109" s="13"/>
    </row>
    <row r="2110" ht="15.75" customHeight="1">
      <c r="A2110" s="13"/>
      <c r="B2110" s="13"/>
      <c r="C2110" s="13"/>
      <c r="D2110" s="13"/>
      <c r="E2110" s="13"/>
      <c r="F2110" s="227"/>
      <c r="G2110" s="13"/>
      <c r="H2110" s="107"/>
      <c r="I2110" s="13"/>
      <c r="J2110" s="107"/>
      <c r="K2110" s="107"/>
      <c r="L2110" s="13"/>
    </row>
    <row r="2111" ht="15.75" customHeight="1">
      <c r="A2111" s="13"/>
      <c r="B2111" s="13"/>
      <c r="C2111" s="13"/>
      <c r="D2111" s="13"/>
      <c r="E2111" s="13"/>
      <c r="F2111" s="227"/>
      <c r="G2111" s="13"/>
      <c r="H2111" s="107"/>
      <c r="I2111" s="13"/>
      <c r="J2111" s="107"/>
      <c r="K2111" s="107"/>
      <c r="L2111" s="13"/>
    </row>
    <row r="2112" ht="15.75" customHeight="1">
      <c r="A2112" s="13"/>
      <c r="B2112" s="13"/>
      <c r="C2112" s="13"/>
      <c r="D2112" s="13"/>
      <c r="E2112" s="13"/>
      <c r="F2112" s="227"/>
      <c r="G2112" s="13"/>
      <c r="H2112" s="107"/>
      <c r="I2112" s="13"/>
      <c r="J2112" s="107"/>
      <c r="K2112" s="107"/>
      <c r="L2112" s="13"/>
    </row>
    <row r="2113" ht="15.75" customHeight="1">
      <c r="A2113" s="13"/>
      <c r="B2113" s="13"/>
      <c r="C2113" s="13"/>
      <c r="D2113" s="13"/>
      <c r="E2113" s="13"/>
      <c r="F2113" s="227"/>
      <c r="G2113" s="13"/>
      <c r="H2113" s="107"/>
      <c r="I2113" s="13"/>
      <c r="J2113" s="107"/>
      <c r="K2113" s="107"/>
      <c r="L2113" s="13"/>
    </row>
    <row r="2114" ht="15.75" customHeight="1">
      <c r="A2114" s="13"/>
      <c r="B2114" s="13"/>
      <c r="C2114" s="13"/>
      <c r="D2114" s="13"/>
      <c r="E2114" s="13"/>
      <c r="F2114" s="227"/>
      <c r="G2114" s="13"/>
      <c r="H2114" s="107"/>
      <c r="I2114" s="13"/>
      <c r="J2114" s="107"/>
      <c r="K2114" s="107"/>
      <c r="L2114" s="13"/>
    </row>
    <row r="2115" ht="15.75" customHeight="1">
      <c r="A2115" s="13"/>
      <c r="B2115" s="13"/>
      <c r="C2115" s="13"/>
      <c r="D2115" s="13"/>
      <c r="E2115" s="13"/>
      <c r="F2115" s="227"/>
      <c r="G2115" s="13"/>
      <c r="H2115" s="107"/>
      <c r="I2115" s="13"/>
      <c r="J2115" s="107"/>
      <c r="K2115" s="107"/>
      <c r="L2115" s="13"/>
    </row>
    <row r="2116" ht="15.75" customHeight="1">
      <c r="A2116" s="13"/>
      <c r="B2116" s="13"/>
      <c r="C2116" s="13"/>
      <c r="D2116" s="13"/>
      <c r="E2116" s="13"/>
      <c r="F2116" s="227"/>
      <c r="G2116" s="13"/>
      <c r="H2116" s="107"/>
      <c r="I2116" s="13"/>
      <c r="J2116" s="107"/>
      <c r="K2116" s="107"/>
      <c r="L2116" s="13"/>
    </row>
    <row r="2117" ht="15.75" customHeight="1">
      <c r="A2117" s="13"/>
      <c r="B2117" s="13"/>
      <c r="C2117" s="13"/>
      <c r="D2117" s="13"/>
      <c r="E2117" s="13"/>
      <c r="F2117" s="227"/>
      <c r="G2117" s="13"/>
      <c r="H2117" s="107"/>
      <c r="I2117" s="13"/>
      <c r="J2117" s="107"/>
      <c r="K2117" s="107"/>
      <c r="L2117" s="13"/>
    </row>
    <row r="2118" ht="15.75" customHeight="1">
      <c r="A2118" s="13"/>
      <c r="B2118" s="13"/>
      <c r="C2118" s="13"/>
      <c r="D2118" s="13"/>
      <c r="E2118" s="13"/>
      <c r="F2118" s="227"/>
      <c r="G2118" s="13"/>
      <c r="H2118" s="107"/>
      <c r="I2118" s="13"/>
      <c r="J2118" s="107"/>
      <c r="K2118" s="107"/>
      <c r="L2118" s="13"/>
    </row>
    <row r="2119" ht="15.75" customHeight="1">
      <c r="A2119" s="13"/>
      <c r="B2119" s="13"/>
      <c r="C2119" s="13"/>
      <c r="D2119" s="13"/>
      <c r="E2119" s="13"/>
      <c r="F2119" s="227"/>
      <c r="G2119" s="13"/>
      <c r="H2119" s="107"/>
      <c r="I2119" s="13"/>
      <c r="J2119" s="107"/>
      <c r="K2119" s="107"/>
      <c r="L2119" s="13"/>
    </row>
    <row r="2120" ht="15.75" customHeight="1">
      <c r="A2120" s="13"/>
      <c r="B2120" s="13"/>
      <c r="C2120" s="13"/>
      <c r="D2120" s="13"/>
      <c r="E2120" s="13"/>
      <c r="F2120" s="227"/>
      <c r="G2120" s="13"/>
      <c r="H2120" s="107"/>
      <c r="I2120" s="13"/>
      <c r="J2120" s="107"/>
      <c r="K2120" s="107"/>
      <c r="L2120" s="13"/>
    </row>
    <row r="2121" ht="15.75" customHeight="1">
      <c r="A2121" s="13"/>
      <c r="B2121" s="13"/>
      <c r="C2121" s="13"/>
      <c r="D2121" s="13"/>
      <c r="E2121" s="13"/>
      <c r="F2121" s="227"/>
      <c r="G2121" s="13"/>
      <c r="H2121" s="107"/>
      <c r="I2121" s="13"/>
      <c r="J2121" s="107"/>
      <c r="K2121" s="107"/>
      <c r="L2121" s="13"/>
    </row>
    <row r="2122" ht="15.75" customHeight="1">
      <c r="A2122" s="13"/>
      <c r="B2122" s="13"/>
      <c r="C2122" s="13"/>
      <c r="D2122" s="13"/>
      <c r="E2122" s="13"/>
      <c r="F2122" s="227"/>
      <c r="G2122" s="13"/>
      <c r="H2122" s="107"/>
      <c r="I2122" s="13"/>
      <c r="J2122" s="107"/>
      <c r="K2122" s="107"/>
      <c r="L2122" s="13"/>
    </row>
    <row r="2123" ht="15.75" customHeight="1">
      <c r="A2123" s="13"/>
      <c r="B2123" s="13"/>
      <c r="C2123" s="13"/>
      <c r="D2123" s="13"/>
      <c r="E2123" s="13"/>
      <c r="F2123" s="227"/>
      <c r="G2123" s="13"/>
      <c r="H2123" s="107"/>
      <c r="I2123" s="13"/>
      <c r="J2123" s="107"/>
      <c r="K2123" s="107"/>
      <c r="L2123" s="13"/>
    </row>
    <row r="2124" ht="15.75" customHeight="1">
      <c r="A2124" s="13"/>
      <c r="B2124" s="13"/>
      <c r="C2124" s="13"/>
      <c r="D2124" s="13"/>
      <c r="E2124" s="13"/>
      <c r="F2124" s="227"/>
      <c r="G2124" s="13"/>
      <c r="H2124" s="107"/>
      <c r="I2124" s="13"/>
      <c r="J2124" s="107"/>
      <c r="K2124" s="107"/>
      <c r="L2124" s="13"/>
    </row>
    <row r="2125" ht="15.75" customHeight="1">
      <c r="A2125" s="13"/>
      <c r="B2125" s="13"/>
      <c r="C2125" s="13"/>
      <c r="D2125" s="13"/>
      <c r="E2125" s="13"/>
      <c r="F2125" s="227"/>
      <c r="G2125" s="13"/>
      <c r="H2125" s="107"/>
      <c r="I2125" s="13"/>
      <c r="J2125" s="107"/>
      <c r="K2125" s="107"/>
      <c r="L2125" s="13"/>
    </row>
    <row r="2126" ht="15.75" customHeight="1">
      <c r="A2126" s="13"/>
      <c r="B2126" s="13"/>
      <c r="C2126" s="13"/>
      <c r="D2126" s="13"/>
      <c r="E2126" s="13"/>
      <c r="F2126" s="227"/>
      <c r="G2126" s="13"/>
      <c r="H2126" s="107"/>
      <c r="I2126" s="13"/>
      <c r="J2126" s="107"/>
      <c r="K2126" s="107"/>
      <c r="L2126" s="13"/>
    </row>
    <row r="2127" ht="15.75" customHeight="1">
      <c r="A2127" s="13"/>
      <c r="B2127" s="13"/>
      <c r="C2127" s="13"/>
      <c r="D2127" s="13"/>
      <c r="E2127" s="13"/>
      <c r="F2127" s="227"/>
      <c r="G2127" s="13"/>
      <c r="H2127" s="107"/>
      <c r="I2127" s="13"/>
      <c r="J2127" s="107"/>
      <c r="K2127" s="107"/>
      <c r="L2127" s="13"/>
    </row>
    <row r="2128" ht="15.75" customHeight="1">
      <c r="A2128" s="13"/>
      <c r="B2128" s="13"/>
      <c r="C2128" s="13"/>
      <c r="D2128" s="13"/>
      <c r="E2128" s="13"/>
      <c r="F2128" s="227"/>
      <c r="G2128" s="13"/>
      <c r="H2128" s="107"/>
      <c r="I2128" s="13"/>
      <c r="J2128" s="107"/>
      <c r="K2128" s="107"/>
      <c r="L2128" s="13"/>
    </row>
    <row r="2129" ht="15.75" customHeight="1">
      <c r="A2129" s="13"/>
      <c r="B2129" s="13"/>
      <c r="C2129" s="13"/>
      <c r="D2129" s="13"/>
      <c r="E2129" s="13"/>
      <c r="F2129" s="227"/>
      <c r="G2129" s="13"/>
      <c r="H2129" s="107"/>
      <c r="I2129" s="13"/>
      <c r="J2129" s="107"/>
      <c r="K2129" s="107"/>
      <c r="L2129" s="13"/>
    </row>
    <row r="2130" ht="15.75" customHeight="1">
      <c r="A2130" s="13"/>
      <c r="B2130" s="13"/>
      <c r="C2130" s="13"/>
      <c r="D2130" s="13"/>
      <c r="E2130" s="13"/>
      <c r="F2130" s="227"/>
      <c r="G2130" s="13"/>
      <c r="H2130" s="107"/>
      <c r="I2130" s="13"/>
      <c r="J2130" s="107"/>
      <c r="K2130" s="107"/>
      <c r="L2130" s="13"/>
    </row>
    <row r="2131" ht="15.75" customHeight="1">
      <c r="A2131" s="13"/>
      <c r="B2131" s="13"/>
      <c r="C2131" s="13"/>
      <c r="D2131" s="13"/>
      <c r="E2131" s="13"/>
      <c r="F2131" s="227"/>
      <c r="G2131" s="13"/>
      <c r="H2131" s="107"/>
      <c r="I2131" s="13"/>
      <c r="J2131" s="107"/>
      <c r="K2131" s="107"/>
      <c r="L2131" s="13"/>
    </row>
    <row r="2132" ht="15.75" customHeight="1">
      <c r="A2132" s="13"/>
      <c r="B2132" s="13"/>
      <c r="C2132" s="13"/>
      <c r="D2132" s="13"/>
      <c r="E2132" s="13"/>
      <c r="F2132" s="227"/>
      <c r="G2132" s="13"/>
      <c r="H2132" s="107"/>
      <c r="I2132" s="13"/>
      <c r="J2132" s="107"/>
      <c r="K2132" s="107"/>
      <c r="L2132" s="13"/>
    </row>
    <row r="2133" ht="15.75" customHeight="1">
      <c r="A2133" s="13"/>
      <c r="B2133" s="13"/>
      <c r="C2133" s="13"/>
      <c r="D2133" s="13"/>
      <c r="E2133" s="13"/>
      <c r="F2133" s="227"/>
      <c r="G2133" s="13"/>
      <c r="H2133" s="107"/>
      <c r="I2133" s="13"/>
      <c r="J2133" s="107"/>
      <c r="K2133" s="107"/>
      <c r="L2133" s="13"/>
    </row>
    <row r="2134" ht="15.75" customHeight="1">
      <c r="A2134" s="13"/>
      <c r="B2134" s="13"/>
      <c r="C2134" s="13"/>
      <c r="D2134" s="13"/>
      <c r="E2134" s="13"/>
      <c r="F2134" s="227"/>
      <c r="G2134" s="13"/>
      <c r="H2134" s="107"/>
      <c r="I2134" s="13"/>
      <c r="J2134" s="107"/>
      <c r="K2134" s="107"/>
      <c r="L2134" s="13"/>
    </row>
    <row r="2135" ht="15.75" customHeight="1">
      <c r="A2135" s="13"/>
      <c r="B2135" s="13"/>
      <c r="C2135" s="13"/>
      <c r="D2135" s="13"/>
      <c r="E2135" s="13"/>
      <c r="F2135" s="227"/>
      <c r="G2135" s="13"/>
      <c r="H2135" s="107"/>
      <c r="I2135" s="13"/>
      <c r="J2135" s="107"/>
      <c r="K2135" s="107"/>
      <c r="L2135" s="13"/>
    </row>
    <row r="2136" ht="15.75" customHeight="1">
      <c r="A2136" s="13"/>
      <c r="B2136" s="13"/>
      <c r="C2136" s="13"/>
      <c r="D2136" s="13"/>
      <c r="E2136" s="13"/>
      <c r="F2136" s="227"/>
      <c r="G2136" s="13"/>
      <c r="H2136" s="107"/>
      <c r="I2136" s="13"/>
      <c r="J2136" s="107"/>
      <c r="K2136" s="107"/>
      <c r="L2136" s="13"/>
    </row>
    <row r="2137" ht="15.75" customHeight="1">
      <c r="A2137" s="13"/>
      <c r="B2137" s="13"/>
      <c r="C2137" s="13"/>
      <c r="D2137" s="13"/>
      <c r="E2137" s="13"/>
      <c r="F2137" s="227"/>
      <c r="G2137" s="13"/>
      <c r="H2137" s="107"/>
      <c r="I2137" s="13"/>
      <c r="J2137" s="107"/>
      <c r="K2137" s="107"/>
      <c r="L2137" s="13"/>
    </row>
    <row r="2138" ht="15.75" customHeight="1">
      <c r="A2138" s="13"/>
      <c r="B2138" s="13"/>
      <c r="C2138" s="13"/>
      <c r="D2138" s="13"/>
      <c r="E2138" s="13"/>
      <c r="F2138" s="227"/>
      <c r="G2138" s="13"/>
      <c r="H2138" s="107"/>
      <c r="I2138" s="13"/>
      <c r="J2138" s="107"/>
      <c r="K2138" s="107"/>
      <c r="L2138" s="13"/>
    </row>
    <row r="2139" ht="15.75" customHeight="1">
      <c r="A2139" s="13"/>
      <c r="B2139" s="13"/>
      <c r="C2139" s="13"/>
      <c r="D2139" s="13"/>
      <c r="E2139" s="13"/>
      <c r="F2139" s="227"/>
      <c r="G2139" s="13"/>
      <c r="H2139" s="107"/>
      <c r="I2139" s="13"/>
      <c r="J2139" s="107"/>
      <c r="K2139" s="107"/>
      <c r="L2139" s="13"/>
    </row>
    <row r="2140" ht="15.75" customHeight="1">
      <c r="A2140" s="13"/>
      <c r="B2140" s="13"/>
      <c r="C2140" s="13"/>
      <c r="D2140" s="13"/>
      <c r="E2140" s="13"/>
      <c r="F2140" s="227"/>
      <c r="G2140" s="13"/>
      <c r="H2140" s="107"/>
      <c r="I2140" s="13"/>
      <c r="J2140" s="107"/>
      <c r="K2140" s="107"/>
      <c r="L2140" s="13"/>
    </row>
    <row r="2141" ht="15.75" customHeight="1">
      <c r="A2141" s="13"/>
      <c r="B2141" s="13"/>
      <c r="C2141" s="13"/>
      <c r="D2141" s="13"/>
      <c r="E2141" s="13"/>
      <c r="F2141" s="227"/>
      <c r="G2141" s="13"/>
      <c r="H2141" s="107"/>
      <c r="I2141" s="13"/>
      <c r="J2141" s="107"/>
      <c r="K2141" s="107"/>
      <c r="L2141" s="13"/>
    </row>
    <row r="2142" ht="15.75" customHeight="1">
      <c r="A2142" s="13"/>
      <c r="B2142" s="13"/>
      <c r="C2142" s="13"/>
      <c r="D2142" s="13"/>
      <c r="E2142" s="13"/>
      <c r="F2142" s="227"/>
      <c r="G2142" s="13"/>
      <c r="H2142" s="107"/>
      <c r="I2142" s="13"/>
      <c r="J2142" s="107"/>
      <c r="K2142" s="107"/>
      <c r="L2142" s="13"/>
    </row>
    <row r="2143" ht="15.75" customHeight="1">
      <c r="A2143" s="13"/>
      <c r="B2143" s="13"/>
      <c r="C2143" s="13"/>
      <c r="D2143" s="13"/>
      <c r="E2143" s="13"/>
      <c r="F2143" s="227"/>
      <c r="G2143" s="13"/>
      <c r="H2143" s="107"/>
      <c r="I2143" s="13"/>
      <c r="J2143" s="107"/>
      <c r="K2143" s="107"/>
      <c r="L2143" s="13"/>
    </row>
    <row r="2144" ht="15.75" customHeight="1">
      <c r="A2144" s="13"/>
      <c r="B2144" s="13"/>
      <c r="C2144" s="13"/>
      <c r="D2144" s="13"/>
      <c r="E2144" s="13"/>
      <c r="F2144" s="227"/>
      <c r="G2144" s="13"/>
      <c r="H2144" s="107"/>
      <c r="I2144" s="13"/>
      <c r="J2144" s="107"/>
      <c r="K2144" s="107"/>
      <c r="L2144" s="13"/>
    </row>
    <row r="2145" ht="15.75" customHeight="1">
      <c r="A2145" s="13"/>
      <c r="B2145" s="13"/>
      <c r="C2145" s="13"/>
      <c r="D2145" s="13"/>
      <c r="E2145" s="13"/>
      <c r="F2145" s="227"/>
      <c r="G2145" s="13"/>
      <c r="H2145" s="107"/>
      <c r="I2145" s="13"/>
      <c r="J2145" s="107"/>
      <c r="K2145" s="107"/>
      <c r="L2145" s="13"/>
    </row>
    <row r="2146" ht="15.75" customHeight="1">
      <c r="A2146" s="13"/>
      <c r="B2146" s="13"/>
      <c r="C2146" s="13"/>
      <c r="D2146" s="13"/>
      <c r="E2146" s="13"/>
      <c r="F2146" s="227"/>
      <c r="G2146" s="13"/>
      <c r="H2146" s="107"/>
      <c r="I2146" s="13"/>
      <c r="J2146" s="107"/>
      <c r="K2146" s="107"/>
      <c r="L2146" s="13"/>
    </row>
    <row r="2147" ht="15.75" customHeight="1">
      <c r="A2147" s="13"/>
      <c r="B2147" s="13"/>
      <c r="C2147" s="13"/>
      <c r="D2147" s="13"/>
      <c r="E2147" s="13"/>
      <c r="F2147" s="227"/>
      <c r="G2147" s="13"/>
      <c r="H2147" s="107"/>
      <c r="I2147" s="13"/>
      <c r="J2147" s="107"/>
      <c r="K2147" s="107"/>
      <c r="L2147" s="13"/>
    </row>
    <row r="2148" ht="15.75" customHeight="1">
      <c r="A2148" s="13"/>
      <c r="B2148" s="13"/>
      <c r="C2148" s="13"/>
      <c r="D2148" s="13"/>
      <c r="E2148" s="13"/>
      <c r="F2148" s="227"/>
      <c r="G2148" s="13"/>
      <c r="H2148" s="107"/>
      <c r="I2148" s="13"/>
      <c r="J2148" s="107"/>
      <c r="K2148" s="107"/>
      <c r="L2148" s="13"/>
    </row>
    <row r="2149" ht="15.75" customHeight="1">
      <c r="A2149" s="13"/>
      <c r="B2149" s="13"/>
      <c r="C2149" s="13"/>
      <c r="D2149" s="13"/>
      <c r="E2149" s="13"/>
      <c r="F2149" s="227"/>
      <c r="G2149" s="13"/>
      <c r="H2149" s="107"/>
      <c r="I2149" s="13"/>
      <c r="J2149" s="107"/>
      <c r="K2149" s="107"/>
      <c r="L2149" s="13"/>
    </row>
    <row r="2150" ht="15.75" customHeight="1">
      <c r="A2150" s="13"/>
      <c r="B2150" s="13"/>
      <c r="C2150" s="13"/>
      <c r="D2150" s="13"/>
      <c r="E2150" s="13"/>
      <c r="F2150" s="227"/>
      <c r="G2150" s="13"/>
      <c r="H2150" s="107"/>
      <c r="I2150" s="13"/>
      <c r="J2150" s="107"/>
      <c r="K2150" s="107"/>
      <c r="L2150" s="13"/>
    </row>
    <row r="2151" ht="15.75" customHeight="1">
      <c r="A2151" s="13"/>
      <c r="B2151" s="13"/>
      <c r="C2151" s="13"/>
      <c r="D2151" s="13"/>
      <c r="E2151" s="13"/>
      <c r="F2151" s="227"/>
      <c r="G2151" s="13"/>
      <c r="H2151" s="107"/>
      <c r="I2151" s="13"/>
      <c r="J2151" s="107"/>
      <c r="K2151" s="107"/>
      <c r="L2151" s="13"/>
    </row>
    <row r="2152" ht="15.75" customHeight="1">
      <c r="A2152" s="13"/>
      <c r="B2152" s="13"/>
      <c r="C2152" s="13"/>
      <c r="D2152" s="13"/>
      <c r="E2152" s="13"/>
      <c r="F2152" s="227"/>
      <c r="G2152" s="13"/>
      <c r="H2152" s="107"/>
      <c r="I2152" s="13"/>
      <c r="J2152" s="107"/>
      <c r="K2152" s="107"/>
      <c r="L2152" s="13"/>
    </row>
    <row r="2153" ht="15.75" customHeight="1">
      <c r="A2153" s="13"/>
      <c r="B2153" s="13"/>
      <c r="C2153" s="13"/>
      <c r="D2153" s="13"/>
      <c r="E2153" s="13"/>
      <c r="F2153" s="227"/>
      <c r="G2153" s="13"/>
      <c r="H2153" s="107"/>
      <c r="I2153" s="13"/>
      <c r="J2153" s="107"/>
      <c r="K2153" s="107"/>
      <c r="L2153" s="13"/>
    </row>
    <row r="2154" ht="15.75" customHeight="1">
      <c r="A2154" s="13"/>
      <c r="B2154" s="13"/>
      <c r="C2154" s="13"/>
      <c r="D2154" s="13"/>
      <c r="E2154" s="13"/>
      <c r="F2154" s="227"/>
      <c r="G2154" s="13"/>
      <c r="H2154" s="107"/>
      <c r="I2154" s="13"/>
      <c r="J2154" s="107"/>
      <c r="K2154" s="107"/>
      <c r="L2154" s="13"/>
    </row>
    <row r="2155" ht="15.75" customHeight="1">
      <c r="A2155" s="13"/>
      <c r="B2155" s="13"/>
      <c r="C2155" s="13"/>
      <c r="D2155" s="13"/>
      <c r="E2155" s="13"/>
      <c r="F2155" s="227"/>
      <c r="G2155" s="13"/>
      <c r="H2155" s="107"/>
      <c r="I2155" s="13"/>
      <c r="J2155" s="107"/>
      <c r="K2155" s="107"/>
      <c r="L2155" s="13"/>
    </row>
    <row r="2156" ht="15.75" customHeight="1">
      <c r="A2156" s="13"/>
      <c r="B2156" s="13"/>
      <c r="C2156" s="13"/>
      <c r="D2156" s="13"/>
      <c r="E2156" s="13"/>
      <c r="F2156" s="227"/>
      <c r="G2156" s="13"/>
      <c r="H2156" s="107"/>
      <c r="I2156" s="13"/>
      <c r="J2156" s="107"/>
      <c r="K2156" s="107"/>
      <c r="L2156" s="13"/>
    </row>
    <row r="2157" ht="15.75" customHeight="1">
      <c r="A2157" s="13"/>
      <c r="B2157" s="13"/>
      <c r="C2157" s="13"/>
      <c r="D2157" s="13"/>
      <c r="E2157" s="13"/>
      <c r="F2157" s="227"/>
      <c r="G2157" s="13"/>
      <c r="H2157" s="107"/>
      <c r="I2157" s="13"/>
      <c r="J2157" s="107"/>
      <c r="K2157" s="107"/>
      <c r="L2157" s="13"/>
    </row>
    <row r="2158" ht="15.75" customHeight="1">
      <c r="A2158" s="13"/>
      <c r="B2158" s="13"/>
      <c r="C2158" s="13"/>
      <c r="D2158" s="13"/>
      <c r="E2158" s="13"/>
      <c r="F2158" s="227"/>
      <c r="G2158" s="13"/>
      <c r="H2158" s="107"/>
      <c r="I2158" s="13"/>
      <c r="J2158" s="107"/>
      <c r="K2158" s="107"/>
      <c r="L2158" s="13"/>
    </row>
    <row r="2159" ht="15.75" customHeight="1">
      <c r="A2159" s="13"/>
      <c r="B2159" s="13"/>
      <c r="C2159" s="13"/>
      <c r="D2159" s="13"/>
      <c r="E2159" s="13"/>
      <c r="F2159" s="227"/>
      <c r="G2159" s="13"/>
      <c r="H2159" s="107"/>
      <c r="I2159" s="13"/>
      <c r="J2159" s="107"/>
      <c r="K2159" s="107"/>
      <c r="L2159" s="13"/>
    </row>
    <row r="2160" ht="15.75" customHeight="1">
      <c r="A2160" s="13"/>
      <c r="B2160" s="13"/>
      <c r="C2160" s="13"/>
      <c r="D2160" s="13"/>
      <c r="E2160" s="13"/>
      <c r="F2160" s="227"/>
      <c r="G2160" s="13"/>
      <c r="H2160" s="107"/>
      <c r="I2160" s="13"/>
      <c r="J2160" s="107"/>
      <c r="K2160" s="107"/>
      <c r="L2160" s="13"/>
    </row>
    <row r="2161" ht="15.75" customHeight="1">
      <c r="A2161" s="13"/>
      <c r="B2161" s="13"/>
      <c r="C2161" s="13"/>
      <c r="D2161" s="13"/>
      <c r="E2161" s="13"/>
      <c r="F2161" s="227"/>
      <c r="G2161" s="13"/>
      <c r="H2161" s="107"/>
      <c r="I2161" s="13"/>
      <c r="J2161" s="107"/>
      <c r="K2161" s="107"/>
      <c r="L2161" s="13"/>
    </row>
    <row r="2162" ht="15.75" customHeight="1">
      <c r="A2162" s="13"/>
      <c r="B2162" s="13"/>
      <c r="C2162" s="13"/>
      <c r="D2162" s="13"/>
      <c r="E2162" s="13"/>
      <c r="F2162" s="227"/>
      <c r="G2162" s="13"/>
      <c r="H2162" s="107"/>
      <c r="I2162" s="13"/>
      <c r="J2162" s="107"/>
      <c r="K2162" s="107"/>
      <c r="L2162" s="13"/>
    </row>
    <row r="2163" ht="15.75" customHeight="1">
      <c r="A2163" s="13"/>
      <c r="B2163" s="13"/>
      <c r="C2163" s="13"/>
      <c r="D2163" s="13"/>
      <c r="E2163" s="13"/>
      <c r="F2163" s="227"/>
      <c r="G2163" s="13"/>
      <c r="H2163" s="107"/>
      <c r="I2163" s="13"/>
      <c r="J2163" s="107"/>
      <c r="K2163" s="107"/>
      <c r="L2163" s="13"/>
    </row>
    <row r="2164" ht="15.75" customHeight="1">
      <c r="A2164" s="13"/>
      <c r="B2164" s="13"/>
      <c r="C2164" s="13"/>
      <c r="D2164" s="13"/>
      <c r="E2164" s="13"/>
      <c r="F2164" s="227"/>
      <c r="G2164" s="13"/>
      <c r="H2164" s="107"/>
      <c r="I2164" s="13"/>
      <c r="J2164" s="107"/>
      <c r="K2164" s="107"/>
      <c r="L2164" s="13"/>
    </row>
    <row r="2165" ht="15.75" customHeight="1">
      <c r="A2165" s="13"/>
      <c r="B2165" s="13"/>
      <c r="C2165" s="13"/>
      <c r="D2165" s="13"/>
      <c r="E2165" s="13"/>
      <c r="F2165" s="227"/>
      <c r="G2165" s="13"/>
      <c r="H2165" s="107"/>
      <c r="I2165" s="13"/>
      <c r="J2165" s="107"/>
      <c r="K2165" s="107"/>
      <c r="L2165" s="13"/>
    </row>
    <row r="2166" ht="15.75" customHeight="1">
      <c r="A2166" s="13"/>
      <c r="B2166" s="13"/>
      <c r="C2166" s="13"/>
      <c r="D2166" s="13"/>
      <c r="E2166" s="13"/>
      <c r="F2166" s="227"/>
      <c r="G2166" s="13"/>
      <c r="H2166" s="107"/>
      <c r="I2166" s="13"/>
      <c r="J2166" s="107"/>
      <c r="K2166" s="107"/>
      <c r="L2166" s="13"/>
    </row>
    <row r="2167" ht="15.75" customHeight="1">
      <c r="A2167" s="13"/>
      <c r="B2167" s="13"/>
      <c r="C2167" s="13"/>
      <c r="D2167" s="13"/>
      <c r="E2167" s="13"/>
      <c r="F2167" s="227"/>
      <c r="G2167" s="13"/>
      <c r="H2167" s="107"/>
      <c r="I2167" s="13"/>
      <c r="J2167" s="107"/>
      <c r="K2167" s="107"/>
      <c r="L2167" s="13"/>
    </row>
    <row r="2168" ht="15.75" customHeight="1">
      <c r="A2168" s="13"/>
      <c r="B2168" s="13"/>
      <c r="C2168" s="13"/>
      <c r="D2168" s="13"/>
      <c r="E2168" s="13"/>
      <c r="F2168" s="227"/>
      <c r="G2168" s="13"/>
      <c r="H2168" s="107"/>
      <c r="I2168" s="13"/>
      <c r="J2168" s="107"/>
      <c r="K2168" s="107"/>
      <c r="L2168" s="13"/>
    </row>
    <row r="2169" ht="15.75" customHeight="1">
      <c r="A2169" s="13"/>
      <c r="B2169" s="13"/>
      <c r="C2169" s="13"/>
      <c r="D2169" s="13"/>
      <c r="E2169" s="13"/>
      <c r="F2169" s="227"/>
      <c r="G2169" s="13"/>
      <c r="H2169" s="107"/>
      <c r="I2169" s="13"/>
      <c r="J2169" s="107"/>
      <c r="K2169" s="107"/>
      <c r="L2169" s="13"/>
    </row>
    <row r="2170" ht="15.75" customHeight="1">
      <c r="A2170" s="13"/>
      <c r="B2170" s="13"/>
      <c r="C2170" s="13"/>
      <c r="D2170" s="13"/>
      <c r="E2170" s="13"/>
      <c r="F2170" s="227"/>
      <c r="G2170" s="13"/>
      <c r="H2170" s="107"/>
      <c r="I2170" s="13"/>
      <c r="J2170" s="107"/>
      <c r="K2170" s="107"/>
      <c r="L2170" s="13"/>
    </row>
    <row r="2171" ht="15.75" customHeight="1">
      <c r="A2171" s="13"/>
      <c r="B2171" s="13"/>
      <c r="C2171" s="13"/>
      <c r="D2171" s="13"/>
      <c r="E2171" s="13"/>
      <c r="F2171" s="227"/>
      <c r="G2171" s="13"/>
      <c r="H2171" s="107"/>
      <c r="I2171" s="13"/>
      <c r="J2171" s="107"/>
      <c r="K2171" s="107"/>
      <c r="L2171" s="13"/>
    </row>
    <row r="2172" ht="15.75" customHeight="1">
      <c r="A2172" s="13"/>
      <c r="B2172" s="13"/>
      <c r="C2172" s="13"/>
      <c r="D2172" s="13"/>
      <c r="E2172" s="13"/>
      <c r="F2172" s="227"/>
      <c r="G2172" s="13"/>
      <c r="H2172" s="107"/>
      <c r="I2172" s="13"/>
      <c r="J2172" s="107"/>
      <c r="K2172" s="107"/>
      <c r="L2172" s="13"/>
    </row>
    <row r="2173" ht="15.75" customHeight="1">
      <c r="A2173" s="13"/>
      <c r="B2173" s="13"/>
      <c r="C2173" s="13"/>
      <c r="D2173" s="13"/>
      <c r="E2173" s="13"/>
      <c r="F2173" s="227"/>
      <c r="G2173" s="13"/>
      <c r="H2173" s="107"/>
      <c r="I2173" s="13"/>
      <c r="J2173" s="107"/>
      <c r="K2173" s="107"/>
      <c r="L2173" s="13"/>
    </row>
    <row r="2174" ht="15.75" customHeight="1">
      <c r="A2174" s="13"/>
      <c r="B2174" s="13"/>
      <c r="C2174" s="13"/>
      <c r="D2174" s="13"/>
      <c r="E2174" s="13"/>
      <c r="F2174" s="227"/>
      <c r="G2174" s="13"/>
      <c r="H2174" s="107"/>
      <c r="I2174" s="13"/>
      <c r="J2174" s="107"/>
      <c r="K2174" s="107"/>
      <c r="L2174" s="13"/>
    </row>
    <row r="2175" ht="15.75" customHeight="1">
      <c r="A2175" s="13"/>
      <c r="B2175" s="13"/>
      <c r="C2175" s="13"/>
      <c r="D2175" s="13"/>
      <c r="E2175" s="13"/>
      <c r="F2175" s="227"/>
      <c r="G2175" s="13"/>
      <c r="H2175" s="107"/>
      <c r="I2175" s="13"/>
      <c r="J2175" s="107"/>
      <c r="K2175" s="107"/>
      <c r="L2175" s="13"/>
    </row>
    <row r="2176" ht="15.75" customHeight="1">
      <c r="A2176" s="13"/>
      <c r="B2176" s="13"/>
      <c r="C2176" s="13"/>
      <c r="D2176" s="13"/>
      <c r="E2176" s="13"/>
      <c r="F2176" s="227"/>
      <c r="G2176" s="13"/>
      <c r="H2176" s="107"/>
      <c r="I2176" s="13"/>
      <c r="J2176" s="107"/>
      <c r="K2176" s="107"/>
      <c r="L2176" s="13"/>
    </row>
    <row r="2177" ht="15.75" customHeight="1">
      <c r="A2177" s="13"/>
      <c r="B2177" s="13"/>
      <c r="C2177" s="13"/>
      <c r="D2177" s="13"/>
      <c r="E2177" s="13"/>
      <c r="F2177" s="227"/>
      <c r="G2177" s="13"/>
      <c r="H2177" s="107"/>
      <c r="I2177" s="13"/>
      <c r="J2177" s="107"/>
      <c r="K2177" s="107"/>
      <c r="L2177" s="13"/>
    </row>
    <row r="2178" ht="15.75" customHeight="1">
      <c r="A2178" s="13"/>
      <c r="B2178" s="13"/>
      <c r="C2178" s="13"/>
      <c r="D2178" s="13"/>
      <c r="E2178" s="13"/>
      <c r="F2178" s="227"/>
      <c r="G2178" s="13"/>
      <c r="H2178" s="107"/>
      <c r="I2178" s="13"/>
      <c r="J2178" s="107"/>
      <c r="K2178" s="107"/>
      <c r="L2178" s="13"/>
    </row>
    <row r="2179" ht="15.75" customHeight="1">
      <c r="A2179" s="13"/>
      <c r="B2179" s="13"/>
      <c r="C2179" s="13"/>
      <c r="D2179" s="13"/>
      <c r="E2179" s="13"/>
      <c r="F2179" s="227"/>
      <c r="G2179" s="13"/>
      <c r="H2179" s="107"/>
      <c r="I2179" s="13"/>
      <c r="J2179" s="107"/>
      <c r="K2179" s="107"/>
      <c r="L2179" s="13"/>
    </row>
    <row r="2180" ht="15.75" customHeight="1">
      <c r="A2180" s="13"/>
      <c r="B2180" s="13"/>
      <c r="C2180" s="13"/>
      <c r="D2180" s="13"/>
      <c r="E2180" s="13"/>
      <c r="F2180" s="227"/>
      <c r="G2180" s="13"/>
      <c r="H2180" s="107"/>
      <c r="I2180" s="13"/>
      <c r="J2180" s="107"/>
      <c r="K2180" s="107"/>
      <c r="L2180" s="13"/>
    </row>
    <row r="2181" ht="15.75" customHeight="1">
      <c r="A2181" s="13"/>
      <c r="B2181" s="13"/>
      <c r="C2181" s="13"/>
      <c r="D2181" s="13"/>
      <c r="E2181" s="13"/>
      <c r="F2181" s="227"/>
      <c r="G2181" s="13"/>
      <c r="H2181" s="107"/>
      <c r="I2181" s="13"/>
      <c r="J2181" s="107"/>
      <c r="K2181" s="107"/>
      <c r="L2181" s="13"/>
    </row>
    <row r="2182" ht="15.75" customHeight="1">
      <c r="A2182" s="13"/>
      <c r="B2182" s="13"/>
      <c r="C2182" s="13"/>
      <c r="D2182" s="13"/>
      <c r="E2182" s="13"/>
      <c r="F2182" s="227"/>
      <c r="G2182" s="13"/>
      <c r="H2182" s="107"/>
      <c r="I2182" s="13"/>
      <c r="J2182" s="107"/>
      <c r="K2182" s="107"/>
      <c r="L2182" s="13"/>
    </row>
    <row r="2183" ht="15.75" customHeight="1">
      <c r="A2183" s="13"/>
      <c r="B2183" s="13"/>
      <c r="C2183" s="13"/>
      <c r="D2183" s="13"/>
      <c r="E2183" s="13"/>
      <c r="F2183" s="227"/>
      <c r="G2183" s="13"/>
      <c r="H2183" s="107"/>
      <c r="I2183" s="13"/>
      <c r="J2183" s="107"/>
      <c r="K2183" s="107"/>
      <c r="L2183" s="13"/>
    </row>
    <row r="2184" ht="15.75" customHeight="1">
      <c r="A2184" s="13"/>
      <c r="B2184" s="13"/>
      <c r="C2184" s="13"/>
      <c r="D2184" s="13"/>
      <c r="E2184" s="13"/>
      <c r="F2184" s="227"/>
      <c r="G2184" s="13"/>
      <c r="H2184" s="107"/>
      <c r="I2184" s="13"/>
      <c r="J2184" s="107"/>
      <c r="K2184" s="107"/>
      <c r="L2184" s="13"/>
    </row>
    <row r="2185" ht="15.75" customHeight="1">
      <c r="A2185" s="13"/>
      <c r="B2185" s="13"/>
      <c r="C2185" s="13"/>
      <c r="D2185" s="13"/>
      <c r="E2185" s="13"/>
      <c r="F2185" s="227"/>
      <c r="G2185" s="13"/>
      <c r="H2185" s="107"/>
      <c r="I2185" s="13"/>
      <c r="J2185" s="107"/>
      <c r="K2185" s="107"/>
      <c r="L2185" s="13"/>
    </row>
    <row r="2186" ht="15.75" customHeight="1">
      <c r="A2186" s="13"/>
      <c r="B2186" s="13"/>
      <c r="C2186" s="13"/>
      <c r="D2186" s="13"/>
      <c r="E2186" s="13"/>
      <c r="F2186" s="227"/>
      <c r="G2186" s="13"/>
      <c r="H2186" s="107"/>
      <c r="I2186" s="13"/>
      <c r="J2186" s="107"/>
      <c r="K2186" s="107"/>
      <c r="L2186" s="13"/>
    </row>
    <row r="2187" ht="15.75" customHeight="1">
      <c r="A2187" s="13"/>
      <c r="B2187" s="13"/>
      <c r="C2187" s="13"/>
      <c r="D2187" s="13"/>
      <c r="E2187" s="13"/>
      <c r="F2187" s="227"/>
      <c r="G2187" s="13"/>
      <c r="H2187" s="107"/>
      <c r="I2187" s="13"/>
      <c r="J2187" s="107"/>
      <c r="K2187" s="107"/>
      <c r="L2187" s="13"/>
    </row>
    <row r="2188" ht="15.75" customHeight="1">
      <c r="A2188" s="13"/>
      <c r="B2188" s="13"/>
      <c r="C2188" s="13"/>
      <c r="D2188" s="13"/>
      <c r="E2188" s="13"/>
      <c r="F2188" s="227"/>
      <c r="G2188" s="13"/>
      <c r="H2188" s="107"/>
      <c r="I2188" s="13"/>
      <c r="J2188" s="107"/>
      <c r="K2188" s="107"/>
      <c r="L2188" s="13"/>
    </row>
    <row r="2189" ht="15.75" customHeight="1">
      <c r="A2189" s="13"/>
      <c r="B2189" s="13"/>
      <c r="C2189" s="13"/>
      <c r="D2189" s="13"/>
      <c r="E2189" s="13"/>
      <c r="F2189" s="227"/>
      <c r="G2189" s="13"/>
      <c r="H2189" s="107"/>
      <c r="I2189" s="13"/>
      <c r="J2189" s="107"/>
      <c r="K2189" s="107"/>
      <c r="L2189" s="13"/>
    </row>
    <row r="2190" ht="15.75" customHeight="1">
      <c r="A2190" s="13"/>
      <c r="B2190" s="13"/>
      <c r="C2190" s="13"/>
      <c r="D2190" s="13"/>
      <c r="E2190" s="13"/>
      <c r="F2190" s="227"/>
      <c r="G2190" s="13"/>
      <c r="H2190" s="107"/>
      <c r="I2190" s="13"/>
      <c r="J2190" s="107"/>
      <c r="K2190" s="107"/>
      <c r="L2190" s="13"/>
    </row>
    <row r="2191" ht="15.75" customHeight="1">
      <c r="A2191" s="13"/>
      <c r="B2191" s="13"/>
      <c r="C2191" s="13"/>
      <c r="D2191" s="13"/>
      <c r="E2191" s="13"/>
      <c r="F2191" s="227"/>
      <c r="G2191" s="13"/>
      <c r="H2191" s="107"/>
      <c r="I2191" s="13"/>
      <c r="J2191" s="107"/>
      <c r="K2191" s="107"/>
      <c r="L2191" s="13"/>
    </row>
    <row r="2192" ht="15.75" customHeight="1">
      <c r="A2192" s="13"/>
      <c r="B2192" s="13"/>
      <c r="C2192" s="13"/>
      <c r="D2192" s="13"/>
      <c r="E2192" s="13"/>
      <c r="F2192" s="227"/>
      <c r="G2192" s="13"/>
      <c r="H2192" s="107"/>
      <c r="I2192" s="13"/>
      <c r="J2192" s="107"/>
      <c r="K2192" s="107"/>
      <c r="L2192" s="13"/>
    </row>
    <row r="2193" ht="15.75" customHeight="1">
      <c r="A2193" s="13"/>
      <c r="B2193" s="13"/>
      <c r="C2193" s="13"/>
      <c r="D2193" s="13"/>
      <c r="E2193" s="13"/>
      <c r="F2193" s="227"/>
      <c r="G2193" s="13"/>
      <c r="H2193" s="107"/>
      <c r="I2193" s="13"/>
      <c r="J2193" s="107"/>
      <c r="K2193" s="107"/>
      <c r="L2193" s="13"/>
    </row>
    <row r="2194" ht="15.75" customHeight="1">
      <c r="A2194" s="13"/>
      <c r="B2194" s="13"/>
      <c r="C2194" s="13"/>
      <c r="D2194" s="13"/>
      <c r="E2194" s="13"/>
      <c r="F2194" s="227"/>
      <c r="G2194" s="13"/>
      <c r="H2194" s="107"/>
      <c r="I2194" s="13"/>
      <c r="J2194" s="107"/>
      <c r="K2194" s="107"/>
      <c r="L2194" s="13"/>
    </row>
    <row r="2195" ht="15.75" customHeight="1">
      <c r="A2195" s="13"/>
      <c r="B2195" s="13"/>
      <c r="C2195" s="13"/>
      <c r="D2195" s="13"/>
      <c r="E2195" s="13"/>
      <c r="F2195" s="227"/>
      <c r="G2195" s="13"/>
      <c r="H2195" s="107"/>
      <c r="I2195" s="13"/>
      <c r="J2195" s="107"/>
      <c r="K2195" s="107"/>
      <c r="L2195" s="13"/>
    </row>
    <row r="2196" ht="15.75" customHeight="1">
      <c r="A2196" s="13"/>
      <c r="B2196" s="13"/>
      <c r="C2196" s="13"/>
      <c r="D2196" s="13"/>
      <c r="E2196" s="13"/>
      <c r="F2196" s="227"/>
      <c r="G2196" s="13"/>
      <c r="H2196" s="107"/>
      <c r="I2196" s="13"/>
      <c r="J2196" s="107"/>
      <c r="K2196" s="107"/>
      <c r="L2196" s="13"/>
    </row>
    <row r="2197" ht="15.75" customHeight="1">
      <c r="A2197" s="13"/>
      <c r="B2197" s="13"/>
      <c r="C2197" s="13"/>
      <c r="D2197" s="13"/>
      <c r="E2197" s="13"/>
      <c r="F2197" s="227"/>
      <c r="G2197" s="13"/>
      <c r="H2197" s="107"/>
      <c r="I2197" s="13"/>
      <c r="J2197" s="107"/>
      <c r="K2197" s="107"/>
      <c r="L2197" s="13"/>
    </row>
    <row r="2198" ht="15.75" customHeight="1">
      <c r="A2198" s="13"/>
      <c r="B2198" s="13"/>
      <c r="C2198" s="13"/>
      <c r="D2198" s="13"/>
      <c r="E2198" s="13"/>
      <c r="F2198" s="227"/>
      <c r="G2198" s="13"/>
      <c r="H2198" s="107"/>
      <c r="I2198" s="13"/>
      <c r="J2198" s="107"/>
      <c r="K2198" s="107"/>
      <c r="L2198" s="13"/>
    </row>
    <row r="2199" ht="15.75" customHeight="1">
      <c r="A2199" s="13"/>
      <c r="B2199" s="13"/>
      <c r="C2199" s="13"/>
      <c r="D2199" s="13"/>
      <c r="E2199" s="13"/>
      <c r="F2199" s="227"/>
      <c r="G2199" s="13"/>
      <c r="H2199" s="107"/>
      <c r="I2199" s="13"/>
      <c r="J2199" s="107"/>
      <c r="K2199" s="107"/>
      <c r="L2199" s="13"/>
    </row>
    <row r="2200" ht="15.75" customHeight="1">
      <c r="A2200" s="13"/>
      <c r="B2200" s="13"/>
      <c r="C2200" s="13"/>
      <c r="D2200" s="13"/>
      <c r="E2200" s="13"/>
      <c r="F2200" s="227"/>
      <c r="G2200" s="13"/>
      <c r="H2200" s="107"/>
      <c r="I2200" s="13"/>
      <c r="J2200" s="107"/>
      <c r="K2200" s="107"/>
      <c r="L2200" s="13"/>
    </row>
    <row r="2201" ht="15.75" customHeight="1">
      <c r="A2201" s="13"/>
      <c r="B2201" s="13"/>
      <c r="C2201" s="13"/>
      <c r="D2201" s="13"/>
      <c r="E2201" s="13"/>
      <c r="F2201" s="227"/>
      <c r="G2201" s="13"/>
      <c r="H2201" s="107"/>
      <c r="I2201" s="13"/>
      <c r="J2201" s="107"/>
      <c r="K2201" s="107"/>
      <c r="L2201" s="13"/>
    </row>
    <row r="2202" ht="15.75" customHeight="1">
      <c r="A2202" s="13"/>
      <c r="B2202" s="13"/>
      <c r="C2202" s="13"/>
      <c r="D2202" s="13"/>
      <c r="E2202" s="13"/>
      <c r="F2202" s="227"/>
      <c r="G2202" s="13"/>
      <c r="H2202" s="107"/>
      <c r="I2202" s="13"/>
      <c r="J2202" s="107"/>
      <c r="K2202" s="107"/>
      <c r="L2202" s="13"/>
    </row>
    <row r="2203" ht="15.75" customHeight="1">
      <c r="A2203" s="13"/>
      <c r="B2203" s="13"/>
      <c r="C2203" s="13"/>
      <c r="D2203" s="13"/>
      <c r="E2203" s="13"/>
      <c r="F2203" s="227"/>
      <c r="G2203" s="13"/>
      <c r="H2203" s="107"/>
      <c r="I2203" s="13"/>
      <c r="J2203" s="107"/>
      <c r="K2203" s="107"/>
      <c r="L2203" s="13"/>
    </row>
    <row r="2204" ht="15.75" customHeight="1">
      <c r="A2204" s="13"/>
      <c r="B2204" s="13"/>
      <c r="C2204" s="13"/>
      <c r="D2204" s="13"/>
      <c r="E2204" s="13"/>
      <c r="F2204" s="227"/>
      <c r="G2204" s="13"/>
      <c r="H2204" s="107"/>
      <c r="I2204" s="13"/>
      <c r="J2204" s="107"/>
      <c r="K2204" s="107"/>
      <c r="L2204" s="13"/>
    </row>
    <row r="2205" ht="15.75" customHeight="1">
      <c r="A2205" s="13"/>
      <c r="B2205" s="13"/>
      <c r="C2205" s="13"/>
      <c r="D2205" s="13"/>
      <c r="E2205" s="13"/>
      <c r="F2205" s="227"/>
      <c r="G2205" s="13"/>
      <c r="H2205" s="107"/>
      <c r="I2205" s="13"/>
      <c r="J2205" s="107"/>
      <c r="K2205" s="107"/>
      <c r="L2205" s="13"/>
    </row>
    <row r="2206" ht="15.75" customHeight="1">
      <c r="A2206" s="13"/>
      <c r="B2206" s="13"/>
      <c r="C2206" s="13"/>
      <c r="D2206" s="13"/>
      <c r="E2206" s="13"/>
      <c r="F2206" s="227"/>
      <c r="G2206" s="13"/>
      <c r="H2206" s="107"/>
      <c r="I2206" s="13"/>
      <c r="J2206" s="107"/>
      <c r="K2206" s="107"/>
      <c r="L2206" s="13"/>
    </row>
    <row r="2207" ht="15.75" customHeight="1">
      <c r="A2207" s="13"/>
      <c r="B2207" s="13"/>
      <c r="C2207" s="13"/>
      <c r="D2207" s="13"/>
      <c r="E2207" s="13"/>
      <c r="F2207" s="227"/>
      <c r="G2207" s="13"/>
      <c r="H2207" s="107"/>
      <c r="I2207" s="13"/>
      <c r="J2207" s="107"/>
      <c r="K2207" s="107"/>
      <c r="L2207" s="13"/>
    </row>
    <row r="2208" ht="15.75" customHeight="1">
      <c r="A2208" s="13"/>
      <c r="B2208" s="13"/>
      <c r="C2208" s="13"/>
      <c r="D2208" s="13"/>
      <c r="E2208" s="13"/>
      <c r="F2208" s="227"/>
      <c r="G2208" s="13"/>
      <c r="H2208" s="107"/>
      <c r="I2208" s="13"/>
      <c r="J2208" s="107"/>
      <c r="K2208" s="107"/>
      <c r="L2208" s="13"/>
    </row>
    <row r="2209" ht="15.75" customHeight="1">
      <c r="A2209" s="13"/>
      <c r="B2209" s="13"/>
      <c r="C2209" s="13"/>
      <c r="D2209" s="13"/>
      <c r="E2209" s="13"/>
      <c r="F2209" s="227"/>
      <c r="G2209" s="13"/>
      <c r="H2209" s="107"/>
      <c r="I2209" s="13"/>
      <c r="J2209" s="107"/>
      <c r="K2209" s="107"/>
      <c r="L2209" s="13"/>
    </row>
    <row r="2210" ht="15.75" customHeight="1">
      <c r="A2210" s="13"/>
      <c r="B2210" s="13"/>
      <c r="C2210" s="13"/>
      <c r="D2210" s="13"/>
      <c r="E2210" s="13"/>
      <c r="F2210" s="227"/>
      <c r="G2210" s="13"/>
      <c r="H2210" s="107"/>
      <c r="I2210" s="13"/>
      <c r="J2210" s="107"/>
      <c r="K2210" s="107"/>
      <c r="L2210" s="13"/>
    </row>
    <row r="2211" ht="15.75" customHeight="1">
      <c r="A2211" s="13"/>
      <c r="B2211" s="13"/>
      <c r="C2211" s="13"/>
      <c r="D2211" s="13"/>
      <c r="E2211" s="13"/>
      <c r="F2211" s="227"/>
      <c r="G2211" s="13"/>
      <c r="H2211" s="107"/>
      <c r="I2211" s="13"/>
      <c r="J2211" s="107"/>
      <c r="K2211" s="107"/>
      <c r="L2211" s="13"/>
    </row>
    <row r="2212" ht="15.75" customHeight="1">
      <c r="A2212" s="13"/>
      <c r="B2212" s="13"/>
      <c r="C2212" s="13"/>
      <c r="D2212" s="13"/>
      <c r="E2212" s="13"/>
      <c r="F2212" s="227"/>
      <c r="G2212" s="13"/>
      <c r="H2212" s="107"/>
      <c r="I2212" s="13"/>
      <c r="J2212" s="107"/>
      <c r="K2212" s="107"/>
      <c r="L2212" s="13"/>
    </row>
    <row r="2213" ht="15.75" customHeight="1">
      <c r="A2213" s="13"/>
      <c r="B2213" s="13"/>
      <c r="C2213" s="13"/>
      <c r="D2213" s="13"/>
      <c r="E2213" s="13"/>
      <c r="F2213" s="227"/>
      <c r="G2213" s="13"/>
      <c r="H2213" s="107"/>
      <c r="I2213" s="13"/>
      <c r="J2213" s="107"/>
      <c r="K2213" s="107"/>
      <c r="L2213" s="13"/>
    </row>
    <row r="2214" ht="15.75" customHeight="1">
      <c r="A2214" s="13"/>
      <c r="B2214" s="13"/>
      <c r="C2214" s="13"/>
      <c r="D2214" s="13"/>
      <c r="E2214" s="13"/>
      <c r="F2214" s="227"/>
      <c r="G2214" s="13"/>
      <c r="H2214" s="107"/>
      <c r="I2214" s="13"/>
      <c r="J2214" s="107"/>
      <c r="K2214" s="107"/>
      <c r="L2214" s="13"/>
    </row>
    <row r="2215" ht="15.75" customHeight="1">
      <c r="A2215" s="13"/>
      <c r="B2215" s="13"/>
      <c r="C2215" s="13"/>
      <c r="D2215" s="13"/>
      <c r="E2215" s="13"/>
      <c r="F2215" s="227"/>
      <c r="G2215" s="13"/>
      <c r="H2215" s="107"/>
      <c r="I2215" s="13"/>
      <c r="J2215" s="107"/>
      <c r="K2215" s="107"/>
      <c r="L2215" s="13"/>
    </row>
    <row r="2216" ht="15.75" customHeight="1">
      <c r="A2216" s="13"/>
      <c r="B2216" s="13"/>
      <c r="C2216" s="13"/>
      <c r="D2216" s="13"/>
      <c r="E2216" s="13"/>
      <c r="F2216" s="227"/>
      <c r="G2216" s="13"/>
      <c r="H2216" s="107"/>
      <c r="I2216" s="13"/>
      <c r="J2216" s="107"/>
      <c r="K2216" s="107"/>
      <c r="L2216" s="13"/>
    </row>
    <row r="2217" ht="15.75" customHeight="1">
      <c r="A2217" s="13"/>
      <c r="B2217" s="13"/>
      <c r="C2217" s="13"/>
      <c r="D2217" s="13"/>
      <c r="E2217" s="13"/>
      <c r="F2217" s="227"/>
      <c r="G2217" s="13"/>
      <c r="H2217" s="107"/>
      <c r="I2217" s="13"/>
      <c r="J2217" s="107"/>
      <c r="K2217" s="107"/>
      <c r="L2217" s="13"/>
    </row>
    <row r="2218" ht="15.75" customHeight="1">
      <c r="A2218" s="13"/>
      <c r="B2218" s="13"/>
      <c r="C2218" s="13"/>
      <c r="D2218" s="13"/>
      <c r="E2218" s="13"/>
      <c r="F2218" s="227"/>
      <c r="G2218" s="13"/>
      <c r="H2218" s="107"/>
      <c r="I2218" s="13"/>
      <c r="J2218" s="107"/>
      <c r="K2218" s="107"/>
      <c r="L2218" s="13"/>
    </row>
    <row r="2219" ht="15.75" customHeight="1">
      <c r="A2219" s="13"/>
      <c r="B2219" s="13"/>
      <c r="C2219" s="13"/>
      <c r="D2219" s="13"/>
      <c r="E2219" s="13"/>
      <c r="F2219" s="227"/>
      <c r="G2219" s="13"/>
      <c r="H2219" s="107"/>
      <c r="I2219" s="13"/>
      <c r="J2219" s="107"/>
      <c r="K2219" s="107"/>
      <c r="L2219" s="13"/>
    </row>
    <row r="2220" ht="15.75" customHeight="1">
      <c r="A2220" s="13"/>
      <c r="B2220" s="13"/>
      <c r="C2220" s="13"/>
      <c r="D2220" s="13"/>
      <c r="E2220" s="13"/>
      <c r="F2220" s="227"/>
      <c r="G2220" s="13"/>
      <c r="H2220" s="107"/>
      <c r="I2220" s="13"/>
      <c r="J2220" s="107"/>
      <c r="K2220" s="107"/>
      <c r="L2220" s="13"/>
    </row>
    <row r="2221" ht="15.75" customHeight="1">
      <c r="A2221" s="13"/>
      <c r="B2221" s="13"/>
      <c r="C2221" s="13"/>
      <c r="D2221" s="13"/>
      <c r="E2221" s="13"/>
      <c r="F2221" s="227"/>
      <c r="G2221" s="13"/>
      <c r="H2221" s="107"/>
      <c r="I2221" s="13"/>
      <c r="J2221" s="107"/>
      <c r="K2221" s="107"/>
      <c r="L2221" s="13"/>
    </row>
    <row r="2222" ht="15.75" customHeight="1">
      <c r="A2222" s="13"/>
      <c r="B2222" s="13"/>
      <c r="C2222" s="13"/>
      <c r="D2222" s="13"/>
      <c r="E2222" s="13"/>
      <c r="F2222" s="227"/>
      <c r="G2222" s="13"/>
      <c r="H2222" s="107"/>
      <c r="I2222" s="13"/>
      <c r="J2222" s="107"/>
      <c r="K2222" s="107"/>
      <c r="L2222" s="13"/>
    </row>
    <row r="2223" ht="15.75" customHeight="1">
      <c r="A2223" s="13"/>
      <c r="B2223" s="13"/>
      <c r="C2223" s="13"/>
      <c r="D2223" s="13"/>
      <c r="E2223" s="13"/>
      <c r="F2223" s="227"/>
      <c r="G2223" s="13"/>
      <c r="H2223" s="107"/>
      <c r="I2223" s="13"/>
      <c r="J2223" s="107"/>
      <c r="K2223" s="107"/>
      <c r="L2223" s="13"/>
    </row>
    <row r="2224" ht="15.75" customHeight="1">
      <c r="A2224" s="13"/>
      <c r="B2224" s="13"/>
      <c r="C2224" s="13"/>
      <c r="D2224" s="13"/>
      <c r="E2224" s="13"/>
      <c r="F2224" s="227"/>
      <c r="G2224" s="13"/>
      <c r="H2224" s="107"/>
      <c r="I2224" s="13"/>
      <c r="J2224" s="107"/>
      <c r="K2224" s="107"/>
      <c r="L2224" s="13"/>
    </row>
    <row r="2225" ht="15.75" customHeight="1">
      <c r="A2225" s="13"/>
      <c r="B2225" s="13"/>
      <c r="C2225" s="13"/>
      <c r="D2225" s="13"/>
      <c r="E2225" s="13"/>
      <c r="F2225" s="227"/>
      <c r="G2225" s="13"/>
      <c r="H2225" s="107"/>
      <c r="I2225" s="13"/>
      <c r="J2225" s="107"/>
      <c r="K2225" s="107"/>
      <c r="L2225" s="13"/>
    </row>
    <row r="2226" ht="15.75" customHeight="1">
      <c r="A2226" s="13"/>
      <c r="B2226" s="13"/>
      <c r="C2226" s="13"/>
      <c r="D2226" s="13"/>
      <c r="E2226" s="13"/>
      <c r="F2226" s="227"/>
      <c r="G2226" s="13"/>
      <c r="H2226" s="107"/>
      <c r="I2226" s="13"/>
      <c r="J2226" s="107"/>
      <c r="K2226" s="107"/>
      <c r="L2226" s="13"/>
    </row>
    <row r="2227" ht="15.75" customHeight="1">
      <c r="A2227" s="13"/>
      <c r="B2227" s="13"/>
      <c r="C2227" s="13"/>
      <c r="D2227" s="13"/>
      <c r="E2227" s="13"/>
      <c r="F2227" s="227"/>
      <c r="G2227" s="13"/>
      <c r="H2227" s="107"/>
      <c r="I2227" s="13"/>
      <c r="J2227" s="107"/>
      <c r="K2227" s="107"/>
      <c r="L2227" s="13"/>
    </row>
    <row r="2228" ht="15.75" customHeight="1">
      <c r="A2228" s="13"/>
      <c r="B2228" s="13"/>
      <c r="C2228" s="13"/>
      <c r="D2228" s="13"/>
      <c r="E2228" s="13"/>
      <c r="F2228" s="227"/>
      <c r="G2228" s="13"/>
      <c r="H2228" s="107"/>
      <c r="I2228" s="13"/>
      <c r="J2228" s="107"/>
      <c r="K2228" s="107"/>
      <c r="L2228" s="13"/>
    </row>
    <row r="2229" ht="15.75" customHeight="1">
      <c r="A2229" s="13"/>
      <c r="B2229" s="13"/>
      <c r="C2229" s="13"/>
      <c r="D2229" s="13"/>
      <c r="E2229" s="13"/>
      <c r="F2229" s="227"/>
      <c r="G2229" s="13"/>
      <c r="H2229" s="107"/>
      <c r="I2229" s="13"/>
      <c r="J2229" s="107"/>
      <c r="K2229" s="107"/>
      <c r="L2229" s="13"/>
    </row>
    <row r="2230" ht="15.75" customHeight="1">
      <c r="A2230" s="13"/>
      <c r="B2230" s="13"/>
      <c r="C2230" s="13"/>
      <c r="D2230" s="13"/>
      <c r="E2230" s="13"/>
      <c r="F2230" s="227"/>
      <c r="G2230" s="13"/>
      <c r="H2230" s="107"/>
      <c r="I2230" s="13"/>
      <c r="J2230" s="107"/>
      <c r="K2230" s="107"/>
      <c r="L2230" s="13"/>
    </row>
    <row r="2231" ht="15.75" customHeight="1">
      <c r="A2231" s="13"/>
      <c r="B2231" s="13"/>
      <c r="C2231" s="13"/>
      <c r="D2231" s="13"/>
      <c r="E2231" s="13"/>
      <c r="F2231" s="227"/>
      <c r="G2231" s="13"/>
      <c r="H2231" s="107"/>
      <c r="I2231" s="13"/>
      <c r="J2231" s="107"/>
      <c r="K2231" s="107"/>
      <c r="L2231" s="13"/>
    </row>
    <row r="2232" ht="15.75" customHeight="1">
      <c r="A2232" s="13"/>
      <c r="B2232" s="13"/>
      <c r="C2232" s="13"/>
      <c r="D2232" s="13"/>
      <c r="E2232" s="13"/>
      <c r="F2232" s="227"/>
      <c r="G2232" s="13"/>
      <c r="H2232" s="107"/>
      <c r="I2232" s="13"/>
      <c r="J2232" s="107"/>
      <c r="K2232" s="107"/>
      <c r="L2232" s="13"/>
    </row>
    <row r="2233" ht="15.75" customHeight="1">
      <c r="A2233" s="13"/>
      <c r="B2233" s="13"/>
      <c r="C2233" s="13"/>
      <c r="D2233" s="13"/>
      <c r="E2233" s="13"/>
      <c r="F2233" s="227"/>
      <c r="G2233" s="13"/>
      <c r="H2233" s="107"/>
      <c r="I2233" s="13"/>
      <c r="J2233" s="107"/>
      <c r="K2233" s="107"/>
      <c r="L2233" s="13"/>
    </row>
    <row r="2234" ht="15.75" customHeight="1">
      <c r="A2234" s="13"/>
      <c r="B2234" s="13"/>
      <c r="C2234" s="13"/>
      <c r="D2234" s="13"/>
      <c r="E2234" s="13"/>
      <c r="F2234" s="227"/>
      <c r="G2234" s="13"/>
      <c r="H2234" s="107"/>
      <c r="I2234" s="13"/>
      <c r="J2234" s="107"/>
      <c r="K2234" s="107"/>
      <c r="L2234" s="13"/>
    </row>
    <row r="2235" ht="15.75" customHeight="1">
      <c r="A2235" s="13"/>
      <c r="B2235" s="13"/>
      <c r="C2235" s="13"/>
      <c r="D2235" s="13"/>
      <c r="E2235" s="13"/>
      <c r="F2235" s="227"/>
      <c r="G2235" s="13"/>
      <c r="H2235" s="107"/>
      <c r="I2235" s="13"/>
      <c r="J2235" s="107"/>
      <c r="K2235" s="107"/>
      <c r="L2235" s="13"/>
    </row>
    <row r="2236" ht="15.75" customHeight="1">
      <c r="A2236" s="13"/>
      <c r="B2236" s="13"/>
      <c r="C2236" s="13"/>
      <c r="D2236" s="13"/>
      <c r="E2236" s="13"/>
      <c r="F2236" s="227"/>
      <c r="G2236" s="13"/>
      <c r="H2236" s="107"/>
      <c r="I2236" s="13"/>
      <c r="J2236" s="107"/>
      <c r="K2236" s="107"/>
      <c r="L2236" s="13"/>
    </row>
    <row r="2237" ht="15.75" customHeight="1">
      <c r="A2237" s="13"/>
      <c r="B2237" s="13"/>
      <c r="C2237" s="13"/>
      <c r="D2237" s="13"/>
      <c r="E2237" s="13"/>
      <c r="F2237" s="227"/>
      <c r="G2237" s="13"/>
      <c r="H2237" s="107"/>
      <c r="I2237" s="13"/>
      <c r="J2237" s="107"/>
      <c r="K2237" s="107"/>
      <c r="L2237" s="13"/>
    </row>
    <row r="2238" ht="15.75" customHeight="1">
      <c r="A2238" s="13"/>
      <c r="B2238" s="13"/>
      <c r="C2238" s="13"/>
      <c r="D2238" s="13"/>
      <c r="E2238" s="13"/>
      <c r="F2238" s="227"/>
      <c r="G2238" s="13"/>
      <c r="H2238" s="107"/>
      <c r="I2238" s="13"/>
      <c r="J2238" s="107"/>
      <c r="K2238" s="107"/>
      <c r="L2238" s="13"/>
    </row>
    <row r="2239" ht="15.75" customHeight="1">
      <c r="A2239" s="13"/>
      <c r="B2239" s="13"/>
      <c r="C2239" s="13"/>
      <c r="D2239" s="13"/>
      <c r="E2239" s="13"/>
      <c r="F2239" s="227"/>
      <c r="G2239" s="13"/>
      <c r="H2239" s="107"/>
      <c r="I2239" s="13"/>
      <c r="J2239" s="107"/>
      <c r="K2239" s="107"/>
      <c r="L2239" s="13"/>
    </row>
    <row r="2240" ht="15.75" customHeight="1">
      <c r="A2240" s="13"/>
      <c r="B2240" s="13"/>
      <c r="C2240" s="13"/>
      <c r="D2240" s="13"/>
      <c r="E2240" s="13"/>
      <c r="F2240" s="227"/>
      <c r="G2240" s="13"/>
      <c r="H2240" s="107"/>
      <c r="I2240" s="13"/>
      <c r="J2240" s="107"/>
      <c r="K2240" s="107"/>
      <c r="L2240" s="13"/>
    </row>
    <row r="2241" ht="15.75" customHeight="1">
      <c r="A2241" s="13"/>
      <c r="B2241" s="13"/>
      <c r="C2241" s="13"/>
      <c r="D2241" s="13"/>
      <c r="E2241" s="13"/>
      <c r="F2241" s="227"/>
      <c r="G2241" s="13"/>
      <c r="H2241" s="107"/>
      <c r="I2241" s="13"/>
      <c r="J2241" s="107"/>
      <c r="K2241" s="107"/>
      <c r="L2241" s="13"/>
    </row>
    <row r="2242" ht="15.75" customHeight="1">
      <c r="A2242" s="13"/>
      <c r="B2242" s="13"/>
      <c r="C2242" s="13"/>
      <c r="D2242" s="13"/>
      <c r="E2242" s="13"/>
      <c r="F2242" s="227"/>
      <c r="G2242" s="13"/>
      <c r="H2242" s="107"/>
      <c r="I2242" s="13"/>
      <c r="J2242" s="107"/>
      <c r="K2242" s="107"/>
      <c r="L2242" s="13"/>
    </row>
    <row r="2243" ht="15.75" customHeight="1">
      <c r="A2243" s="13"/>
      <c r="B2243" s="13"/>
      <c r="C2243" s="13"/>
      <c r="D2243" s="13"/>
      <c r="E2243" s="13"/>
      <c r="F2243" s="227"/>
      <c r="G2243" s="13"/>
      <c r="H2243" s="107"/>
      <c r="I2243" s="13"/>
      <c r="J2243" s="107"/>
      <c r="K2243" s="107"/>
      <c r="L2243" s="13"/>
    </row>
    <row r="2244" ht="15.75" customHeight="1">
      <c r="A2244" s="13"/>
      <c r="B2244" s="13"/>
      <c r="C2244" s="13"/>
      <c r="D2244" s="13"/>
      <c r="E2244" s="13"/>
      <c r="F2244" s="227"/>
      <c r="G2244" s="13"/>
      <c r="H2244" s="107"/>
      <c r="I2244" s="13"/>
      <c r="J2244" s="107"/>
      <c r="K2244" s="107"/>
      <c r="L2244" s="13"/>
    </row>
    <row r="2245" ht="15.75" customHeight="1">
      <c r="A2245" s="13"/>
      <c r="B2245" s="13"/>
      <c r="C2245" s="13"/>
      <c r="D2245" s="13"/>
      <c r="E2245" s="13"/>
      <c r="F2245" s="227"/>
      <c r="G2245" s="13"/>
      <c r="H2245" s="107"/>
      <c r="I2245" s="13"/>
      <c r="J2245" s="107"/>
      <c r="K2245" s="107"/>
      <c r="L2245" s="13"/>
    </row>
    <row r="2246" ht="15.75" customHeight="1">
      <c r="A2246" s="13"/>
      <c r="B2246" s="13"/>
      <c r="C2246" s="13"/>
      <c r="D2246" s="13"/>
      <c r="E2246" s="13"/>
      <c r="F2246" s="227"/>
      <c r="G2246" s="13"/>
      <c r="H2246" s="107"/>
      <c r="I2246" s="13"/>
      <c r="J2246" s="107"/>
      <c r="K2246" s="107"/>
      <c r="L2246" s="13"/>
    </row>
    <row r="2247" ht="15.75" customHeight="1">
      <c r="A2247" s="13"/>
      <c r="B2247" s="13"/>
      <c r="C2247" s="13"/>
      <c r="D2247" s="13"/>
      <c r="E2247" s="13"/>
      <c r="F2247" s="227"/>
      <c r="G2247" s="13"/>
      <c r="H2247" s="107"/>
      <c r="I2247" s="13"/>
      <c r="J2247" s="107"/>
      <c r="K2247" s="107"/>
      <c r="L2247" s="13"/>
    </row>
    <row r="2248" ht="15.75" customHeight="1">
      <c r="A2248" s="13"/>
      <c r="B2248" s="13"/>
      <c r="C2248" s="13"/>
      <c r="D2248" s="13"/>
      <c r="E2248" s="13"/>
      <c r="F2248" s="227"/>
      <c r="G2248" s="13"/>
      <c r="H2248" s="107"/>
      <c r="I2248" s="13"/>
      <c r="J2248" s="107"/>
      <c r="K2248" s="107"/>
      <c r="L2248" s="13"/>
    </row>
    <row r="2249" ht="15.75" customHeight="1">
      <c r="A2249" s="13"/>
      <c r="B2249" s="13"/>
      <c r="C2249" s="13"/>
      <c r="D2249" s="13"/>
      <c r="E2249" s="13"/>
      <c r="F2249" s="227"/>
      <c r="G2249" s="13"/>
      <c r="H2249" s="107"/>
      <c r="I2249" s="13"/>
      <c r="J2249" s="107"/>
      <c r="K2249" s="107"/>
      <c r="L2249" s="13"/>
    </row>
    <row r="2250" ht="15.75" customHeight="1">
      <c r="A2250" s="13"/>
      <c r="B2250" s="13"/>
      <c r="C2250" s="13"/>
      <c r="D2250" s="13"/>
      <c r="E2250" s="13"/>
      <c r="F2250" s="227"/>
      <c r="G2250" s="13"/>
      <c r="H2250" s="107"/>
      <c r="I2250" s="13"/>
      <c r="J2250" s="107"/>
      <c r="K2250" s="107"/>
      <c r="L2250" s="13"/>
    </row>
    <row r="2251" ht="15.75" customHeight="1">
      <c r="A2251" s="13"/>
      <c r="B2251" s="13"/>
      <c r="C2251" s="13"/>
      <c r="D2251" s="13"/>
      <c r="E2251" s="13"/>
      <c r="F2251" s="227"/>
      <c r="G2251" s="13"/>
      <c r="H2251" s="107"/>
      <c r="I2251" s="13"/>
      <c r="J2251" s="107"/>
      <c r="K2251" s="107"/>
      <c r="L2251" s="13"/>
    </row>
    <row r="2252" ht="15.75" customHeight="1">
      <c r="A2252" s="13"/>
      <c r="B2252" s="13"/>
      <c r="C2252" s="13"/>
      <c r="D2252" s="13"/>
      <c r="E2252" s="13"/>
      <c r="F2252" s="227"/>
      <c r="G2252" s="13"/>
      <c r="H2252" s="107"/>
      <c r="I2252" s="13"/>
      <c r="J2252" s="107"/>
      <c r="K2252" s="107"/>
      <c r="L2252" s="13"/>
    </row>
    <row r="2253" ht="15.75" customHeight="1">
      <c r="A2253" s="13"/>
      <c r="B2253" s="13"/>
      <c r="C2253" s="13"/>
      <c r="D2253" s="13"/>
      <c r="E2253" s="13"/>
      <c r="F2253" s="227"/>
      <c r="G2253" s="13"/>
      <c r="H2253" s="107"/>
      <c r="I2253" s="13"/>
      <c r="J2253" s="107"/>
      <c r="K2253" s="107"/>
      <c r="L2253" s="13"/>
    </row>
    <row r="2254" ht="15.75" customHeight="1">
      <c r="A2254" s="13"/>
      <c r="B2254" s="13"/>
      <c r="C2254" s="13"/>
      <c r="D2254" s="13"/>
      <c r="E2254" s="13"/>
      <c r="F2254" s="227"/>
      <c r="G2254" s="13"/>
      <c r="H2254" s="107"/>
      <c r="I2254" s="13"/>
      <c r="J2254" s="107"/>
      <c r="K2254" s="107"/>
      <c r="L2254" s="13"/>
    </row>
    <row r="2255" ht="15.75" customHeight="1">
      <c r="A2255" s="13"/>
      <c r="B2255" s="13"/>
      <c r="C2255" s="13"/>
      <c r="D2255" s="13"/>
      <c r="E2255" s="13"/>
      <c r="F2255" s="227"/>
      <c r="G2255" s="13"/>
      <c r="H2255" s="107"/>
      <c r="I2255" s="13"/>
      <c r="J2255" s="107"/>
      <c r="K2255" s="107"/>
      <c r="L2255" s="13"/>
    </row>
    <row r="2256" ht="15.75" customHeight="1">
      <c r="A2256" s="13"/>
      <c r="B2256" s="13"/>
      <c r="C2256" s="13"/>
      <c r="D2256" s="13"/>
      <c r="E2256" s="13"/>
      <c r="F2256" s="227"/>
      <c r="G2256" s="13"/>
      <c r="H2256" s="107"/>
      <c r="I2256" s="13"/>
      <c r="J2256" s="107"/>
      <c r="K2256" s="107"/>
      <c r="L2256" s="13"/>
    </row>
    <row r="2257" ht="15.75" customHeight="1">
      <c r="A2257" s="13"/>
      <c r="B2257" s="13"/>
      <c r="C2257" s="13"/>
      <c r="D2257" s="13"/>
      <c r="E2257" s="13"/>
      <c r="F2257" s="227"/>
      <c r="G2257" s="13"/>
      <c r="H2257" s="107"/>
      <c r="I2257" s="13"/>
      <c r="J2257" s="107"/>
      <c r="K2257" s="107"/>
      <c r="L2257" s="13"/>
    </row>
    <row r="2258" ht="15.75" customHeight="1">
      <c r="A2258" s="13"/>
      <c r="B2258" s="13"/>
      <c r="C2258" s="13"/>
      <c r="D2258" s="13"/>
      <c r="E2258" s="13"/>
      <c r="F2258" s="227"/>
      <c r="G2258" s="13"/>
      <c r="H2258" s="107"/>
      <c r="I2258" s="13"/>
      <c r="J2258" s="107"/>
      <c r="K2258" s="107"/>
      <c r="L2258" s="13"/>
    </row>
    <row r="2259" ht="15.75" customHeight="1">
      <c r="A2259" s="13"/>
      <c r="B2259" s="13"/>
      <c r="C2259" s="13"/>
      <c r="D2259" s="13"/>
      <c r="E2259" s="13"/>
      <c r="F2259" s="227"/>
      <c r="G2259" s="13"/>
      <c r="H2259" s="107"/>
      <c r="I2259" s="13"/>
      <c r="J2259" s="107"/>
      <c r="K2259" s="107"/>
      <c r="L2259" s="13"/>
    </row>
    <row r="2260" ht="15.75" customHeight="1">
      <c r="A2260" s="13"/>
      <c r="B2260" s="13"/>
      <c r="C2260" s="13"/>
      <c r="D2260" s="13"/>
      <c r="E2260" s="13"/>
      <c r="F2260" s="227"/>
      <c r="G2260" s="13"/>
      <c r="H2260" s="107"/>
      <c r="I2260" s="13"/>
      <c r="J2260" s="107"/>
      <c r="K2260" s="107"/>
      <c r="L2260" s="13"/>
    </row>
    <row r="2261" ht="15.75" customHeight="1">
      <c r="A2261" s="13"/>
      <c r="B2261" s="13"/>
      <c r="C2261" s="13"/>
      <c r="D2261" s="13"/>
      <c r="E2261" s="13"/>
      <c r="F2261" s="227"/>
      <c r="G2261" s="13"/>
      <c r="H2261" s="107"/>
      <c r="I2261" s="13"/>
      <c r="J2261" s="107"/>
      <c r="K2261" s="107"/>
      <c r="L2261" s="13"/>
    </row>
    <row r="2262" ht="15.75" customHeight="1">
      <c r="A2262" s="13"/>
      <c r="B2262" s="13"/>
      <c r="C2262" s="13"/>
      <c r="D2262" s="13"/>
      <c r="E2262" s="13"/>
      <c r="F2262" s="227"/>
      <c r="G2262" s="13"/>
      <c r="H2262" s="107"/>
      <c r="I2262" s="13"/>
      <c r="J2262" s="107"/>
      <c r="K2262" s="107"/>
      <c r="L2262" s="13"/>
    </row>
    <row r="2263" ht="15.75" customHeight="1">
      <c r="A2263" s="13"/>
      <c r="B2263" s="13"/>
      <c r="C2263" s="13"/>
      <c r="D2263" s="13"/>
      <c r="E2263" s="13"/>
      <c r="F2263" s="227"/>
      <c r="G2263" s="13"/>
      <c r="H2263" s="107"/>
      <c r="I2263" s="13"/>
      <c r="J2263" s="107"/>
      <c r="K2263" s="107"/>
      <c r="L2263" s="13"/>
    </row>
    <row r="2264" ht="15.75" customHeight="1">
      <c r="A2264" s="13"/>
      <c r="B2264" s="13"/>
      <c r="C2264" s="13"/>
      <c r="D2264" s="13"/>
      <c r="E2264" s="13"/>
      <c r="F2264" s="227"/>
      <c r="G2264" s="13"/>
      <c r="H2264" s="107"/>
      <c r="I2264" s="13"/>
      <c r="J2264" s="107"/>
      <c r="K2264" s="107"/>
      <c r="L2264" s="13"/>
    </row>
    <row r="2265" ht="15.75" customHeight="1">
      <c r="A2265" s="13"/>
      <c r="B2265" s="13"/>
      <c r="C2265" s="13"/>
      <c r="D2265" s="13"/>
      <c r="E2265" s="13"/>
      <c r="F2265" s="227"/>
      <c r="G2265" s="13"/>
      <c r="H2265" s="107"/>
      <c r="I2265" s="13"/>
      <c r="J2265" s="107"/>
      <c r="K2265" s="107"/>
      <c r="L2265" s="13"/>
    </row>
    <row r="2266" ht="15.75" customHeight="1">
      <c r="A2266" s="13"/>
      <c r="B2266" s="13"/>
      <c r="C2266" s="13"/>
      <c r="D2266" s="13"/>
      <c r="E2266" s="13"/>
      <c r="F2266" s="227"/>
      <c r="G2266" s="13"/>
      <c r="H2266" s="107"/>
      <c r="I2266" s="13"/>
      <c r="J2266" s="107"/>
      <c r="K2266" s="107"/>
      <c r="L2266" s="13"/>
    </row>
    <row r="2267" ht="15.75" customHeight="1">
      <c r="A2267" s="13"/>
      <c r="B2267" s="13"/>
      <c r="C2267" s="13"/>
      <c r="D2267" s="13"/>
      <c r="E2267" s="13"/>
      <c r="F2267" s="227"/>
      <c r="G2267" s="13"/>
      <c r="H2267" s="107"/>
      <c r="I2267" s="13"/>
      <c r="J2267" s="107"/>
      <c r="K2267" s="107"/>
      <c r="L2267" s="13"/>
    </row>
    <row r="2268" ht="15.75" customHeight="1">
      <c r="A2268" s="13"/>
      <c r="B2268" s="13"/>
      <c r="C2268" s="13"/>
      <c r="D2268" s="13"/>
      <c r="E2268" s="13"/>
      <c r="F2268" s="227"/>
      <c r="G2268" s="13"/>
      <c r="H2268" s="107"/>
      <c r="I2268" s="13"/>
      <c r="J2268" s="107"/>
      <c r="K2268" s="107"/>
      <c r="L2268" s="13"/>
    </row>
    <row r="2269" ht="15.75" customHeight="1">
      <c r="A2269" s="13"/>
      <c r="B2269" s="13"/>
      <c r="C2269" s="13"/>
      <c r="D2269" s="13"/>
      <c r="E2269" s="13"/>
      <c r="F2269" s="227"/>
      <c r="G2269" s="13"/>
      <c r="H2269" s="107"/>
      <c r="I2269" s="13"/>
      <c r="J2269" s="107"/>
      <c r="K2269" s="107"/>
      <c r="L2269" s="13"/>
    </row>
    <row r="2270" ht="15.75" customHeight="1">
      <c r="A2270" s="13"/>
      <c r="B2270" s="13"/>
      <c r="C2270" s="13"/>
      <c r="D2270" s="13"/>
      <c r="E2270" s="13"/>
      <c r="F2270" s="227"/>
      <c r="G2270" s="13"/>
      <c r="H2270" s="107"/>
      <c r="I2270" s="13"/>
      <c r="J2270" s="107"/>
      <c r="K2270" s="107"/>
      <c r="L2270" s="13"/>
    </row>
    <row r="2271" ht="15.75" customHeight="1">
      <c r="A2271" s="13"/>
      <c r="B2271" s="13"/>
      <c r="C2271" s="13"/>
      <c r="D2271" s="13"/>
      <c r="E2271" s="13"/>
      <c r="F2271" s="227"/>
      <c r="G2271" s="13"/>
      <c r="H2271" s="107"/>
      <c r="I2271" s="13"/>
      <c r="J2271" s="107"/>
      <c r="K2271" s="107"/>
      <c r="L2271" s="13"/>
    </row>
    <row r="2272" ht="15.75" customHeight="1">
      <c r="A2272" s="13"/>
      <c r="B2272" s="13"/>
      <c r="C2272" s="13"/>
      <c r="D2272" s="13"/>
      <c r="E2272" s="13"/>
      <c r="F2272" s="227"/>
      <c r="G2272" s="13"/>
      <c r="H2272" s="107"/>
      <c r="I2272" s="13"/>
      <c r="J2272" s="107"/>
      <c r="K2272" s="107"/>
      <c r="L2272" s="13"/>
    </row>
    <row r="2273" ht="15.75" customHeight="1">
      <c r="A2273" s="13"/>
      <c r="B2273" s="13"/>
      <c r="C2273" s="13"/>
      <c r="D2273" s="13"/>
      <c r="E2273" s="13"/>
      <c r="F2273" s="227"/>
      <c r="G2273" s="13"/>
      <c r="H2273" s="107"/>
      <c r="I2273" s="13"/>
      <c r="J2273" s="107"/>
      <c r="K2273" s="107"/>
      <c r="L2273" s="13"/>
    </row>
    <row r="2274" ht="15.75" customHeight="1">
      <c r="A2274" s="13"/>
      <c r="B2274" s="13"/>
      <c r="C2274" s="13"/>
      <c r="D2274" s="13"/>
      <c r="E2274" s="13"/>
      <c r="F2274" s="227"/>
      <c r="G2274" s="13"/>
      <c r="H2274" s="107"/>
      <c r="I2274" s="13"/>
      <c r="J2274" s="107"/>
      <c r="K2274" s="107"/>
      <c r="L2274" s="13"/>
    </row>
    <row r="2275" ht="15.75" customHeight="1">
      <c r="A2275" s="13"/>
      <c r="B2275" s="13"/>
      <c r="C2275" s="13"/>
      <c r="D2275" s="13"/>
      <c r="E2275" s="13"/>
      <c r="F2275" s="227"/>
      <c r="G2275" s="13"/>
      <c r="H2275" s="107"/>
      <c r="I2275" s="13"/>
      <c r="J2275" s="107"/>
      <c r="K2275" s="107"/>
      <c r="L2275" s="13"/>
    </row>
    <row r="2276" ht="15.75" customHeight="1">
      <c r="A2276" s="13"/>
      <c r="B2276" s="13"/>
      <c r="C2276" s="13"/>
      <c r="D2276" s="13"/>
      <c r="E2276" s="13"/>
      <c r="F2276" s="227"/>
      <c r="G2276" s="13"/>
      <c r="H2276" s="107"/>
      <c r="I2276" s="13"/>
      <c r="J2276" s="107"/>
      <c r="K2276" s="107"/>
      <c r="L2276" s="13"/>
    </row>
    <row r="2277" ht="15.75" customHeight="1">
      <c r="A2277" s="13"/>
      <c r="B2277" s="13"/>
      <c r="C2277" s="13"/>
      <c r="D2277" s="13"/>
      <c r="E2277" s="13"/>
      <c r="F2277" s="227"/>
      <c r="G2277" s="13"/>
      <c r="H2277" s="107"/>
      <c r="I2277" s="13"/>
      <c r="J2277" s="107"/>
      <c r="K2277" s="107"/>
      <c r="L2277" s="13"/>
    </row>
    <row r="2278" ht="15.75" customHeight="1">
      <c r="A2278" s="13"/>
      <c r="B2278" s="13"/>
      <c r="C2278" s="13"/>
      <c r="D2278" s="13"/>
      <c r="E2278" s="13"/>
      <c r="F2278" s="227"/>
      <c r="G2278" s="13"/>
      <c r="H2278" s="107"/>
      <c r="I2278" s="13"/>
      <c r="J2278" s="107"/>
      <c r="K2278" s="107"/>
      <c r="L2278" s="13"/>
    </row>
    <row r="2279" ht="15.75" customHeight="1">
      <c r="A2279" s="13"/>
      <c r="B2279" s="13"/>
      <c r="C2279" s="13"/>
      <c r="D2279" s="13"/>
      <c r="E2279" s="13"/>
      <c r="F2279" s="227"/>
      <c r="G2279" s="13"/>
      <c r="H2279" s="107"/>
      <c r="I2279" s="13"/>
      <c r="J2279" s="107"/>
      <c r="K2279" s="107"/>
      <c r="L2279" s="13"/>
    </row>
    <row r="2280" ht="15.75" customHeight="1">
      <c r="A2280" s="13"/>
      <c r="B2280" s="13"/>
      <c r="C2280" s="13"/>
      <c r="D2280" s="13"/>
      <c r="E2280" s="13"/>
      <c r="F2280" s="227"/>
      <c r="G2280" s="13"/>
      <c r="H2280" s="107"/>
      <c r="I2280" s="13"/>
      <c r="J2280" s="107"/>
      <c r="K2280" s="107"/>
      <c r="L2280" s="13"/>
    </row>
    <row r="2281" ht="15.75" customHeight="1">
      <c r="A2281" s="13"/>
      <c r="B2281" s="13"/>
      <c r="C2281" s="13"/>
      <c r="D2281" s="13"/>
      <c r="E2281" s="13"/>
      <c r="F2281" s="227"/>
      <c r="G2281" s="13"/>
      <c r="H2281" s="107"/>
      <c r="I2281" s="13"/>
      <c r="J2281" s="107"/>
      <c r="K2281" s="107"/>
      <c r="L2281" s="13"/>
    </row>
    <row r="2282" ht="15.75" customHeight="1">
      <c r="A2282" s="13"/>
      <c r="B2282" s="13"/>
      <c r="C2282" s="13"/>
      <c r="D2282" s="13"/>
      <c r="E2282" s="13"/>
      <c r="F2282" s="227"/>
      <c r="G2282" s="13"/>
      <c r="H2282" s="107"/>
      <c r="I2282" s="13"/>
      <c r="J2282" s="107"/>
      <c r="K2282" s="107"/>
      <c r="L2282" s="13"/>
    </row>
    <row r="2283" ht="15.75" customHeight="1">
      <c r="A2283" s="13"/>
      <c r="B2283" s="13"/>
      <c r="C2283" s="13"/>
      <c r="D2283" s="13"/>
      <c r="E2283" s="13"/>
      <c r="F2283" s="227"/>
      <c r="G2283" s="13"/>
      <c r="H2283" s="107"/>
      <c r="I2283" s="13"/>
      <c r="J2283" s="107"/>
      <c r="K2283" s="107"/>
      <c r="L2283" s="13"/>
    </row>
    <row r="2284" ht="15.75" customHeight="1">
      <c r="A2284" s="13"/>
      <c r="B2284" s="13"/>
      <c r="C2284" s="13"/>
      <c r="D2284" s="13"/>
      <c r="E2284" s="13"/>
      <c r="F2284" s="227"/>
      <c r="G2284" s="13"/>
      <c r="H2284" s="107"/>
      <c r="I2284" s="13"/>
      <c r="J2284" s="107"/>
      <c r="K2284" s="107"/>
      <c r="L2284" s="13"/>
    </row>
    <row r="2285" ht="15.75" customHeight="1">
      <c r="A2285" s="13"/>
      <c r="B2285" s="13"/>
      <c r="C2285" s="13"/>
      <c r="D2285" s="13"/>
      <c r="E2285" s="13"/>
      <c r="F2285" s="227"/>
      <c r="G2285" s="13"/>
      <c r="H2285" s="107"/>
      <c r="I2285" s="13"/>
      <c r="J2285" s="107"/>
      <c r="K2285" s="107"/>
      <c r="L2285" s="13"/>
    </row>
    <row r="2286" ht="15.75" customHeight="1">
      <c r="A2286" s="13"/>
      <c r="B2286" s="13"/>
      <c r="C2286" s="13"/>
      <c r="D2286" s="13"/>
      <c r="E2286" s="13"/>
      <c r="F2286" s="227"/>
      <c r="G2286" s="13"/>
      <c r="H2286" s="107"/>
      <c r="I2286" s="13"/>
      <c r="J2286" s="107"/>
      <c r="K2286" s="107"/>
      <c r="L2286" s="13"/>
    </row>
    <row r="2287" ht="15.75" customHeight="1">
      <c r="A2287" s="13"/>
      <c r="B2287" s="13"/>
      <c r="C2287" s="13"/>
      <c r="D2287" s="13"/>
      <c r="E2287" s="13"/>
      <c r="F2287" s="227"/>
      <c r="G2287" s="13"/>
      <c r="H2287" s="107"/>
      <c r="I2287" s="13"/>
      <c r="J2287" s="107"/>
      <c r="K2287" s="107"/>
      <c r="L2287" s="13"/>
    </row>
    <row r="2288" ht="15.75" customHeight="1">
      <c r="A2288" s="13"/>
      <c r="B2288" s="13"/>
      <c r="C2288" s="13"/>
      <c r="D2288" s="13"/>
      <c r="E2288" s="13"/>
      <c r="F2288" s="227"/>
      <c r="G2288" s="13"/>
      <c r="H2288" s="107"/>
      <c r="I2288" s="13"/>
      <c r="J2288" s="107"/>
      <c r="K2288" s="107"/>
      <c r="L2288" s="13"/>
    </row>
    <row r="2289" ht="15.75" customHeight="1">
      <c r="A2289" s="13"/>
      <c r="B2289" s="13"/>
      <c r="C2289" s="13"/>
      <c r="D2289" s="13"/>
      <c r="E2289" s="13"/>
      <c r="F2289" s="227"/>
      <c r="G2289" s="13"/>
      <c r="H2289" s="107"/>
      <c r="I2289" s="13"/>
      <c r="J2289" s="107"/>
      <c r="K2289" s="107"/>
      <c r="L2289" s="13"/>
    </row>
    <row r="2290" ht="15.75" customHeight="1">
      <c r="A2290" s="13"/>
      <c r="B2290" s="13"/>
      <c r="C2290" s="13"/>
      <c r="D2290" s="13"/>
      <c r="E2290" s="13"/>
      <c r="F2290" s="227"/>
      <c r="G2290" s="13"/>
      <c r="H2290" s="107"/>
      <c r="I2290" s="13"/>
      <c r="J2290" s="107"/>
      <c r="K2290" s="107"/>
      <c r="L2290" s="13"/>
    </row>
    <row r="2291" ht="15.75" customHeight="1">
      <c r="A2291" s="13"/>
      <c r="B2291" s="13"/>
      <c r="C2291" s="13"/>
      <c r="D2291" s="13"/>
      <c r="E2291" s="13"/>
      <c r="F2291" s="227"/>
      <c r="G2291" s="13"/>
      <c r="H2291" s="107"/>
      <c r="I2291" s="13"/>
      <c r="J2291" s="107"/>
      <c r="K2291" s="107"/>
      <c r="L2291" s="13"/>
    </row>
    <row r="2292" ht="15.75" customHeight="1">
      <c r="A2292" s="13"/>
      <c r="B2292" s="13"/>
      <c r="C2292" s="13"/>
      <c r="D2292" s="13"/>
      <c r="E2292" s="13"/>
      <c r="F2292" s="227"/>
      <c r="G2292" s="13"/>
      <c r="H2292" s="107"/>
      <c r="I2292" s="13"/>
      <c r="J2292" s="107"/>
      <c r="K2292" s="107"/>
      <c r="L2292" s="13"/>
    </row>
    <row r="2293" ht="15.75" customHeight="1">
      <c r="A2293" s="13"/>
      <c r="B2293" s="13"/>
      <c r="C2293" s="13"/>
      <c r="D2293" s="13"/>
      <c r="E2293" s="13"/>
      <c r="F2293" s="227"/>
      <c r="G2293" s="13"/>
      <c r="H2293" s="107"/>
      <c r="I2293" s="13"/>
      <c r="J2293" s="107"/>
      <c r="K2293" s="107"/>
      <c r="L2293" s="13"/>
    </row>
    <row r="2294" ht="15.75" customHeight="1">
      <c r="A2294" s="13"/>
      <c r="B2294" s="13"/>
      <c r="C2294" s="13"/>
      <c r="D2294" s="13"/>
      <c r="E2294" s="13"/>
      <c r="F2294" s="227"/>
      <c r="G2294" s="13"/>
      <c r="H2294" s="107"/>
      <c r="I2294" s="13"/>
      <c r="J2294" s="107"/>
      <c r="K2294" s="107"/>
      <c r="L2294" s="13"/>
    </row>
    <row r="2295" ht="15.75" customHeight="1">
      <c r="A2295" s="13"/>
      <c r="B2295" s="13"/>
      <c r="C2295" s="13"/>
      <c r="D2295" s="13"/>
      <c r="E2295" s="13"/>
      <c r="F2295" s="227"/>
      <c r="G2295" s="13"/>
      <c r="H2295" s="107"/>
      <c r="I2295" s="13"/>
      <c r="J2295" s="107"/>
      <c r="K2295" s="107"/>
      <c r="L2295" s="13"/>
    </row>
    <row r="2296" ht="15.75" customHeight="1">
      <c r="A2296" s="13"/>
      <c r="B2296" s="13"/>
      <c r="C2296" s="13"/>
      <c r="D2296" s="13"/>
      <c r="E2296" s="13"/>
      <c r="F2296" s="227"/>
      <c r="G2296" s="13"/>
      <c r="H2296" s="107"/>
      <c r="I2296" s="13"/>
      <c r="J2296" s="107"/>
      <c r="K2296" s="107"/>
      <c r="L2296" s="13"/>
    </row>
    <row r="2297" ht="15.75" customHeight="1">
      <c r="A2297" s="13"/>
      <c r="B2297" s="13"/>
      <c r="C2297" s="13"/>
      <c r="D2297" s="13"/>
      <c r="E2297" s="13"/>
      <c r="F2297" s="227"/>
      <c r="G2297" s="13"/>
      <c r="H2297" s="107"/>
      <c r="I2297" s="13"/>
      <c r="J2297" s="107"/>
      <c r="K2297" s="107"/>
      <c r="L2297" s="13"/>
    </row>
    <row r="2298" ht="15.75" customHeight="1">
      <c r="A2298" s="13"/>
      <c r="B2298" s="13"/>
      <c r="C2298" s="13"/>
      <c r="D2298" s="13"/>
      <c r="E2298" s="13"/>
      <c r="F2298" s="227"/>
      <c r="G2298" s="13"/>
      <c r="H2298" s="107"/>
      <c r="I2298" s="13"/>
      <c r="J2298" s="107"/>
      <c r="K2298" s="107"/>
      <c r="L2298" s="13"/>
    </row>
    <row r="2299" ht="15.75" customHeight="1">
      <c r="A2299" s="13"/>
      <c r="B2299" s="13"/>
      <c r="C2299" s="13"/>
      <c r="D2299" s="13"/>
      <c r="E2299" s="13"/>
      <c r="F2299" s="227"/>
      <c r="G2299" s="13"/>
      <c r="H2299" s="107"/>
      <c r="I2299" s="13"/>
      <c r="J2299" s="107"/>
      <c r="K2299" s="107"/>
      <c r="L2299" s="13"/>
    </row>
    <row r="2300" ht="15.75" customHeight="1">
      <c r="A2300" s="13"/>
      <c r="B2300" s="13"/>
      <c r="C2300" s="13"/>
      <c r="D2300" s="13"/>
      <c r="E2300" s="13"/>
      <c r="F2300" s="227"/>
      <c r="G2300" s="13"/>
      <c r="H2300" s="107"/>
      <c r="I2300" s="13"/>
      <c r="J2300" s="107"/>
      <c r="K2300" s="107"/>
      <c r="L2300" s="13"/>
    </row>
    <row r="2301" ht="15.75" customHeight="1">
      <c r="A2301" s="13"/>
      <c r="B2301" s="13"/>
      <c r="C2301" s="13"/>
      <c r="D2301" s="13"/>
      <c r="E2301" s="13"/>
      <c r="F2301" s="227"/>
      <c r="G2301" s="13"/>
      <c r="H2301" s="107"/>
      <c r="I2301" s="13"/>
      <c r="J2301" s="107"/>
      <c r="K2301" s="107"/>
      <c r="L2301" s="13"/>
    </row>
    <row r="2302" ht="15.75" customHeight="1">
      <c r="A2302" s="13"/>
      <c r="B2302" s="13"/>
      <c r="C2302" s="13"/>
      <c r="D2302" s="13"/>
      <c r="E2302" s="13"/>
      <c r="F2302" s="227"/>
      <c r="G2302" s="13"/>
      <c r="H2302" s="107"/>
      <c r="I2302" s="13"/>
      <c r="J2302" s="107"/>
      <c r="K2302" s="107"/>
      <c r="L2302" s="13"/>
    </row>
    <row r="2303" ht="15.75" customHeight="1">
      <c r="A2303" s="13"/>
      <c r="B2303" s="13"/>
      <c r="C2303" s="13"/>
      <c r="D2303" s="13"/>
      <c r="E2303" s="13"/>
      <c r="F2303" s="227"/>
      <c r="G2303" s="13"/>
      <c r="H2303" s="107"/>
      <c r="I2303" s="13"/>
      <c r="J2303" s="107"/>
      <c r="K2303" s="107"/>
      <c r="L2303" s="13"/>
    </row>
    <row r="2304" ht="15.75" customHeight="1">
      <c r="A2304" s="13"/>
      <c r="B2304" s="13"/>
      <c r="C2304" s="13"/>
      <c r="D2304" s="13"/>
      <c r="E2304" s="13"/>
      <c r="F2304" s="227"/>
      <c r="G2304" s="13"/>
      <c r="H2304" s="107"/>
      <c r="I2304" s="13"/>
      <c r="J2304" s="107"/>
      <c r="K2304" s="107"/>
      <c r="L2304" s="13"/>
    </row>
    <row r="2305" ht="15.75" customHeight="1">
      <c r="A2305" s="13"/>
      <c r="B2305" s="13"/>
      <c r="C2305" s="13"/>
      <c r="D2305" s="13"/>
      <c r="E2305" s="13"/>
      <c r="F2305" s="227"/>
      <c r="G2305" s="13"/>
      <c r="H2305" s="107"/>
      <c r="I2305" s="13"/>
      <c r="J2305" s="107"/>
      <c r="K2305" s="107"/>
      <c r="L2305" s="13"/>
    </row>
    <row r="2306" ht="15.75" customHeight="1">
      <c r="A2306" s="13"/>
      <c r="B2306" s="13"/>
      <c r="C2306" s="13"/>
      <c r="D2306" s="13"/>
      <c r="E2306" s="13"/>
      <c r="F2306" s="227"/>
      <c r="G2306" s="13"/>
      <c r="H2306" s="107"/>
      <c r="I2306" s="13"/>
      <c r="J2306" s="107"/>
      <c r="K2306" s="107"/>
      <c r="L2306" s="13"/>
    </row>
    <row r="2307" ht="15.75" customHeight="1">
      <c r="A2307" s="13"/>
      <c r="B2307" s="13"/>
      <c r="C2307" s="13"/>
      <c r="D2307" s="13"/>
      <c r="E2307" s="13"/>
      <c r="F2307" s="227"/>
      <c r="G2307" s="13"/>
      <c r="H2307" s="107"/>
      <c r="I2307" s="13"/>
      <c r="J2307" s="107"/>
      <c r="K2307" s="107"/>
      <c r="L2307" s="13"/>
    </row>
    <row r="2308" ht="15.75" customHeight="1">
      <c r="A2308" s="13"/>
      <c r="B2308" s="13"/>
      <c r="C2308" s="13"/>
      <c r="D2308" s="13"/>
      <c r="E2308" s="13"/>
      <c r="F2308" s="227"/>
      <c r="G2308" s="13"/>
      <c r="H2308" s="107"/>
      <c r="I2308" s="13"/>
      <c r="J2308" s="107"/>
      <c r="K2308" s="107"/>
      <c r="L2308" s="13"/>
    </row>
    <row r="2309" ht="15.75" customHeight="1">
      <c r="A2309" s="13"/>
      <c r="B2309" s="13"/>
      <c r="C2309" s="13"/>
      <c r="D2309" s="13"/>
      <c r="E2309" s="13"/>
      <c r="F2309" s="227"/>
      <c r="G2309" s="13"/>
      <c r="H2309" s="107"/>
      <c r="I2309" s="13"/>
      <c r="J2309" s="107"/>
      <c r="K2309" s="107"/>
      <c r="L2309" s="13"/>
    </row>
    <row r="2310" ht="15.75" customHeight="1">
      <c r="A2310" s="13"/>
      <c r="B2310" s="13"/>
      <c r="C2310" s="13"/>
      <c r="D2310" s="13"/>
      <c r="E2310" s="13"/>
      <c r="F2310" s="227"/>
      <c r="G2310" s="13"/>
      <c r="H2310" s="107"/>
      <c r="I2310" s="13"/>
      <c r="J2310" s="107"/>
      <c r="K2310" s="107"/>
      <c r="L2310" s="13"/>
    </row>
    <row r="2311" ht="15.75" customHeight="1">
      <c r="A2311" s="13"/>
      <c r="B2311" s="13"/>
      <c r="C2311" s="13"/>
      <c r="D2311" s="13"/>
      <c r="E2311" s="13"/>
      <c r="F2311" s="227"/>
      <c r="G2311" s="13"/>
      <c r="H2311" s="107"/>
      <c r="I2311" s="13"/>
      <c r="J2311" s="107"/>
      <c r="K2311" s="107"/>
      <c r="L2311" s="13"/>
    </row>
    <row r="2312" ht="15.75" customHeight="1">
      <c r="A2312" s="13"/>
      <c r="B2312" s="13"/>
      <c r="C2312" s="13"/>
      <c r="D2312" s="13"/>
      <c r="E2312" s="13"/>
      <c r="F2312" s="227"/>
      <c r="G2312" s="13"/>
      <c r="H2312" s="107"/>
      <c r="I2312" s="13"/>
      <c r="J2312" s="107"/>
      <c r="K2312" s="107"/>
      <c r="L2312" s="13"/>
    </row>
    <row r="2313" ht="15.75" customHeight="1">
      <c r="A2313" s="13"/>
      <c r="B2313" s="13"/>
      <c r="C2313" s="13"/>
      <c r="D2313" s="13"/>
      <c r="E2313" s="13"/>
      <c r="F2313" s="227"/>
      <c r="G2313" s="13"/>
      <c r="H2313" s="107"/>
      <c r="I2313" s="13"/>
      <c r="J2313" s="107"/>
      <c r="K2313" s="107"/>
      <c r="L2313" s="13"/>
    </row>
    <row r="2314" ht="15.75" customHeight="1">
      <c r="A2314" s="13"/>
      <c r="B2314" s="13"/>
      <c r="C2314" s="13"/>
      <c r="D2314" s="13"/>
      <c r="E2314" s="13"/>
      <c r="F2314" s="227"/>
      <c r="G2314" s="13"/>
      <c r="H2314" s="107"/>
      <c r="I2314" s="13"/>
      <c r="J2314" s="107"/>
      <c r="K2314" s="107"/>
      <c r="L2314" s="13"/>
    </row>
    <row r="2315" ht="15.75" customHeight="1">
      <c r="A2315" s="13"/>
      <c r="B2315" s="13"/>
      <c r="C2315" s="13"/>
      <c r="D2315" s="13"/>
      <c r="E2315" s="13"/>
      <c r="F2315" s="227"/>
      <c r="G2315" s="13"/>
      <c r="H2315" s="107"/>
      <c r="I2315" s="13"/>
      <c r="J2315" s="107"/>
      <c r="K2315" s="107"/>
      <c r="L2315" s="13"/>
    </row>
    <row r="2316" ht="15.75" customHeight="1">
      <c r="A2316" s="13"/>
      <c r="B2316" s="13"/>
      <c r="C2316" s="13"/>
      <c r="D2316" s="13"/>
      <c r="E2316" s="13"/>
      <c r="F2316" s="227"/>
      <c r="G2316" s="13"/>
      <c r="H2316" s="107"/>
      <c r="I2316" s="13"/>
      <c r="J2316" s="107"/>
      <c r="K2316" s="107"/>
      <c r="L2316" s="13"/>
    </row>
    <row r="2317" ht="15.75" customHeight="1">
      <c r="A2317" s="13"/>
      <c r="B2317" s="13"/>
      <c r="C2317" s="13"/>
      <c r="D2317" s="13"/>
      <c r="E2317" s="13"/>
      <c r="F2317" s="227"/>
      <c r="G2317" s="13"/>
      <c r="H2317" s="107"/>
      <c r="I2317" s="13"/>
      <c r="J2317" s="107"/>
      <c r="K2317" s="107"/>
      <c r="L2317" s="13"/>
    </row>
    <row r="2318" ht="15.75" customHeight="1">
      <c r="A2318" s="13"/>
      <c r="B2318" s="13"/>
      <c r="C2318" s="13"/>
      <c r="D2318" s="13"/>
      <c r="E2318" s="13"/>
      <c r="F2318" s="227"/>
      <c r="G2318" s="13"/>
      <c r="H2318" s="107"/>
      <c r="I2318" s="13"/>
      <c r="J2318" s="107"/>
      <c r="K2318" s="107"/>
      <c r="L2318" s="13"/>
    </row>
    <row r="2319" ht="15.75" customHeight="1">
      <c r="A2319" s="13"/>
      <c r="B2319" s="13"/>
      <c r="C2319" s="13"/>
      <c r="D2319" s="13"/>
      <c r="E2319" s="13"/>
      <c r="F2319" s="227"/>
      <c r="G2319" s="13"/>
      <c r="H2319" s="107"/>
      <c r="I2319" s="13"/>
      <c r="J2319" s="107"/>
      <c r="K2319" s="107"/>
      <c r="L2319" s="13"/>
    </row>
    <row r="2320" ht="15.75" customHeight="1">
      <c r="A2320" s="13"/>
      <c r="B2320" s="13"/>
      <c r="C2320" s="13"/>
      <c r="D2320" s="13"/>
      <c r="E2320" s="13"/>
      <c r="F2320" s="227"/>
      <c r="G2320" s="13"/>
      <c r="H2320" s="107"/>
      <c r="I2320" s="13"/>
      <c r="J2320" s="107"/>
      <c r="K2320" s="107"/>
      <c r="L2320" s="13"/>
    </row>
    <row r="2321" ht="15.75" customHeight="1">
      <c r="A2321" s="13"/>
      <c r="B2321" s="13"/>
      <c r="C2321" s="13"/>
      <c r="D2321" s="13"/>
      <c r="E2321" s="13"/>
      <c r="F2321" s="227"/>
      <c r="G2321" s="13"/>
      <c r="H2321" s="107"/>
      <c r="I2321" s="13"/>
      <c r="J2321" s="107"/>
      <c r="K2321" s="107"/>
      <c r="L2321" s="13"/>
    </row>
    <row r="2322" ht="15.75" customHeight="1">
      <c r="A2322" s="13"/>
      <c r="B2322" s="13"/>
      <c r="C2322" s="13"/>
      <c r="D2322" s="13"/>
      <c r="E2322" s="13"/>
      <c r="F2322" s="227"/>
      <c r="G2322" s="13"/>
      <c r="H2322" s="107"/>
      <c r="I2322" s="13"/>
      <c r="J2322" s="107"/>
      <c r="K2322" s="107"/>
      <c r="L2322" s="13"/>
    </row>
    <row r="2323" ht="15.75" customHeight="1">
      <c r="A2323" s="13"/>
      <c r="B2323" s="13"/>
      <c r="C2323" s="13"/>
      <c r="D2323" s="13"/>
      <c r="E2323" s="13"/>
      <c r="F2323" s="227"/>
      <c r="G2323" s="13"/>
      <c r="H2323" s="107"/>
      <c r="I2323" s="13"/>
      <c r="J2323" s="107"/>
      <c r="K2323" s="107"/>
      <c r="L2323" s="13"/>
    </row>
    <row r="2324" ht="15.75" customHeight="1">
      <c r="A2324" s="13"/>
      <c r="B2324" s="13"/>
      <c r="C2324" s="13"/>
      <c r="D2324" s="13"/>
      <c r="E2324" s="13"/>
      <c r="F2324" s="227"/>
      <c r="G2324" s="13"/>
      <c r="H2324" s="107"/>
      <c r="I2324" s="13"/>
      <c r="J2324" s="107"/>
      <c r="K2324" s="107"/>
      <c r="L2324" s="13"/>
    </row>
    <row r="2325" ht="15.75" customHeight="1">
      <c r="A2325" s="13"/>
      <c r="B2325" s="13"/>
      <c r="C2325" s="13"/>
      <c r="D2325" s="13"/>
      <c r="E2325" s="13"/>
      <c r="F2325" s="227"/>
      <c r="G2325" s="13"/>
      <c r="H2325" s="107"/>
      <c r="I2325" s="13"/>
      <c r="J2325" s="107"/>
      <c r="K2325" s="107"/>
      <c r="L2325" s="13"/>
    </row>
    <row r="2326" ht="15.75" customHeight="1">
      <c r="A2326" s="13"/>
      <c r="B2326" s="13"/>
      <c r="C2326" s="13"/>
      <c r="D2326" s="13"/>
      <c r="E2326" s="13"/>
      <c r="F2326" s="227"/>
      <c r="G2326" s="13"/>
      <c r="H2326" s="107"/>
      <c r="I2326" s="13"/>
      <c r="J2326" s="107"/>
      <c r="K2326" s="107"/>
      <c r="L2326" s="13"/>
    </row>
    <row r="2327" ht="15.75" customHeight="1">
      <c r="A2327" s="13"/>
      <c r="B2327" s="13"/>
      <c r="C2327" s="13"/>
      <c r="D2327" s="13"/>
      <c r="E2327" s="13"/>
      <c r="F2327" s="227"/>
      <c r="G2327" s="13"/>
      <c r="H2327" s="107"/>
      <c r="I2327" s="13"/>
      <c r="J2327" s="107"/>
      <c r="K2327" s="107"/>
      <c r="L2327" s="13"/>
    </row>
    <row r="2328" ht="15.75" customHeight="1">
      <c r="A2328" s="13"/>
      <c r="B2328" s="13"/>
      <c r="C2328" s="13"/>
      <c r="D2328" s="13"/>
      <c r="E2328" s="13"/>
      <c r="F2328" s="227"/>
      <c r="G2328" s="13"/>
      <c r="H2328" s="107"/>
      <c r="I2328" s="13"/>
      <c r="J2328" s="107"/>
      <c r="K2328" s="107"/>
      <c r="L2328" s="13"/>
    </row>
    <row r="2329" ht="15.75" customHeight="1">
      <c r="A2329" s="13"/>
      <c r="B2329" s="13"/>
      <c r="C2329" s="13"/>
      <c r="D2329" s="13"/>
      <c r="E2329" s="13"/>
      <c r="F2329" s="227"/>
      <c r="G2329" s="13"/>
      <c r="H2329" s="107"/>
      <c r="I2329" s="13"/>
      <c r="J2329" s="107"/>
      <c r="K2329" s="107"/>
      <c r="L2329" s="13"/>
    </row>
    <row r="2330" ht="15.75" customHeight="1">
      <c r="A2330" s="13"/>
      <c r="B2330" s="13"/>
      <c r="C2330" s="13"/>
      <c r="D2330" s="13"/>
      <c r="E2330" s="13"/>
      <c r="F2330" s="227"/>
      <c r="G2330" s="13"/>
      <c r="H2330" s="107"/>
      <c r="I2330" s="13"/>
      <c r="J2330" s="107"/>
      <c r="K2330" s="107"/>
      <c r="L2330" s="13"/>
    </row>
    <row r="2331" ht="15.75" customHeight="1">
      <c r="A2331" s="13"/>
      <c r="B2331" s="13"/>
      <c r="C2331" s="13"/>
      <c r="D2331" s="13"/>
      <c r="E2331" s="13"/>
      <c r="F2331" s="227"/>
      <c r="G2331" s="13"/>
      <c r="H2331" s="107"/>
      <c r="I2331" s="13"/>
      <c r="J2331" s="107"/>
      <c r="K2331" s="107"/>
      <c r="L2331" s="13"/>
    </row>
    <row r="2332" ht="15.75" customHeight="1">
      <c r="A2332" s="13"/>
      <c r="B2332" s="13"/>
      <c r="C2332" s="13"/>
      <c r="D2332" s="13"/>
      <c r="E2332" s="13"/>
      <c r="F2332" s="227"/>
      <c r="G2332" s="13"/>
      <c r="H2332" s="107"/>
      <c r="I2332" s="13"/>
      <c r="J2332" s="107"/>
      <c r="K2332" s="107"/>
      <c r="L2332" s="13"/>
    </row>
    <row r="2333" ht="15.75" customHeight="1">
      <c r="A2333" s="13"/>
      <c r="B2333" s="13"/>
      <c r="C2333" s="13"/>
      <c r="D2333" s="13"/>
      <c r="E2333" s="13"/>
      <c r="F2333" s="227"/>
      <c r="G2333" s="13"/>
      <c r="H2333" s="107"/>
      <c r="I2333" s="13"/>
      <c r="J2333" s="107"/>
      <c r="K2333" s="107"/>
      <c r="L2333" s="13"/>
    </row>
    <row r="2334" ht="15.75" customHeight="1">
      <c r="A2334" s="13"/>
      <c r="B2334" s="13"/>
      <c r="C2334" s="13"/>
      <c r="D2334" s="13"/>
      <c r="E2334" s="13"/>
      <c r="F2334" s="227"/>
      <c r="G2334" s="13"/>
      <c r="H2334" s="107"/>
      <c r="I2334" s="13"/>
      <c r="J2334" s="107"/>
      <c r="K2334" s="107"/>
      <c r="L2334" s="13"/>
    </row>
    <row r="2335" ht="15.75" customHeight="1">
      <c r="A2335" s="13"/>
      <c r="B2335" s="13"/>
      <c r="C2335" s="13"/>
      <c r="D2335" s="13"/>
      <c r="E2335" s="13"/>
      <c r="F2335" s="227"/>
      <c r="G2335" s="13"/>
      <c r="H2335" s="107"/>
      <c r="I2335" s="13"/>
      <c r="J2335" s="107"/>
      <c r="K2335" s="107"/>
      <c r="L2335" s="13"/>
    </row>
    <row r="2336" ht="15.75" customHeight="1">
      <c r="A2336" s="13"/>
      <c r="B2336" s="13"/>
      <c r="C2336" s="13"/>
      <c r="D2336" s="13"/>
      <c r="E2336" s="13"/>
      <c r="F2336" s="227"/>
      <c r="G2336" s="13"/>
      <c r="H2336" s="107"/>
      <c r="I2336" s="13"/>
      <c r="J2336" s="107"/>
      <c r="K2336" s="107"/>
      <c r="L2336" s="13"/>
    </row>
    <row r="2337" ht="15.75" customHeight="1">
      <c r="A2337" s="13"/>
      <c r="B2337" s="13"/>
      <c r="C2337" s="13"/>
      <c r="D2337" s="13"/>
      <c r="E2337" s="13"/>
      <c r="F2337" s="227"/>
      <c r="G2337" s="13"/>
      <c r="H2337" s="107"/>
      <c r="I2337" s="13"/>
      <c r="J2337" s="107"/>
      <c r="K2337" s="107"/>
      <c r="L2337" s="13"/>
    </row>
    <row r="2338" ht="15.75" customHeight="1">
      <c r="A2338" s="13"/>
      <c r="B2338" s="13"/>
      <c r="C2338" s="13"/>
      <c r="D2338" s="13"/>
      <c r="E2338" s="13"/>
      <c r="F2338" s="227"/>
      <c r="G2338" s="13"/>
      <c r="H2338" s="107"/>
      <c r="I2338" s="13"/>
      <c r="J2338" s="107"/>
      <c r="K2338" s="107"/>
      <c r="L2338" s="13"/>
    </row>
    <row r="2339" ht="15.75" customHeight="1">
      <c r="A2339" s="13"/>
      <c r="B2339" s="13"/>
      <c r="C2339" s="13"/>
      <c r="D2339" s="13"/>
      <c r="E2339" s="13"/>
      <c r="F2339" s="227"/>
      <c r="G2339" s="13"/>
      <c r="H2339" s="107"/>
      <c r="I2339" s="13"/>
      <c r="J2339" s="107"/>
      <c r="K2339" s="107"/>
      <c r="L2339" s="13"/>
    </row>
    <row r="2340" ht="15.75" customHeight="1">
      <c r="A2340" s="13"/>
      <c r="B2340" s="13"/>
      <c r="C2340" s="13"/>
      <c r="D2340" s="13"/>
      <c r="E2340" s="13"/>
      <c r="F2340" s="227"/>
      <c r="G2340" s="13"/>
      <c r="H2340" s="107"/>
      <c r="I2340" s="13"/>
      <c r="J2340" s="107"/>
      <c r="K2340" s="107"/>
      <c r="L2340" s="13"/>
    </row>
    <row r="2341" ht="15.75" customHeight="1">
      <c r="A2341" s="13"/>
      <c r="B2341" s="13"/>
      <c r="C2341" s="13"/>
      <c r="D2341" s="13"/>
      <c r="E2341" s="13"/>
      <c r="F2341" s="227"/>
      <c r="G2341" s="13"/>
      <c r="H2341" s="107"/>
      <c r="I2341" s="13"/>
      <c r="J2341" s="107"/>
      <c r="K2341" s="107"/>
      <c r="L2341" s="13"/>
    </row>
    <row r="2342" ht="15.75" customHeight="1">
      <c r="A2342" s="13"/>
      <c r="B2342" s="13"/>
      <c r="C2342" s="13"/>
      <c r="D2342" s="13"/>
      <c r="E2342" s="13"/>
      <c r="F2342" s="227"/>
      <c r="G2342" s="13"/>
      <c r="H2342" s="107"/>
      <c r="I2342" s="13"/>
      <c r="J2342" s="107"/>
      <c r="K2342" s="107"/>
      <c r="L2342" s="13"/>
    </row>
    <row r="2343" ht="15.75" customHeight="1">
      <c r="A2343" s="13"/>
      <c r="B2343" s="13"/>
      <c r="C2343" s="13"/>
      <c r="D2343" s="13"/>
      <c r="E2343" s="13"/>
      <c r="F2343" s="227"/>
      <c r="G2343" s="13"/>
      <c r="H2343" s="107"/>
      <c r="I2343" s="13"/>
      <c r="J2343" s="107"/>
      <c r="K2343" s="107"/>
      <c r="L2343" s="13"/>
    </row>
    <row r="2344" ht="15.75" customHeight="1">
      <c r="A2344" s="13"/>
      <c r="B2344" s="13"/>
      <c r="C2344" s="13"/>
      <c r="D2344" s="13"/>
      <c r="E2344" s="13"/>
      <c r="F2344" s="227"/>
      <c r="G2344" s="13"/>
      <c r="H2344" s="107"/>
      <c r="I2344" s="13"/>
      <c r="J2344" s="107"/>
      <c r="K2344" s="107"/>
      <c r="L2344" s="13"/>
    </row>
    <row r="2345" ht="15.75" customHeight="1">
      <c r="A2345" s="13"/>
      <c r="B2345" s="13"/>
      <c r="C2345" s="13"/>
      <c r="D2345" s="13"/>
      <c r="E2345" s="13"/>
      <c r="F2345" s="227"/>
      <c r="G2345" s="13"/>
      <c r="H2345" s="107"/>
      <c r="I2345" s="13"/>
      <c r="J2345" s="107"/>
      <c r="K2345" s="107"/>
      <c r="L2345" s="13"/>
    </row>
    <row r="2346" ht="15.75" customHeight="1">
      <c r="A2346" s="13"/>
      <c r="B2346" s="13"/>
      <c r="C2346" s="13"/>
      <c r="D2346" s="13"/>
      <c r="E2346" s="13"/>
      <c r="F2346" s="227"/>
      <c r="G2346" s="13"/>
      <c r="H2346" s="107"/>
      <c r="I2346" s="13"/>
      <c r="J2346" s="107"/>
      <c r="K2346" s="107"/>
      <c r="L2346" s="13"/>
    </row>
    <row r="2347" ht="15.75" customHeight="1">
      <c r="A2347" s="13"/>
      <c r="B2347" s="13"/>
      <c r="C2347" s="13"/>
      <c r="D2347" s="13"/>
      <c r="E2347" s="13"/>
      <c r="F2347" s="227"/>
      <c r="G2347" s="13"/>
      <c r="H2347" s="107"/>
      <c r="I2347" s="13"/>
      <c r="J2347" s="107"/>
      <c r="K2347" s="107"/>
      <c r="L2347" s="13"/>
    </row>
    <row r="2348" ht="15.75" customHeight="1">
      <c r="A2348" s="13"/>
      <c r="B2348" s="13"/>
      <c r="C2348" s="13"/>
      <c r="D2348" s="13"/>
      <c r="E2348" s="13"/>
      <c r="F2348" s="227"/>
      <c r="G2348" s="13"/>
      <c r="H2348" s="107"/>
      <c r="I2348" s="13"/>
      <c r="J2348" s="107"/>
      <c r="K2348" s="107"/>
      <c r="L2348" s="13"/>
    </row>
    <row r="2349" ht="15.75" customHeight="1">
      <c r="A2349" s="13"/>
      <c r="B2349" s="13"/>
      <c r="C2349" s="13"/>
      <c r="D2349" s="13"/>
      <c r="E2349" s="13"/>
      <c r="F2349" s="227"/>
      <c r="G2349" s="13"/>
      <c r="H2349" s="107"/>
      <c r="I2349" s="13"/>
      <c r="J2349" s="107"/>
      <c r="K2349" s="107"/>
      <c r="L2349" s="13"/>
    </row>
    <row r="2350" ht="15.75" customHeight="1">
      <c r="A2350" s="13"/>
      <c r="B2350" s="13"/>
      <c r="C2350" s="13"/>
      <c r="D2350" s="13"/>
      <c r="E2350" s="13"/>
      <c r="F2350" s="227"/>
      <c r="G2350" s="13"/>
      <c r="H2350" s="107"/>
      <c r="I2350" s="13"/>
      <c r="J2350" s="107"/>
      <c r="K2350" s="107"/>
      <c r="L2350" s="13"/>
    </row>
    <row r="2351" ht="15.75" customHeight="1">
      <c r="A2351" s="13"/>
      <c r="B2351" s="13"/>
      <c r="C2351" s="13"/>
      <c r="D2351" s="13"/>
      <c r="E2351" s="13"/>
      <c r="F2351" s="227"/>
      <c r="G2351" s="13"/>
      <c r="H2351" s="107"/>
      <c r="I2351" s="13"/>
      <c r="J2351" s="107"/>
      <c r="K2351" s="107"/>
      <c r="L2351" s="13"/>
    </row>
    <row r="2352" ht="15.75" customHeight="1">
      <c r="A2352" s="13"/>
      <c r="B2352" s="13"/>
      <c r="C2352" s="13"/>
      <c r="D2352" s="13"/>
      <c r="E2352" s="13"/>
      <c r="F2352" s="227"/>
      <c r="G2352" s="13"/>
      <c r="H2352" s="107"/>
      <c r="I2352" s="13"/>
      <c r="J2352" s="107"/>
      <c r="K2352" s="107"/>
      <c r="L2352" s="13"/>
    </row>
    <row r="2353" ht="15.75" customHeight="1">
      <c r="A2353" s="13"/>
      <c r="B2353" s="13"/>
      <c r="C2353" s="13"/>
      <c r="D2353" s="13"/>
      <c r="E2353" s="13"/>
      <c r="F2353" s="227"/>
      <c r="G2353" s="13"/>
      <c r="H2353" s="107"/>
      <c r="I2353" s="13"/>
      <c r="J2353" s="107"/>
      <c r="K2353" s="107"/>
      <c r="L2353" s="13"/>
    </row>
    <row r="2354" ht="15.75" customHeight="1">
      <c r="A2354" s="13"/>
      <c r="B2354" s="13"/>
      <c r="C2354" s="13"/>
      <c r="D2354" s="13"/>
      <c r="E2354" s="13"/>
      <c r="F2354" s="227"/>
      <c r="G2354" s="13"/>
      <c r="H2354" s="107"/>
      <c r="I2354" s="13"/>
      <c r="J2354" s="107"/>
      <c r="K2354" s="107"/>
      <c r="L2354" s="13"/>
    </row>
    <row r="2355" ht="15.75" customHeight="1">
      <c r="A2355" s="13"/>
      <c r="B2355" s="13"/>
      <c r="C2355" s="13"/>
      <c r="D2355" s="13"/>
      <c r="E2355" s="13"/>
      <c r="F2355" s="227"/>
      <c r="G2355" s="13"/>
      <c r="H2355" s="107"/>
      <c r="I2355" s="13"/>
      <c r="J2355" s="107"/>
      <c r="K2355" s="107"/>
      <c r="L2355" s="13"/>
    </row>
    <row r="2356" ht="15.75" customHeight="1">
      <c r="A2356" s="13"/>
      <c r="B2356" s="13"/>
      <c r="C2356" s="13"/>
      <c r="D2356" s="13"/>
      <c r="E2356" s="13"/>
      <c r="F2356" s="227"/>
      <c r="G2356" s="13"/>
      <c r="H2356" s="107"/>
      <c r="I2356" s="13"/>
      <c r="J2356" s="107"/>
      <c r="K2356" s="107"/>
      <c r="L2356" s="13"/>
    </row>
    <row r="2357" ht="15.75" customHeight="1">
      <c r="A2357" s="13"/>
      <c r="B2357" s="13"/>
      <c r="C2357" s="13"/>
      <c r="D2357" s="13"/>
      <c r="E2357" s="13"/>
      <c r="F2357" s="227"/>
      <c r="G2357" s="13"/>
      <c r="H2357" s="107"/>
      <c r="I2357" s="13"/>
      <c r="J2357" s="107"/>
      <c r="K2357" s="107"/>
      <c r="L2357" s="13"/>
    </row>
    <row r="2358" ht="15.75" customHeight="1">
      <c r="A2358" s="13"/>
      <c r="B2358" s="13"/>
      <c r="C2358" s="13"/>
      <c r="D2358" s="13"/>
      <c r="E2358" s="13"/>
      <c r="F2358" s="227"/>
      <c r="G2358" s="13"/>
      <c r="H2358" s="107"/>
      <c r="I2358" s="13"/>
      <c r="J2358" s="107"/>
      <c r="K2358" s="107"/>
      <c r="L2358" s="13"/>
    </row>
    <row r="2359" ht="15.75" customHeight="1">
      <c r="A2359" s="13"/>
      <c r="B2359" s="13"/>
      <c r="C2359" s="13"/>
      <c r="D2359" s="13"/>
      <c r="E2359" s="13"/>
      <c r="F2359" s="227"/>
      <c r="G2359" s="13"/>
      <c r="H2359" s="107"/>
      <c r="I2359" s="13"/>
      <c r="J2359" s="107"/>
      <c r="K2359" s="107"/>
      <c r="L2359" s="13"/>
    </row>
    <row r="2360" ht="15.75" customHeight="1">
      <c r="A2360" s="13"/>
      <c r="B2360" s="13"/>
      <c r="C2360" s="13"/>
      <c r="D2360" s="13"/>
      <c r="E2360" s="13"/>
      <c r="F2360" s="227"/>
      <c r="G2360" s="13"/>
      <c r="H2360" s="107"/>
      <c r="I2360" s="13"/>
      <c r="J2360" s="107"/>
      <c r="K2360" s="107"/>
      <c r="L2360" s="13"/>
    </row>
    <row r="2361" ht="15.75" customHeight="1">
      <c r="A2361" s="13"/>
      <c r="B2361" s="13"/>
      <c r="C2361" s="13"/>
      <c r="D2361" s="13"/>
      <c r="E2361" s="13"/>
      <c r="F2361" s="227"/>
      <c r="G2361" s="13"/>
      <c r="H2361" s="107"/>
      <c r="I2361" s="13"/>
      <c r="J2361" s="107"/>
      <c r="K2361" s="107"/>
      <c r="L2361" s="13"/>
    </row>
    <row r="2362" ht="15.75" customHeight="1">
      <c r="A2362" s="13"/>
      <c r="B2362" s="13"/>
      <c r="C2362" s="13"/>
      <c r="D2362" s="13"/>
      <c r="E2362" s="13"/>
      <c r="F2362" s="227"/>
      <c r="G2362" s="13"/>
      <c r="H2362" s="107"/>
      <c r="I2362" s="13"/>
      <c r="J2362" s="107"/>
      <c r="K2362" s="107"/>
      <c r="L2362" s="13"/>
    </row>
    <row r="2363" ht="15.75" customHeight="1">
      <c r="A2363" s="13"/>
      <c r="B2363" s="13"/>
      <c r="C2363" s="13"/>
      <c r="D2363" s="13"/>
      <c r="E2363" s="13"/>
      <c r="F2363" s="227"/>
      <c r="G2363" s="13"/>
      <c r="H2363" s="107"/>
      <c r="I2363" s="13"/>
      <c r="J2363" s="107"/>
      <c r="K2363" s="107"/>
      <c r="L2363" s="13"/>
    </row>
    <row r="2364" ht="15.75" customHeight="1">
      <c r="A2364" s="13"/>
      <c r="B2364" s="13"/>
      <c r="C2364" s="13"/>
      <c r="D2364" s="13"/>
      <c r="E2364" s="13"/>
      <c r="F2364" s="227"/>
      <c r="G2364" s="13"/>
      <c r="H2364" s="107"/>
      <c r="I2364" s="13"/>
      <c r="J2364" s="107"/>
      <c r="K2364" s="107"/>
      <c r="L2364" s="13"/>
    </row>
    <row r="2365" ht="15.75" customHeight="1">
      <c r="A2365" s="13"/>
      <c r="B2365" s="13"/>
      <c r="C2365" s="13"/>
      <c r="D2365" s="13"/>
      <c r="E2365" s="13"/>
      <c r="F2365" s="227"/>
      <c r="G2365" s="13"/>
      <c r="H2365" s="107"/>
      <c r="I2365" s="13"/>
      <c r="J2365" s="107"/>
      <c r="K2365" s="107"/>
      <c r="L2365" s="13"/>
    </row>
    <row r="2366" ht="15.75" customHeight="1">
      <c r="A2366" s="13"/>
      <c r="B2366" s="13"/>
      <c r="C2366" s="13"/>
      <c r="D2366" s="13"/>
      <c r="E2366" s="13"/>
      <c r="F2366" s="227"/>
      <c r="G2366" s="13"/>
      <c r="H2366" s="107"/>
      <c r="I2366" s="13"/>
      <c r="J2366" s="107"/>
      <c r="K2366" s="107"/>
      <c r="L2366" s="13"/>
    </row>
    <row r="2367" ht="15.75" customHeight="1">
      <c r="A2367" s="13"/>
      <c r="B2367" s="13"/>
      <c r="C2367" s="13"/>
      <c r="D2367" s="13"/>
      <c r="E2367" s="13"/>
      <c r="F2367" s="227"/>
      <c r="G2367" s="13"/>
      <c r="H2367" s="107"/>
      <c r="I2367" s="13"/>
      <c r="J2367" s="107"/>
      <c r="K2367" s="107"/>
      <c r="L2367" s="13"/>
    </row>
    <row r="2368" ht="15.75" customHeight="1">
      <c r="A2368" s="13"/>
      <c r="B2368" s="13"/>
      <c r="C2368" s="13"/>
      <c r="D2368" s="13"/>
      <c r="E2368" s="13"/>
      <c r="F2368" s="227"/>
      <c r="G2368" s="13"/>
      <c r="H2368" s="107"/>
      <c r="I2368" s="13"/>
      <c r="J2368" s="107"/>
      <c r="K2368" s="107"/>
      <c r="L2368" s="13"/>
    </row>
    <row r="2369" ht="15.75" customHeight="1">
      <c r="A2369" s="13"/>
      <c r="B2369" s="13"/>
      <c r="C2369" s="13"/>
      <c r="D2369" s="13"/>
      <c r="E2369" s="13"/>
      <c r="F2369" s="227"/>
      <c r="G2369" s="13"/>
      <c r="H2369" s="107"/>
      <c r="I2369" s="13"/>
      <c r="J2369" s="107"/>
      <c r="K2369" s="107"/>
      <c r="L2369" s="13"/>
    </row>
    <row r="2370" ht="15.75" customHeight="1">
      <c r="A2370" s="13"/>
      <c r="B2370" s="13"/>
      <c r="C2370" s="13"/>
      <c r="D2370" s="13"/>
      <c r="E2370" s="13"/>
      <c r="F2370" s="227"/>
      <c r="G2370" s="13"/>
      <c r="H2370" s="107"/>
      <c r="I2370" s="13"/>
      <c r="J2370" s="107"/>
      <c r="K2370" s="107"/>
      <c r="L2370" s="13"/>
    </row>
    <row r="2371" ht="15.75" customHeight="1">
      <c r="A2371" s="13"/>
      <c r="B2371" s="13"/>
      <c r="C2371" s="13"/>
      <c r="D2371" s="13"/>
      <c r="E2371" s="13"/>
      <c r="F2371" s="227"/>
      <c r="G2371" s="13"/>
      <c r="H2371" s="107"/>
      <c r="I2371" s="13"/>
      <c r="J2371" s="107"/>
      <c r="K2371" s="107"/>
      <c r="L2371" s="13"/>
    </row>
    <row r="2372" ht="15.75" customHeight="1">
      <c r="A2372" s="13"/>
      <c r="B2372" s="13"/>
      <c r="C2372" s="13"/>
      <c r="D2372" s="13"/>
      <c r="E2372" s="13"/>
      <c r="F2372" s="227"/>
      <c r="G2372" s="13"/>
      <c r="H2372" s="107"/>
      <c r="I2372" s="13"/>
      <c r="J2372" s="107"/>
      <c r="K2372" s="107"/>
      <c r="L2372" s="13"/>
    </row>
    <row r="2373" ht="15.75" customHeight="1">
      <c r="A2373" s="13"/>
      <c r="B2373" s="13"/>
      <c r="C2373" s="13"/>
      <c r="D2373" s="13"/>
      <c r="E2373" s="13"/>
      <c r="F2373" s="227"/>
      <c r="G2373" s="13"/>
      <c r="H2373" s="107"/>
      <c r="I2373" s="13"/>
      <c r="J2373" s="107"/>
      <c r="K2373" s="107"/>
      <c r="L2373" s="13"/>
    </row>
    <row r="2374" ht="15.75" customHeight="1">
      <c r="A2374" s="13"/>
      <c r="B2374" s="13"/>
      <c r="C2374" s="13"/>
      <c r="D2374" s="13"/>
      <c r="E2374" s="13"/>
      <c r="F2374" s="227"/>
      <c r="G2374" s="13"/>
      <c r="H2374" s="107"/>
      <c r="I2374" s="13"/>
      <c r="J2374" s="107"/>
      <c r="K2374" s="107"/>
      <c r="L2374" s="13"/>
    </row>
    <row r="2375" ht="15.75" customHeight="1">
      <c r="A2375" s="13"/>
      <c r="B2375" s="13"/>
      <c r="C2375" s="13"/>
      <c r="D2375" s="13"/>
      <c r="E2375" s="13"/>
      <c r="F2375" s="227"/>
      <c r="G2375" s="13"/>
      <c r="H2375" s="107"/>
      <c r="I2375" s="13"/>
      <c r="J2375" s="107"/>
      <c r="K2375" s="107"/>
      <c r="L2375" s="13"/>
    </row>
    <row r="2376" ht="15.75" customHeight="1">
      <c r="A2376" s="13"/>
      <c r="B2376" s="13"/>
      <c r="C2376" s="13"/>
      <c r="D2376" s="13"/>
      <c r="E2376" s="13"/>
      <c r="F2376" s="227"/>
      <c r="G2376" s="13"/>
      <c r="H2376" s="107"/>
      <c r="I2376" s="13"/>
      <c r="J2376" s="107"/>
      <c r="K2376" s="107"/>
      <c r="L2376" s="13"/>
    </row>
    <row r="2377" ht="15.75" customHeight="1">
      <c r="A2377" s="13"/>
      <c r="B2377" s="13"/>
      <c r="C2377" s="13"/>
      <c r="D2377" s="13"/>
      <c r="E2377" s="13"/>
      <c r="F2377" s="227"/>
      <c r="G2377" s="13"/>
      <c r="H2377" s="107"/>
      <c r="I2377" s="13"/>
      <c r="J2377" s="107"/>
      <c r="K2377" s="107"/>
      <c r="L2377" s="13"/>
    </row>
    <row r="2378" ht="15.75" customHeight="1">
      <c r="A2378" s="13"/>
      <c r="B2378" s="13"/>
      <c r="C2378" s="13"/>
      <c r="D2378" s="13"/>
      <c r="E2378" s="13"/>
      <c r="F2378" s="227"/>
      <c r="G2378" s="13"/>
      <c r="H2378" s="107"/>
      <c r="I2378" s="13"/>
      <c r="J2378" s="107"/>
      <c r="K2378" s="107"/>
      <c r="L2378" s="13"/>
    </row>
    <row r="2379" ht="15.75" customHeight="1">
      <c r="A2379" s="13"/>
      <c r="B2379" s="13"/>
      <c r="C2379" s="13"/>
      <c r="D2379" s="13"/>
      <c r="E2379" s="13"/>
      <c r="F2379" s="227"/>
      <c r="G2379" s="13"/>
      <c r="H2379" s="107"/>
      <c r="I2379" s="13"/>
      <c r="J2379" s="107"/>
      <c r="K2379" s="107"/>
      <c r="L2379" s="13"/>
    </row>
    <row r="2380" ht="15.75" customHeight="1">
      <c r="A2380" s="13"/>
      <c r="B2380" s="13"/>
      <c r="C2380" s="13"/>
      <c r="D2380" s="13"/>
      <c r="E2380" s="13"/>
      <c r="F2380" s="227"/>
      <c r="G2380" s="13"/>
      <c r="H2380" s="107"/>
      <c r="I2380" s="13"/>
      <c r="J2380" s="107"/>
      <c r="K2380" s="107"/>
      <c r="L2380" s="13"/>
    </row>
    <row r="2381" ht="15.75" customHeight="1">
      <c r="A2381" s="13"/>
      <c r="B2381" s="13"/>
      <c r="C2381" s="13"/>
      <c r="D2381" s="13"/>
      <c r="E2381" s="13"/>
      <c r="F2381" s="227"/>
      <c r="G2381" s="13"/>
      <c r="H2381" s="107"/>
      <c r="I2381" s="13"/>
      <c r="J2381" s="107"/>
      <c r="K2381" s="107"/>
      <c r="L2381" s="13"/>
    </row>
    <row r="2382" ht="15.75" customHeight="1">
      <c r="A2382" s="13"/>
      <c r="B2382" s="13"/>
      <c r="C2382" s="13"/>
      <c r="D2382" s="13"/>
      <c r="E2382" s="13"/>
      <c r="F2382" s="227"/>
      <c r="G2382" s="13"/>
      <c r="H2382" s="107"/>
      <c r="I2382" s="13"/>
      <c r="J2382" s="107"/>
      <c r="K2382" s="107"/>
      <c r="L2382" s="13"/>
    </row>
    <row r="2383" ht="15.75" customHeight="1">
      <c r="A2383" s="13"/>
      <c r="B2383" s="13"/>
      <c r="C2383" s="13"/>
      <c r="D2383" s="13"/>
      <c r="E2383" s="13"/>
      <c r="F2383" s="227"/>
      <c r="G2383" s="13"/>
      <c r="H2383" s="107"/>
      <c r="I2383" s="13"/>
      <c r="J2383" s="107"/>
      <c r="K2383" s="107"/>
      <c r="L2383" s="13"/>
    </row>
    <row r="2384" ht="15.75" customHeight="1">
      <c r="A2384" s="13"/>
      <c r="B2384" s="13"/>
      <c r="C2384" s="13"/>
      <c r="D2384" s="13"/>
      <c r="E2384" s="13"/>
      <c r="F2384" s="227"/>
      <c r="G2384" s="13"/>
      <c r="H2384" s="107"/>
      <c r="I2384" s="13"/>
      <c r="J2384" s="107"/>
      <c r="K2384" s="107"/>
      <c r="L2384" s="13"/>
    </row>
    <row r="2385" ht="15.75" customHeight="1">
      <c r="A2385" s="13"/>
      <c r="B2385" s="13"/>
      <c r="C2385" s="13"/>
      <c r="D2385" s="13"/>
      <c r="E2385" s="13"/>
      <c r="F2385" s="227"/>
      <c r="G2385" s="13"/>
      <c r="H2385" s="107"/>
      <c r="I2385" s="13"/>
      <c r="J2385" s="107"/>
      <c r="K2385" s="107"/>
      <c r="L2385" s="13"/>
    </row>
    <row r="2386" ht="15.75" customHeight="1">
      <c r="A2386" s="13"/>
      <c r="B2386" s="13"/>
      <c r="C2386" s="13"/>
      <c r="D2386" s="13"/>
      <c r="E2386" s="13"/>
      <c r="F2386" s="227"/>
      <c r="G2386" s="13"/>
      <c r="H2386" s="107"/>
      <c r="I2386" s="13"/>
      <c r="J2386" s="107"/>
      <c r="K2386" s="107"/>
      <c r="L2386" s="13"/>
    </row>
    <row r="2387" ht="15.75" customHeight="1">
      <c r="A2387" s="13"/>
      <c r="B2387" s="13"/>
      <c r="C2387" s="13"/>
      <c r="D2387" s="13"/>
      <c r="E2387" s="13"/>
      <c r="F2387" s="227"/>
      <c r="G2387" s="13"/>
      <c r="H2387" s="107"/>
      <c r="I2387" s="13"/>
      <c r="J2387" s="107"/>
      <c r="K2387" s="107"/>
      <c r="L2387" s="13"/>
    </row>
    <row r="2388" ht="15.75" customHeight="1">
      <c r="A2388" s="13"/>
      <c r="B2388" s="13"/>
      <c r="C2388" s="13"/>
      <c r="D2388" s="13"/>
      <c r="E2388" s="13"/>
      <c r="F2388" s="227"/>
      <c r="G2388" s="13"/>
      <c r="H2388" s="107"/>
      <c r="I2388" s="13"/>
      <c r="J2388" s="107"/>
      <c r="K2388" s="107"/>
      <c r="L2388" s="13"/>
    </row>
    <row r="2389" ht="15.75" customHeight="1">
      <c r="A2389" s="13"/>
      <c r="B2389" s="13"/>
      <c r="C2389" s="13"/>
      <c r="D2389" s="13"/>
      <c r="E2389" s="13"/>
      <c r="F2389" s="227"/>
      <c r="G2389" s="13"/>
      <c r="H2389" s="107"/>
      <c r="I2389" s="13"/>
      <c r="J2389" s="107"/>
      <c r="K2389" s="107"/>
      <c r="L2389" s="13"/>
    </row>
    <row r="2390" ht="15.75" customHeight="1">
      <c r="A2390" s="13"/>
      <c r="B2390" s="13"/>
      <c r="C2390" s="13"/>
      <c r="D2390" s="13"/>
      <c r="E2390" s="13"/>
      <c r="F2390" s="227"/>
      <c r="G2390" s="13"/>
      <c r="H2390" s="107"/>
      <c r="I2390" s="13"/>
      <c r="J2390" s="107"/>
      <c r="K2390" s="107"/>
      <c r="L2390" s="13"/>
    </row>
    <row r="2391" ht="15.75" customHeight="1">
      <c r="A2391" s="13"/>
      <c r="B2391" s="13"/>
      <c r="C2391" s="13"/>
      <c r="D2391" s="13"/>
      <c r="E2391" s="13"/>
      <c r="F2391" s="227"/>
      <c r="G2391" s="13"/>
      <c r="H2391" s="107"/>
      <c r="I2391" s="13"/>
      <c r="J2391" s="107"/>
      <c r="K2391" s="107"/>
      <c r="L2391" s="13"/>
    </row>
    <row r="2392" ht="15.75" customHeight="1">
      <c r="A2392" s="13"/>
      <c r="B2392" s="13"/>
      <c r="C2392" s="13"/>
      <c r="D2392" s="13"/>
      <c r="E2392" s="13"/>
      <c r="F2392" s="227"/>
      <c r="G2392" s="13"/>
      <c r="H2392" s="107"/>
      <c r="I2392" s="13"/>
      <c r="J2392" s="107"/>
      <c r="K2392" s="107"/>
      <c r="L2392" s="13"/>
    </row>
    <row r="2393" ht="15.75" customHeight="1">
      <c r="A2393" s="13"/>
      <c r="B2393" s="13"/>
      <c r="C2393" s="13"/>
      <c r="D2393" s="13"/>
      <c r="E2393" s="13"/>
      <c r="F2393" s="227"/>
      <c r="G2393" s="13"/>
      <c r="H2393" s="107"/>
      <c r="I2393" s="13"/>
      <c r="J2393" s="107"/>
      <c r="K2393" s="107"/>
      <c r="L2393" s="13"/>
    </row>
    <row r="2394" ht="15.75" customHeight="1">
      <c r="A2394" s="13"/>
      <c r="B2394" s="13"/>
      <c r="C2394" s="13"/>
      <c r="D2394" s="13"/>
      <c r="E2394" s="13"/>
      <c r="F2394" s="227"/>
      <c r="G2394" s="13"/>
      <c r="H2394" s="107"/>
      <c r="I2394" s="13"/>
      <c r="J2394" s="107"/>
      <c r="K2394" s="107"/>
      <c r="L2394" s="13"/>
    </row>
    <row r="2395" ht="15.75" customHeight="1">
      <c r="A2395" s="13"/>
      <c r="B2395" s="13"/>
      <c r="C2395" s="13"/>
      <c r="D2395" s="13"/>
      <c r="E2395" s="13"/>
      <c r="F2395" s="227"/>
      <c r="G2395" s="13"/>
      <c r="H2395" s="107"/>
      <c r="I2395" s="13"/>
      <c r="J2395" s="107"/>
      <c r="K2395" s="107"/>
      <c r="L2395" s="13"/>
    </row>
    <row r="2396" ht="15.75" customHeight="1">
      <c r="A2396" s="13"/>
      <c r="B2396" s="13"/>
      <c r="C2396" s="13"/>
      <c r="D2396" s="13"/>
      <c r="E2396" s="13"/>
      <c r="F2396" s="227"/>
      <c r="G2396" s="13"/>
      <c r="H2396" s="107"/>
      <c r="I2396" s="13"/>
      <c r="J2396" s="107"/>
      <c r="K2396" s="107"/>
      <c r="L2396" s="13"/>
    </row>
    <row r="2397" ht="15.75" customHeight="1">
      <c r="A2397" s="13"/>
      <c r="B2397" s="13"/>
      <c r="C2397" s="13"/>
      <c r="D2397" s="13"/>
      <c r="E2397" s="13"/>
      <c r="F2397" s="227"/>
      <c r="G2397" s="13"/>
      <c r="H2397" s="107"/>
      <c r="I2397" s="13"/>
      <c r="J2397" s="107"/>
      <c r="K2397" s="107"/>
      <c r="L2397" s="13"/>
    </row>
    <row r="2398" ht="15.75" customHeight="1">
      <c r="A2398" s="13"/>
      <c r="B2398" s="13"/>
      <c r="C2398" s="13"/>
      <c r="D2398" s="13"/>
      <c r="E2398" s="13"/>
      <c r="F2398" s="227"/>
      <c r="G2398" s="13"/>
      <c r="H2398" s="107"/>
      <c r="I2398" s="13"/>
      <c r="J2398" s="107"/>
      <c r="K2398" s="107"/>
      <c r="L2398" s="13"/>
    </row>
    <row r="2399" ht="15.75" customHeight="1">
      <c r="A2399" s="13"/>
      <c r="B2399" s="13"/>
      <c r="C2399" s="13"/>
      <c r="D2399" s="13"/>
      <c r="E2399" s="13"/>
      <c r="F2399" s="227"/>
      <c r="G2399" s="13"/>
      <c r="H2399" s="107"/>
      <c r="I2399" s="13"/>
      <c r="J2399" s="107"/>
      <c r="K2399" s="107"/>
      <c r="L2399" s="13"/>
    </row>
    <row r="2400" ht="15.75" customHeight="1">
      <c r="A2400" s="13"/>
      <c r="B2400" s="13"/>
      <c r="C2400" s="13"/>
      <c r="D2400" s="13"/>
      <c r="E2400" s="13"/>
      <c r="F2400" s="227"/>
      <c r="G2400" s="13"/>
      <c r="H2400" s="107"/>
      <c r="I2400" s="13"/>
      <c r="J2400" s="107"/>
      <c r="K2400" s="107"/>
      <c r="L2400" s="13"/>
    </row>
    <row r="2401" ht="15.75" customHeight="1">
      <c r="A2401" s="13"/>
      <c r="B2401" s="13"/>
      <c r="C2401" s="13"/>
      <c r="D2401" s="13"/>
      <c r="E2401" s="13"/>
      <c r="F2401" s="227"/>
      <c r="G2401" s="13"/>
      <c r="H2401" s="107"/>
      <c r="I2401" s="13"/>
      <c r="J2401" s="107"/>
      <c r="K2401" s="107"/>
      <c r="L2401" s="13"/>
    </row>
    <row r="2402" ht="15.75" customHeight="1">
      <c r="A2402" s="13"/>
      <c r="B2402" s="13"/>
      <c r="C2402" s="13"/>
      <c r="D2402" s="13"/>
      <c r="E2402" s="13"/>
      <c r="F2402" s="227"/>
      <c r="G2402" s="13"/>
      <c r="H2402" s="107"/>
      <c r="I2402" s="13"/>
      <c r="J2402" s="107"/>
      <c r="K2402" s="107"/>
      <c r="L2402" s="13"/>
    </row>
    <row r="2403" ht="15.75" customHeight="1">
      <c r="A2403" s="13"/>
      <c r="B2403" s="13"/>
      <c r="C2403" s="13"/>
      <c r="D2403" s="13"/>
      <c r="E2403" s="13"/>
      <c r="F2403" s="227"/>
      <c r="G2403" s="13"/>
      <c r="H2403" s="107"/>
      <c r="I2403" s="13"/>
      <c r="J2403" s="107"/>
      <c r="K2403" s="107"/>
      <c r="L2403" s="13"/>
    </row>
    <row r="2404" ht="15.75" customHeight="1">
      <c r="A2404" s="13"/>
      <c r="B2404" s="13"/>
      <c r="C2404" s="13"/>
      <c r="D2404" s="13"/>
      <c r="E2404" s="13"/>
      <c r="F2404" s="227"/>
      <c r="G2404" s="13"/>
      <c r="H2404" s="107"/>
      <c r="I2404" s="13"/>
      <c r="J2404" s="107"/>
      <c r="K2404" s="107"/>
      <c r="L2404" s="13"/>
    </row>
    <row r="2405" ht="15.75" customHeight="1">
      <c r="A2405" s="13"/>
      <c r="B2405" s="13"/>
      <c r="C2405" s="13"/>
      <c r="D2405" s="13"/>
      <c r="E2405" s="13"/>
      <c r="F2405" s="227"/>
      <c r="G2405" s="13"/>
      <c r="H2405" s="107"/>
      <c r="I2405" s="13"/>
      <c r="J2405" s="107"/>
      <c r="K2405" s="107"/>
      <c r="L2405" s="13"/>
    </row>
    <row r="2406" ht="15.75" customHeight="1">
      <c r="A2406" s="13"/>
      <c r="B2406" s="13"/>
      <c r="C2406" s="13"/>
      <c r="D2406" s="13"/>
      <c r="E2406" s="13"/>
      <c r="F2406" s="227"/>
      <c r="G2406" s="13"/>
      <c r="H2406" s="107"/>
      <c r="I2406" s="13"/>
      <c r="J2406" s="107"/>
      <c r="K2406" s="107"/>
      <c r="L2406" s="13"/>
    </row>
    <row r="2407" ht="15.75" customHeight="1">
      <c r="A2407" s="13"/>
      <c r="B2407" s="13"/>
      <c r="C2407" s="13"/>
      <c r="D2407" s="13"/>
      <c r="E2407" s="13"/>
      <c r="F2407" s="227"/>
      <c r="G2407" s="13"/>
      <c r="H2407" s="107"/>
      <c r="I2407" s="13"/>
      <c r="J2407" s="107"/>
      <c r="K2407" s="107"/>
      <c r="L2407" s="13"/>
    </row>
    <row r="2408" ht="15.75" customHeight="1">
      <c r="A2408" s="13"/>
      <c r="B2408" s="13"/>
      <c r="C2408" s="13"/>
      <c r="D2408" s="13"/>
      <c r="E2408" s="13"/>
      <c r="F2408" s="227"/>
      <c r="G2408" s="13"/>
      <c r="H2408" s="107"/>
      <c r="I2408" s="13"/>
      <c r="J2408" s="107"/>
      <c r="K2408" s="107"/>
      <c r="L2408" s="13"/>
    </row>
    <row r="2409" ht="15.75" customHeight="1">
      <c r="A2409" s="13"/>
      <c r="B2409" s="13"/>
      <c r="C2409" s="13"/>
      <c r="D2409" s="13"/>
      <c r="E2409" s="13"/>
      <c r="F2409" s="227"/>
      <c r="G2409" s="13"/>
      <c r="H2409" s="107"/>
      <c r="I2409" s="13"/>
      <c r="J2409" s="107"/>
      <c r="K2409" s="107"/>
      <c r="L2409" s="13"/>
    </row>
    <row r="2410" ht="15.75" customHeight="1">
      <c r="A2410" s="13"/>
      <c r="B2410" s="13"/>
      <c r="C2410" s="13"/>
      <c r="D2410" s="13"/>
      <c r="E2410" s="13"/>
      <c r="F2410" s="227"/>
      <c r="G2410" s="13"/>
      <c r="H2410" s="107"/>
      <c r="I2410" s="13"/>
      <c r="J2410" s="107"/>
      <c r="K2410" s="107"/>
      <c r="L2410" s="13"/>
    </row>
    <row r="2411" ht="15.75" customHeight="1">
      <c r="A2411" s="13"/>
      <c r="B2411" s="13"/>
      <c r="C2411" s="13"/>
      <c r="D2411" s="13"/>
      <c r="E2411" s="13"/>
      <c r="F2411" s="227"/>
      <c r="G2411" s="13"/>
      <c r="H2411" s="107"/>
      <c r="I2411" s="13"/>
      <c r="J2411" s="107"/>
      <c r="K2411" s="107"/>
      <c r="L2411" s="13"/>
    </row>
    <row r="2412" ht="15.75" customHeight="1">
      <c r="A2412" s="13"/>
      <c r="B2412" s="13"/>
      <c r="C2412" s="13"/>
      <c r="D2412" s="13"/>
      <c r="E2412" s="13"/>
      <c r="F2412" s="227"/>
      <c r="G2412" s="13"/>
      <c r="H2412" s="107"/>
      <c r="I2412" s="13"/>
      <c r="J2412" s="107"/>
      <c r="K2412" s="107"/>
      <c r="L2412" s="13"/>
    </row>
    <row r="2413" ht="15.75" customHeight="1">
      <c r="A2413" s="13"/>
      <c r="B2413" s="13"/>
      <c r="C2413" s="13"/>
      <c r="D2413" s="13"/>
      <c r="E2413" s="13"/>
      <c r="F2413" s="227"/>
      <c r="G2413" s="13"/>
      <c r="H2413" s="107"/>
      <c r="I2413" s="13"/>
      <c r="J2413" s="107"/>
      <c r="K2413" s="107"/>
      <c r="L2413" s="13"/>
    </row>
    <row r="2414" ht="15.75" customHeight="1">
      <c r="A2414" s="13"/>
      <c r="B2414" s="13"/>
      <c r="C2414" s="13"/>
      <c r="D2414" s="13"/>
      <c r="E2414" s="13"/>
      <c r="F2414" s="227"/>
      <c r="G2414" s="13"/>
      <c r="H2414" s="107"/>
      <c r="I2414" s="13"/>
      <c r="J2414" s="107"/>
      <c r="K2414" s="107"/>
      <c r="L2414" s="13"/>
    </row>
    <row r="2415" ht="15.75" customHeight="1">
      <c r="A2415" s="13"/>
      <c r="B2415" s="13"/>
      <c r="C2415" s="13"/>
      <c r="D2415" s="13"/>
      <c r="E2415" s="13"/>
      <c r="F2415" s="227"/>
      <c r="G2415" s="13"/>
      <c r="H2415" s="107"/>
      <c r="I2415" s="13"/>
      <c r="J2415" s="107"/>
      <c r="K2415" s="107"/>
      <c r="L2415" s="13"/>
    </row>
    <row r="2416" ht="15.75" customHeight="1">
      <c r="A2416" s="13"/>
      <c r="B2416" s="13"/>
      <c r="C2416" s="13"/>
      <c r="D2416" s="13"/>
      <c r="E2416" s="13"/>
      <c r="F2416" s="227"/>
      <c r="G2416" s="13"/>
      <c r="H2416" s="107"/>
      <c r="I2416" s="13"/>
      <c r="J2416" s="107"/>
      <c r="K2416" s="107"/>
      <c r="L2416" s="13"/>
    </row>
    <row r="2417" ht="15.75" customHeight="1">
      <c r="A2417" s="13"/>
      <c r="B2417" s="13"/>
      <c r="C2417" s="13"/>
      <c r="D2417" s="13"/>
      <c r="E2417" s="13"/>
      <c r="F2417" s="227"/>
      <c r="G2417" s="13"/>
      <c r="H2417" s="107"/>
      <c r="I2417" s="13"/>
      <c r="J2417" s="107"/>
      <c r="K2417" s="107"/>
      <c r="L2417" s="13"/>
    </row>
    <row r="2418" ht="15.75" customHeight="1">
      <c r="A2418" s="13"/>
      <c r="B2418" s="13"/>
      <c r="C2418" s="13"/>
      <c r="D2418" s="13"/>
      <c r="E2418" s="13"/>
      <c r="F2418" s="227"/>
      <c r="G2418" s="13"/>
      <c r="H2418" s="107"/>
      <c r="I2418" s="13"/>
      <c r="J2418" s="107"/>
      <c r="K2418" s="107"/>
      <c r="L2418" s="13"/>
    </row>
    <row r="2419" ht="15.75" customHeight="1">
      <c r="A2419" s="13"/>
      <c r="B2419" s="13"/>
      <c r="C2419" s="13"/>
      <c r="D2419" s="13"/>
      <c r="E2419" s="13"/>
      <c r="F2419" s="227"/>
      <c r="G2419" s="13"/>
      <c r="H2419" s="107"/>
      <c r="I2419" s="13"/>
      <c r="J2419" s="107"/>
      <c r="K2419" s="107"/>
      <c r="L2419" s="13"/>
    </row>
    <row r="2420" ht="15.75" customHeight="1">
      <c r="A2420" s="13"/>
      <c r="B2420" s="13"/>
      <c r="C2420" s="13"/>
      <c r="D2420" s="13"/>
      <c r="E2420" s="13"/>
      <c r="F2420" s="227"/>
      <c r="G2420" s="13"/>
      <c r="H2420" s="107"/>
      <c r="I2420" s="13"/>
      <c r="J2420" s="107"/>
      <c r="K2420" s="107"/>
      <c r="L2420" s="13"/>
    </row>
    <row r="2421" ht="15.75" customHeight="1">
      <c r="A2421" s="13"/>
      <c r="B2421" s="13"/>
      <c r="C2421" s="13"/>
      <c r="D2421" s="13"/>
      <c r="E2421" s="13"/>
      <c r="F2421" s="227"/>
      <c r="G2421" s="13"/>
      <c r="H2421" s="107"/>
      <c r="I2421" s="13"/>
      <c r="J2421" s="107"/>
      <c r="K2421" s="107"/>
      <c r="L2421" s="13"/>
    </row>
    <row r="2422" ht="15.75" customHeight="1">
      <c r="A2422" s="13"/>
      <c r="B2422" s="13"/>
      <c r="C2422" s="13"/>
      <c r="D2422" s="13"/>
      <c r="E2422" s="13"/>
      <c r="F2422" s="227"/>
      <c r="G2422" s="13"/>
      <c r="H2422" s="107"/>
      <c r="I2422" s="13"/>
      <c r="J2422" s="107"/>
      <c r="K2422" s="107"/>
      <c r="L2422" s="13"/>
    </row>
    <row r="2423" ht="15.75" customHeight="1">
      <c r="A2423" s="13"/>
      <c r="B2423" s="13"/>
      <c r="C2423" s="13"/>
      <c r="D2423" s="13"/>
      <c r="E2423" s="13"/>
      <c r="F2423" s="227"/>
      <c r="G2423" s="13"/>
      <c r="H2423" s="107"/>
      <c r="I2423" s="13"/>
      <c r="J2423" s="107"/>
      <c r="K2423" s="107"/>
      <c r="L2423" s="13"/>
    </row>
    <row r="2424" ht="15.75" customHeight="1">
      <c r="A2424" s="13"/>
      <c r="B2424" s="13"/>
      <c r="C2424" s="13"/>
      <c r="D2424" s="13"/>
      <c r="E2424" s="13"/>
      <c r="F2424" s="227"/>
      <c r="G2424" s="13"/>
      <c r="H2424" s="107"/>
      <c r="I2424" s="13"/>
      <c r="J2424" s="107"/>
      <c r="K2424" s="107"/>
      <c r="L2424" s="13"/>
    </row>
    <row r="2425" ht="15.75" customHeight="1">
      <c r="A2425" s="13"/>
      <c r="B2425" s="13"/>
      <c r="C2425" s="13"/>
      <c r="D2425" s="13"/>
      <c r="E2425" s="13"/>
      <c r="F2425" s="227"/>
      <c r="G2425" s="13"/>
      <c r="H2425" s="107"/>
      <c r="I2425" s="13"/>
      <c r="J2425" s="107"/>
      <c r="K2425" s="107"/>
      <c r="L2425" s="13"/>
    </row>
    <row r="2426" ht="15.75" customHeight="1">
      <c r="A2426" s="13"/>
      <c r="B2426" s="13"/>
      <c r="C2426" s="13"/>
      <c r="D2426" s="13"/>
      <c r="E2426" s="13"/>
      <c r="F2426" s="227"/>
      <c r="G2426" s="13"/>
      <c r="H2426" s="107"/>
      <c r="I2426" s="13"/>
      <c r="J2426" s="107"/>
      <c r="K2426" s="107"/>
      <c r="L2426" s="13"/>
    </row>
    <row r="2427" ht="15.75" customHeight="1">
      <c r="A2427" s="13"/>
      <c r="B2427" s="13"/>
      <c r="C2427" s="13"/>
      <c r="D2427" s="13"/>
      <c r="E2427" s="13"/>
      <c r="F2427" s="227"/>
      <c r="G2427" s="13"/>
      <c r="H2427" s="107"/>
      <c r="I2427" s="13"/>
      <c r="J2427" s="107"/>
      <c r="K2427" s="107"/>
      <c r="L2427" s="13"/>
    </row>
    <row r="2428" ht="15.75" customHeight="1">
      <c r="A2428" s="13"/>
      <c r="B2428" s="13"/>
      <c r="C2428" s="13"/>
      <c r="D2428" s="13"/>
      <c r="E2428" s="13"/>
      <c r="F2428" s="227"/>
      <c r="G2428" s="13"/>
      <c r="H2428" s="107"/>
      <c r="I2428" s="13"/>
      <c r="J2428" s="107"/>
      <c r="K2428" s="107"/>
      <c r="L2428" s="13"/>
    </row>
    <row r="2429" ht="15.75" customHeight="1">
      <c r="A2429" s="13"/>
      <c r="B2429" s="13"/>
      <c r="C2429" s="13"/>
      <c r="D2429" s="13"/>
      <c r="E2429" s="13"/>
      <c r="F2429" s="227"/>
      <c r="G2429" s="13"/>
      <c r="H2429" s="107"/>
      <c r="I2429" s="13"/>
      <c r="J2429" s="107"/>
      <c r="K2429" s="107"/>
      <c r="L2429" s="13"/>
    </row>
    <row r="2430" ht="15.75" customHeight="1">
      <c r="A2430" s="13"/>
      <c r="B2430" s="13"/>
      <c r="C2430" s="13"/>
      <c r="D2430" s="13"/>
      <c r="E2430" s="13"/>
      <c r="F2430" s="227"/>
      <c r="G2430" s="13"/>
      <c r="H2430" s="107"/>
      <c r="I2430" s="13"/>
      <c r="J2430" s="107"/>
      <c r="K2430" s="107"/>
      <c r="L2430" s="13"/>
    </row>
    <row r="2431" ht="15.75" customHeight="1">
      <c r="A2431" s="13"/>
      <c r="B2431" s="13"/>
      <c r="C2431" s="13"/>
      <c r="D2431" s="13"/>
      <c r="E2431" s="13"/>
      <c r="F2431" s="227"/>
      <c r="G2431" s="13"/>
      <c r="H2431" s="107"/>
      <c r="I2431" s="13"/>
      <c r="J2431" s="107"/>
      <c r="K2431" s="107"/>
      <c r="L2431" s="13"/>
    </row>
    <row r="2432" ht="15.75" customHeight="1">
      <c r="A2432" s="13"/>
      <c r="B2432" s="13"/>
      <c r="C2432" s="13"/>
      <c r="D2432" s="13"/>
      <c r="E2432" s="13"/>
      <c r="F2432" s="227"/>
      <c r="G2432" s="13"/>
      <c r="H2432" s="107"/>
      <c r="I2432" s="13"/>
      <c r="J2432" s="107"/>
      <c r="K2432" s="107"/>
      <c r="L2432" s="13"/>
    </row>
    <row r="2433" ht="15.75" customHeight="1">
      <c r="A2433" s="13"/>
      <c r="B2433" s="13"/>
      <c r="C2433" s="13"/>
      <c r="D2433" s="13"/>
      <c r="E2433" s="13"/>
      <c r="F2433" s="227"/>
      <c r="G2433" s="13"/>
      <c r="H2433" s="107"/>
      <c r="I2433" s="13"/>
      <c r="J2433" s="107"/>
      <c r="K2433" s="107"/>
      <c r="L2433" s="13"/>
    </row>
    <row r="2434" ht="15.75" customHeight="1">
      <c r="A2434" s="13"/>
      <c r="B2434" s="13"/>
      <c r="C2434" s="13"/>
      <c r="D2434" s="13"/>
      <c r="E2434" s="13"/>
      <c r="F2434" s="227"/>
      <c r="G2434" s="13"/>
      <c r="H2434" s="107"/>
      <c r="I2434" s="13"/>
      <c r="J2434" s="107"/>
      <c r="K2434" s="107"/>
      <c r="L2434" s="13"/>
    </row>
    <row r="2435" ht="15.75" customHeight="1">
      <c r="A2435" s="13"/>
      <c r="B2435" s="13"/>
      <c r="C2435" s="13"/>
      <c r="D2435" s="13"/>
      <c r="E2435" s="13"/>
      <c r="F2435" s="227"/>
      <c r="G2435" s="13"/>
      <c r="H2435" s="107"/>
      <c r="I2435" s="13"/>
      <c r="J2435" s="107"/>
      <c r="K2435" s="107"/>
      <c r="L2435" s="13"/>
    </row>
    <row r="2436" ht="15.75" customHeight="1">
      <c r="A2436" s="13"/>
      <c r="B2436" s="13"/>
      <c r="C2436" s="13"/>
      <c r="D2436" s="13"/>
      <c r="E2436" s="13"/>
      <c r="F2436" s="227"/>
      <c r="G2436" s="13"/>
      <c r="H2436" s="107"/>
      <c r="I2436" s="13"/>
      <c r="J2436" s="107"/>
      <c r="K2436" s="107"/>
      <c r="L2436" s="13"/>
    </row>
    <row r="2437" ht="15.75" customHeight="1">
      <c r="A2437" s="13"/>
      <c r="B2437" s="13"/>
      <c r="C2437" s="13"/>
      <c r="D2437" s="13"/>
      <c r="E2437" s="13"/>
      <c r="F2437" s="227"/>
      <c r="G2437" s="13"/>
      <c r="H2437" s="107"/>
      <c r="I2437" s="13"/>
      <c r="J2437" s="107"/>
      <c r="K2437" s="107"/>
      <c r="L2437" s="13"/>
    </row>
    <row r="2438" ht="15.75" customHeight="1">
      <c r="A2438" s="13"/>
      <c r="B2438" s="13"/>
      <c r="C2438" s="13"/>
      <c r="D2438" s="13"/>
      <c r="E2438" s="13"/>
      <c r="F2438" s="227"/>
      <c r="G2438" s="13"/>
      <c r="H2438" s="107"/>
      <c r="I2438" s="13"/>
      <c r="J2438" s="107"/>
      <c r="K2438" s="107"/>
      <c r="L2438" s="13"/>
    </row>
    <row r="2439" ht="15.75" customHeight="1">
      <c r="A2439" s="13"/>
      <c r="B2439" s="13"/>
      <c r="C2439" s="13"/>
      <c r="D2439" s="13"/>
      <c r="E2439" s="13"/>
      <c r="F2439" s="227"/>
      <c r="G2439" s="13"/>
      <c r="H2439" s="107"/>
      <c r="I2439" s="13"/>
      <c r="J2439" s="107"/>
      <c r="K2439" s="107"/>
      <c r="L2439" s="13"/>
    </row>
    <row r="2440" ht="15.75" customHeight="1">
      <c r="A2440" s="13"/>
      <c r="B2440" s="13"/>
      <c r="C2440" s="13"/>
      <c r="D2440" s="13"/>
      <c r="E2440" s="13"/>
      <c r="F2440" s="227"/>
      <c r="G2440" s="13"/>
      <c r="H2440" s="107"/>
      <c r="I2440" s="13"/>
      <c r="J2440" s="107"/>
      <c r="K2440" s="107"/>
      <c r="L2440" s="13"/>
    </row>
    <row r="2441" ht="15.75" customHeight="1">
      <c r="A2441" s="13"/>
      <c r="B2441" s="13"/>
      <c r="C2441" s="13"/>
      <c r="D2441" s="13"/>
      <c r="E2441" s="13"/>
      <c r="F2441" s="227"/>
      <c r="G2441" s="13"/>
      <c r="H2441" s="107"/>
      <c r="I2441" s="13"/>
      <c r="J2441" s="107"/>
      <c r="K2441" s="107"/>
      <c r="L2441" s="13"/>
    </row>
    <row r="2442" ht="15.75" customHeight="1">
      <c r="A2442" s="13"/>
      <c r="B2442" s="13"/>
      <c r="C2442" s="13"/>
      <c r="D2442" s="13"/>
      <c r="E2442" s="13"/>
      <c r="F2442" s="227"/>
      <c r="G2442" s="13"/>
      <c r="H2442" s="107"/>
      <c r="I2442" s="13"/>
      <c r="J2442" s="107"/>
      <c r="K2442" s="107"/>
      <c r="L2442" s="13"/>
    </row>
    <row r="2443" ht="15.75" customHeight="1">
      <c r="A2443" s="13"/>
      <c r="B2443" s="13"/>
      <c r="C2443" s="13"/>
      <c r="D2443" s="13"/>
      <c r="E2443" s="13"/>
      <c r="F2443" s="227"/>
      <c r="G2443" s="13"/>
      <c r="H2443" s="107"/>
      <c r="I2443" s="13"/>
      <c r="J2443" s="107"/>
      <c r="K2443" s="107"/>
      <c r="L2443" s="13"/>
    </row>
    <row r="2444" ht="15.75" customHeight="1">
      <c r="A2444" s="13"/>
      <c r="B2444" s="13"/>
      <c r="C2444" s="13"/>
      <c r="D2444" s="13"/>
      <c r="E2444" s="13"/>
      <c r="F2444" s="227"/>
      <c r="G2444" s="13"/>
      <c r="H2444" s="107"/>
      <c r="I2444" s="13"/>
      <c r="J2444" s="107"/>
      <c r="K2444" s="107"/>
      <c r="L2444" s="13"/>
    </row>
    <row r="2445" ht="15.75" customHeight="1">
      <c r="A2445" s="13"/>
      <c r="B2445" s="13"/>
      <c r="C2445" s="13"/>
      <c r="D2445" s="13"/>
      <c r="E2445" s="13"/>
      <c r="F2445" s="227"/>
      <c r="G2445" s="13"/>
      <c r="H2445" s="107"/>
      <c r="I2445" s="13"/>
      <c r="J2445" s="107"/>
      <c r="K2445" s="107"/>
      <c r="L2445" s="13"/>
    </row>
    <row r="2446" ht="15.75" customHeight="1">
      <c r="A2446" s="13"/>
      <c r="B2446" s="13"/>
      <c r="C2446" s="13"/>
      <c r="D2446" s="13"/>
      <c r="E2446" s="13"/>
      <c r="F2446" s="227"/>
      <c r="G2446" s="13"/>
      <c r="H2446" s="107"/>
      <c r="I2446" s="13"/>
      <c r="J2446" s="107"/>
      <c r="K2446" s="107"/>
      <c r="L2446" s="13"/>
    </row>
    <row r="2447" ht="15.75" customHeight="1">
      <c r="A2447" s="13"/>
      <c r="B2447" s="13"/>
      <c r="C2447" s="13"/>
      <c r="D2447" s="13"/>
      <c r="E2447" s="13"/>
      <c r="F2447" s="227"/>
      <c r="G2447" s="13"/>
      <c r="H2447" s="107"/>
      <c r="I2447" s="13"/>
      <c r="J2447" s="107"/>
      <c r="K2447" s="107"/>
      <c r="L2447" s="13"/>
    </row>
    <row r="2448" ht="15.75" customHeight="1">
      <c r="A2448" s="13"/>
      <c r="B2448" s="13"/>
      <c r="C2448" s="13"/>
      <c r="D2448" s="13"/>
      <c r="E2448" s="13"/>
      <c r="F2448" s="227"/>
      <c r="G2448" s="13"/>
      <c r="H2448" s="107"/>
      <c r="I2448" s="13"/>
      <c r="J2448" s="107"/>
      <c r="K2448" s="107"/>
      <c r="L2448" s="13"/>
    </row>
    <row r="2449" ht="15.75" customHeight="1">
      <c r="A2449" s="13"/>
      <c r="B2449" s="13"/>
      <c r="C2449" s="13"/>
      <c r="D2449" s="13"/>
      <c r="E2449" s="13"/>
      <c r="F2449" s="227"/>
      <c r="G2449" s="13"/>
      <c r="H2449" s="107"/>
      <c r="I2449" s="13"/>
      <c r="J2449" s="107"/>
      <c r="K2449" s="107"/>
      <c r="L2449" s="13"/>
    </row>
    <row r="2450" ht="15.75" customHeight="1">
      <c r="A2450" s="13"/>
      <c r="B2450" s="13"/>
      <c r="C2450" s="13"/>
      <c r="D2450" s="13"/>
      <c r="E2450" s="13"/>
      <c r="F2450" s="227"/>
      <c r="G2450" s="13"/>
      <c r="H2450" s="107"/>
      <c r="I2450" s="13"/>
      <c r="J2450" s="107"/>
      <c r="K2450" s="107"/>
      <c r="L2450" s="13"/>
    </row>
    <row r="2451" ht="15.75" customHeight="1">
      <c r="A2451" s="13"/>
      <c r="B2451" s="13"/>
      <c r="C2451" s="13"/>
      <c r="D2451" s="13"/>
      <c r="E2451" s="13"/>
      <c r="F2451" s="227"/>
      <c r="G2451" s="13"/>
      <c r="H2451" s="107"/>
      <c r="I2451" s="13"/>
      <c r="J2451" s="107"/>
      <c r="K2451" s="107"/>
      <c r="L2451" s="13"/>
    </row>
    <row r="2452" ht="15.75" customHeight="1">
      <c r="A2452" s="13"/>
      <c r="B2452" s="13"/>
      <c r="C2452" s="13"/>
      <c r="D2452" s="13"/>
      <c r="E2452" s="13"/>
      <c r="F2452" s="227"/>
      <c r="G2452" s="13"/>
      <c r="H2452" s="107"/>
      <c r="I2452" s="13"/>
      <c r="J2452" s="107"/>
      <c r="K2452" s="107"/>
      <c r="L2452" s="13"/>
    </row>
    <row r="2453" ht="15.75" customHeight="1">
      <c r="A2453" s="13"/>
      <c r="B2453" s="13"/>
      <c r="C2453" s="13"/>
      <c r="D2453" s="13"/>
      <c r="E2453" s="13"/>
      <c r="F2453" s="227"/>
      <c r="G2453" s="13"/>
      <c r="H2453" s="107"/>
      <c r="I2453" s="13"/>
      <c r="J2453" s="107"/>
      <c r="K2453" s="107"/>
      <c r="L2453" s="13"/>
    </row>
    <row r="2454" ht="15.75" customHeight="1">
      <c r="A2454" s="13"/>
      <c r="B2454" s="13"/>
      <c r="C2454" s="13"/>
      <c r="D2454" s="13"/>
      <c r="E2454" s="13"/>
      <c r="F2454" s="227"/>
      <c r="G2454" s="13"/>
      <c r="H2454" s="107"/>
      <c r="I2454" s="13"/>
      <c r="J2454" s="107"/>
      <c r="K2454" s="107"/>
      <c r="L2454" s="13"/>
    </row>
    <row r="2455" ht="15.75" customHeight="1">
      <c r="A2455" s="13"/>
      <c r="B2455" s="13"/>
      <c r="C2455" s="13"/>
      <c r="D2455" s="13"/>
      <c r="E2455" s="13"/>
      <c r="F2455" s="227"/>
      <c r="G2455" s="13"/>
      <c r="H2455" s="107"/>
      <c r="I2455" s="13"/>
      <c r="J2455" s="107"/>
      <c r="K2455" s="107"/>
      <c r="L2455" s="13"/>
    </row>
    <row r="2456" ht="15.75" customHeight="1">
      <c r="A2456" s="13"/>
      <c r="B2456" s="13"/>
      <c r="C2456" s="13"/>
      <c r="D2456" s="13"/>
      <c r="E2456" s="13"/>
      <c r="F2456" s="227"/>
      <c r="G2456" s="13"/>
      <c r="H2456" s="107"/>
      <c r="I2456" s="13"/>
      <c r="J2456" s="107"/>
      <c r="K2456" s="107"/>
      <c r="L2456" s="13"/>
    </row>
    <row r="2457" ht="15.75" customHeight="1">
      <c r="A2457" s="13"/>
      <c r="B2457" s="13"/>
      <c r="C2457" s="13"/>
      <c r="D2457" s="13"/>
      <c r="E2457" s="13"/>
      <c r="F2457" s="227"/>
      <c r="G2457" s="13"/>
      <c r="H2457" s="107"/>
      <c r="I2457" s="13"/>
      <c r="J2457" s="107"/>
      <c r="K2457" s="107"/>
      <c r="L2457" s="13"/>
    </row>
    <row r="2458" ht="15.75" customHeight="1">
      <c r="A2458" s="13"/>
      <c r="B2458" s="13"/>
      <c r="C2458" s="13"/>
      <c r="D2458" s="13"/>
      <c r="E2458" s="13"/>
      <c r="F2458" s="227"/>
      <c r="G2458" s="13"/>
      <c r="H2458" s="107"/>
      <c r="I2458" s="13"/>
      <c r="J2458" s="107"/>
      <c r="K2458" s="107"/>
      <c r="L2458" s="13"/>
    </row>
    <row r="2459" ht="15.75" customHeight="1">
      <c r="A2459" s="13"/>
      <c r="B2459" s="13"/>
      <c r="C2459" s="13"/>
      <c r="D2459" s="13"/>
      <c r="E2459" s="13"/>
      <c r="F2459" s="227"/>
      <c r="G2459" s="13"/>
      <c r="H2459" s="107"/>
      <c r="I2459" s="13"/>
      <c r="J2459" s="107"/>
      <c r="K2459" s="107"/>
      <c r="L2459" s="13"/>
    </row>
    <row r="2460" ht="15.75" customHeight="1">
      <c r="A2460" s="13"/>
      <c r="B2460" s="13"/>
      <c r="C2460" s="13"/>
      <c r="D2460" s="13"/>
      <c r="E2460" s="13"/>
      <c r="F2460" s="227"/>
      <c r="G2460" s="13"/>
      <c r="H2460" s="107"/>
      <c r="I2460" s="13"/>
      <c r="J2460" s="107"/>
      <c r="K2460" s="107"/>
      <c r="L2460" s="13"/>
    </row>
    <row r="2461" ht="15.75" customHeight="1">
      <c r="A2461" s="13"/>
      <c r="B2461" s="13"/>
      <c r="C2461" s="13"/>
      <c r="D2461" s="13"/>
      <c r="E2461" s="13"/>
      <c r="F2461" s="227"/>
      <c r="G2461" s="13"/>
      <c r="H2461" s="107"/>
      <c r="I2461" s="13"/>
      <c r="J2461" s="107"/>
      <c r="K2461" s="107"/>
      <c r="L2461" s="13"/>
    </row>
    <row r="2462" ht="15.75" customHeight="1">
      <c r="A2462" s="13"/>
      <c r="B2462" s="13"/>
      <c r="C2462" s="13"/>
      <c r="D2462" s="13"/>
      <c r="E2462" s="13"/>
      <c r="F2462" s="227"/>
      <c r="G2462" s="13"/>
      <c r="H2462" s="107"/>
      <c r="I2462" s="13"/>
      <c r="J2462" s="107"/>
      <c r="K2462" s="107"/>
      <c r="L2462" s="13"/>
    </row>
    <row r="2463" ht="15.75" customHeight="1">
      <c r="A2463" s="13"/>
      <c r="B2463" s="13"/>
      <c r="C2463" s="13"/>
      <c r="D2463" s="13"/>
      <c r="E2463" s="13"/>
      <c r="F2463" s="227"/>
      <c r="G2463" s="13"/>
      <c r="H2463" s="107"/>
      <c r="I2463" s="13"/>
      <c r="J2463" s="107"/>
      <c r="K2463" s="107"/>
      <c r="L2463" s="13"/>
    </row>
    <row r="2464" ht="15.75" customHeight="1">
      <c r="A2464" s="13"/>
      <c r="B2464" s="13"/>
      <c r="C2464" s="13"/>
      <c r="D2464" s="13"/>
      <c r="E2464" s="13"/>
      <c r="F2464" s="227"/>
      <c r="G2464" s="13"/>
      <c r="H2464" s="107"/>
      <c r="I2464" s="13"/>
      <c r="J2464" s="107"/>
      <c r="K2464" s="107"/>
      <c r="L2464" s="13"/>
    </row>
    <row r="2465" ht="15.75" customHeight="1">
      <c r="A2465" s="13"/>
      <c r="B2465" s="13"/>
      <c r="C2465" s="13"/>
      <c r="D2465" s="13"/>
      <c r="E2465" s="13"/>
      <c r="F2465" s="227"/>
      <c r="G2465" s="13"/>
      <c r="H2465" s="107"/>
      <c r="I2465" s="13"/>
      <c r="J2465" s="107"/>
      <c r="K2465" s="107"/>
      <c r="L2465" s="13"/>
    </row>
    <row r="2466" ht="15.75" customHeight="1">
      <c r="A2466" s="13"/>
      <c r="B2466" s="13"/>
      <c r="C2466" s="13"/>
      <c r="D2466" s="13"/>
      <c r="E2466" s="13"/>
      <c r="F2466" s="227"/>
      <c r="G2466" s="13"/>
      <c r="H2466" s="107"/>
      <c r="I2466" s="13"/>
      <c r="J2466" s="107"/>
      <c r="K2466" s="107"/>
      <c r="L2466" s="13"/>
    </row>
    <row r="2467" ht="15.75" customHeight="1">
      <c r="A2467" s="13"/>
      <c r="B2467" s="13"/>
      <c r="C2467" s="13"/>
      <c r="D2467" s="13"/>
      <c r="E2467" s="13"/>
      <c r="F2467" s="227"/>
      <c r="G2467" s="13"/>
      <c r="H2467" s="107"/>
      <c r="I2467" s="13"/>
      <c r="J2467" s="107"/>
      <c r="K2467" s="107"/>
      <c r="L2467" s="13"/>
    </row>
    <row r="2468" ht="15.75" customHeight="1">
      <c r="A2468" s="13"/>
      <c r="B2468" s="13"/>
      <c r="C2468" s="13"/>
      <c r="D2468" s="13"/>
      <c r="E2468" s="13"/>
      <c r="F2468" s="227"/>
      <c r="G2468" s="13"/>
      <c r="H2468" s="107"/>
      <c r="I2468" s="13"/>
      <c r="J2468" s="107"/>
      <c r="K2468" s="107"/>
      <c r="L2468" s="13"/>
    </row>
    <row r="2469" ht="15.75" customHeight="1">
      <c r="A2469" s="13"/>
      <c r="B2469" s="13"/>
      <c r="C2469" s="13"/>
      <c r="D2469" s="13"/>
      <c r="E2469" s="13"/>
      <c r="F2469" s="227"/>
      <c r="G2469" s="13"/>
      <c r="H2469" s="107"/>
      <c r="I2469" s="13"/>
      <c r="J2469" s="107"/>
      <c r="K2469" s="107"/>
      <c r="L2469" s="13"/>
    </row>
    <row r="2470" ht="15.75" customHeight="1">
      <c r="A2470" s="13"/>
      <c r="B2470" s="13"/>
      <c r="C2470" s="13"/>
      <c r="D2470" s="13"/>
      <c r="E2470" s="13"/>
      <c r="F2470" s="227"/>
      <c r="G2470" s="13"/>
      <c r="H2470" s="107"/>
      <c r="I2470" s="13"/>
      <c r="J2470" s="107"/>
      <c r="K2470" s="107"/>
      <c r="L2470" s="13"/>
    </row>
    <row r="2471" ht="15.75" customHeight="1">
      <c r="A2471" s="13"/>
      <c r="B2471" s="13"/>
      <c r="C2471" s="13"/>
      <c r="D2471" s="13"/>
      <c r="E2471" s="13"/>
      <c r="F2471" s="227"/>
      <c r="G2471" s="13"/>
      <c r="H2471" s="107"/>
      <c r="I2471" s="13"/>
      <c r="J2471" s="107"/>
      <c r="K2471" s="107"/>
      <c r="L2471" s="13"/>
    </row>
    <row r="2472" ht="15.75" customHeight="1">
      <c r="A2472" s="13"/>
      <c r="B2472" s="13"/>
      <c r="C2472" s="13"/>
      <c r="D2472" s="13"/>
      <c r="E2472" s="13"/>
      <c r="F2472" s="227"/>
      <c r="G2472" s="13"/>
      <c r="H2472" s="107"/>
      <c r="I2472" s="13"/>
      <c r="J2472" s="107"/>
      <c r="K2472" s="107"/>
      <c r="L2472" s="13"/>
    </row>
    <row r="2473" ht="15.75" customHeight="1">
      <c r="A2473" s="13"/>
      <c r="B2473" s="13"/>
      <c r="C2473" s="13"/>
      <c r="D2473" s="13"/>
      <c r="E2473" s="13"/>
      <c r="F2473" s="227"/>
      <c r="G2473" s="13"/>
      <c r="H2473" s="107"/>
      <c r="I2473" s="13"/>
      <c r="J2473" s="107"/>
      <c r="K2473" s="107"/>
      <c r="L2473" s="13"/>
    </row>
    <row r="2474" ht="15.75" customHeight="1">
      <c r="A2474" s="13"/>
      <c r="B2474" s="13"/>
      <c r="C2474" s="13"/>
      <c r="D2474" s="13"/>
      <c r="E2474" s="13"/>
      <c r="F2474" s="227"/>
      <c r="G2474" s="13"/>
      <c r="H2474" s="107"/>
      <c r="I2474" s="13"/>
      <c r="J2474" s="107"/>
      <c r="K2474" s="107"/>
      <c r="L2474" s="13"/>
    </row>
    <row r="2475" ht="15.75" customHeight="1">
      <c r="A2475" s="13"/>
      <c r="B2475" s="13"/>
      <c r="C2475" s="13"/>
      <c r="D2475" s="13"/>
      <c r="E2475" s="13"/>
      <c r="F2475" s="227"/>
      <c r="G2475" s="13"/>
      <c r="H2475" s="107"/>
      <c r="I2475" s="13"/>
      <c r="J2475" s="107"/>
      <c r="K2475" s="107"/>
      <c r="L2475" s="13"/>
    </row>
    <row r="2476" ht="15.75" customHeight="1">
      <c r="A2476" s="13"/>
      <c r="B2476" s="13"/>
      <c r="C2476" s="13"/>
      <c r="D2476" s="13"/>
      <c r="E2476" s="13"/>
      <c r="F2476" s="227"/>
      <c r="G2476" s="13"/>
      <c r="H2476" s="107"/>
      <c r="I2476" s="13"/>
      <c r="J2476" s="107"/>
      <c r="K2476" s="107"/>
      <c r="L2476" s="13"/>
    </row>
    <row r="2477" ht="15.75" customHeight="1">
      <c r="A2477" s="13"/>
      <c r="B2477" s="13"/>
      <c r="C2477" s="13"/>
      <c r="D2477" s="13"/>
      <c r="E2477" s="13"/>
      <c r="F2477" s="227"/>
      <c r="G2477" s="13"/>
      <c r="H2477" s="107"/>
      <c r="I2477" s="13"/>
      <c r="J2477" s="107"/>
      <c r="K2477" s="107"/>
      <c r="L2477" s="13"/>
    </row>
    <row r="2478" ht="15.75" customHeight="1">
      <c r="A2478" s="13"/>
      <c r="B2478" s="13"/>
      <c r="C2478" s="13"/>
      <c r="D2478" s="13"/>
      <c r="E2478" s="13"/>
      <c r="F2478" s="227"/>
      <c r="G2478" s="13"/>
      <c r="H2478" s="107"/>
      <c r="I2478" s="13"/>
      <c r="J2478" s="107"/>
      <c r="K2478" s="107"/>
      <c r="L2478" s="13"/>
    </row>
    <row r="2479" ht="15.75" customHeight="1">
      <c r="A2479" s="13"/>
      <c r="B2479" s="13"/>
      <c r="C2479" s="13"/>
      <c r="D2479" s="13"/>
      <c r="E2479" s="13"/>
      <c r="F2479" s="227"/>
      <c r="G2479" s="13"/>
      <c r="H2479" s="107"/>
      <c r="I2479" s="13"/>
      <c r="J2479" s="107"/>
      <c r="K2479" s="107"/>
      <c r="L2479" s="13"/>
    </row>
    <row r="2480" ht="15.75" customHeight="1">
      <c r="A2480" s="13"/>
      <c r="B2480" s="13"/>
      <c r="C2480" s="13"/>
      <c r="D2480" s="13"/>
      <c r="E2480" s="13"/>
      <c r="F2480" s="227"/>
      <c r="G2480" s="13"/>
      <c r="H2480" s="107"/>
      <c r="I2480" s="13"/>
      <c r="J2480" s="107"/>
      <c r="K2480" s="107"/>
      <c r="L2480" s="13"/>
    </row>
    <row r="2481" ht="15.75" customHeight="1">
      <c r="A2481" s="13"/>
      <c r="B2481" s="13"/>
      <c r="C2481" s="13"/>
      <c r="D2481" s="13"/>
      <c r="E2481" s="13"/>
      <c r="F2481" s="227"/>
      <c r="G2481" s="13"/>
      <c r="H2481" s="107"/>
      <c r="I2481" s="13"/>
      <c r="J2481" s="107"/>
      <c r="K2481" s="107"/>
      <c r="L2481" s="13"/>
    </row>
    <row r="2482" ht="15.75" customHeight="1">
      <c r="A2482" s="13"/>
      <c r="B2482" s="13"/>
      <c r="C2482" s="13"/>
      <c r="D2482" s="13"/>
      <c r="E2482" s="13"/>
      <c r="F2482" s="227"/>
      <c r="G2482" s="13"/>
      <c r="H2482" s="107"/>
      <c r="I2482" s="13"/>
      <c r="J2482" s="107"/>
      <c r="K2482" s="107"/>
      <c r="L2482" s="13"/>
    </row>
    <row r="2483" ht="15.75" customHeight="1">
      <c r="A2483" s="13"/>
      <c r="B2483" s="13"/>
      <c r="C2483" s="13"/>
      <c r="D2483" s="13"/>
      <c r="E2483" s="13"/>
      <c r="F2483" s="227"/>
      <c r="G2483" s="13"/>
      <c r="H2483" s="107"/>
      <c r="I2483" s="13"/>
      <c r="J2483" s="107"/>
      <c r="K2483" s="107"/>
      <c r="L2483" s="13"/>
    </row>
    <row r="2484" ht="15.75" customHeight="1">
      <c r="A2484" s="13"/>
      <c r="B2484" s="13"/>
      <c r="C2484" s="13"/>
      <c r="D2484" s="13"/>
      <c r="E2484" s="13"/>
      <c r="F2484" s="227"/>
      <c r="G2484" s="13"/>
      <c r="H2484" s="107"/>
      <c r="I2484" s="13"/>
      <c r="J2484" s="107"/>
      <c r="K2484" s="107"/>
      <c r="L2484" s="13"/>
    </row>
    <row r="2485" ht="15.75" customHeight="1">
      <c r="A2485" s="13"/>
      <c r="B2485" s="13"/>
      <c r="C2485" s="13"/>
      <c r="D2485" s="13"/>
      <c r="E2485" s="13"/>
      <c r="F2485" s="227"/>
      <c r="G2485" s="13"/>
      <c r="H2485" s="107"/>
      <c r="I2485" s="13"/>
      <c r="J2485" s="107"/>
      <c r="K2485" s="107"/>
      <c r="L2485" s="13"/>
    </row>
    <row r="2486" ht="15.75" customHeight="1">
      <c r="A2486" s="13"/>
      <c r="B2486" s="13"/>
      <c r="C2486" s="13"/>
      <c r="D2486" s="13"/>
      <c r="E2486" s="13"/>
      <c r="F2486" s="227"/>
      <c r="G2486" s="13"/>
      <c r="H2486" s="107"/>
      <c r="I2486" s="13"/>
      <c r="J2486" s="107"/>
      <c r="K2486" s="107"/>
      <c r="L2486" s="13"/>
    </row>
    <row r="2487" ht="15.75" customHeight="1">
      <c r="A2487" s="13"/>
      <c r="B2487" s="13"/>
      <c r="C2487" s="13"/>
      <c r="D2487" s="13"/>
      <c r="E2487" s="13"/>
      <c r="F2487" s="227"/>
      <c r="G2487" s="13"/>
      <c r="H2487" s="107"/>
      <c r="I2487" s="13"/>
      <c r="J2487" s="107"/>
      <c r="K2487" s="107"/>
      <c r="L2487" s="13"/>
    </row>
    <row r="2488" ht="15.75" customHeight="1">
      <c r="A2488" s="13"/>
      <c r="B2488" s="13"/>
      <c r="C2488" s="13"/>
      <c r="D2488" s="13"/>
      <c r="E2488" s="13"/>
      <c r="F2488" s="227"/>
      <c r="G2488" s="13"/>
      <c r="H2488" s="107"/>
      <c r="I2488" s="13"/>
      <c r="J2488" s="107"/>
      <c r="K2488" s="107"/>
      <c r="L2488" s="13"/>
    </row>
    <row r="2489" ht="15.75" customHeight="1">
      <c r="A2489" s="13"/>
      <c r="B2489" s="13"/>
      <c r="C2489" s="13"/>
      <c r="D2489" s="13"/>
      <c r="E2489" s="13"/>
      <c r="F2489" s="227"/>
      <c r="G2489" s="13"/>
      <c r="H2489" s="107"/>
      <c r="I2489" s="13"/>
      <c r="J2489" s="107"/>
      <c r="K2489" s="107"/>
      <c r="L2489" s="13"/>
    </row>
    <row r="2490" ht="15.75" customHeight="1">
      <c r="A2490" s="13"/>
      <c r="B2490" s="13"/>
      <c r="C2490" s="13"/>
      <c r="D2490" s="13"/>
      <c r="E2490" s="13"/>
      <c r="F2490" s="227"/>
      <c r="G2490" s="13"/>
      <c r="H2490" s="107"/>
      <c r="I2490" s="13"/>
      <c r="J2490" s="107"/>
      <c r="K2490" s="107"/>
      <c r="L2490" s="13"/>
    </row>
    <row r="2491" ht="15.75" customHeight="1">
      <c r="A2491" s="13"/>
      <c r="B2491" s="13"/>
      <c r="C2491" s="13"/>
      <c r="D2491" s="13"/>
      <c r="E2491" s="13"/>
      <c r="F2491" s="227"/>
      <c r="G2491" s="13"/>
      <c r="H2491" s="107"/>
      <c r="I2491" s="13"/>
      <c r="J2491" s="107"/>
      <c r="K2491" s="107"/>
      <c r="L2491" s="13"/>
    </row>
    <row r="2492" ht="15.75" customHeight="1">
      <c r="A2492" s="13"/>
      <c r="B2492" s="13"/>
      <c r="C2492" s="13"/>
      <c r="D2492" s="13"/>
      <c r="E2492" s="13"/>
      <c r="F2492" s="227"/>
      <c r="G2492" s="13"/>
      <c r="H2492" s="107"/>
      <c r="I2492" s="13"/>
      <c r="J2492" s="107"/>
      <c r="K2492" s="107"/>
      <c r="L2492" s="13"/>
    </row>
    <row r="2493" ht="15.75" customHeight="1">
      <c r="A2493" s="13"/>
      <c r="B2493" s="13"/>
      <c r="C2493" s="13"/>
      <c r="D2493" s="13"/>
      <c r="E2493" s="13"/>
      <c r="F2493" s="227"/>
      <c r="G2493" s="13"/>
      <c r="H2493" s="107"/>
      <c r="I2493" s="13"/>
      <c r="J2493" s="107"/>
      <c r="K2493" s="107"/>
      <c r="L2493" s="13"/>
    </row>
    <row r="2494" ht="15.75" customHeight="1">
      <c r="A2494" s="13"/>
      <c r="B2494" s="13"/>
      <c r="C2494" s="13"/>
      <c r="D2494" s="13"/>
      <c r="E2494" s="13"/>
      <c r="F2494" s="227"/>
      <c r="G2494" s="13"/>
      <c r="H2494" s="107"/>
      <c r="I2494" s="13"/>
      <c r="J2494" s="107"/>
      <c r="K2494" s="107"/>
      <c r="L2494" s="13"/>
    </row>
    <row r="2495" ht="15.75" customHeight="1">
      <c r="A2495" s="13"/>
      <c r="B2495" s="13"/>
      <c r="C2495" s="13"/>
      <c r="D2495" s="13"/>
      <c r="E2495" s="13"/>
      <c r="F2495" s="227"/>
      <c r="G2495" s="13"/>
      <c r="H2495" s="107"/>
      <c r="I2495" s="13"/>
      <c r="J2495" s="107"/>
      <c r="K2495" s="107"/>
      <c r="L2495" s="13"/>
    </row>
    <row r="2496" ht="15.75" customHeight="1">
      <c r="A2496" s="13"/>
      <c r="B2496" s="13"/>
      <c r="C2496" s="13"/>
      <c r="D2496" s="13"/>
      <c r="E2496" s="13"/>
      <c r="F2496" s="227"/>
      <c r="G2496" s="13"/>
      <c r="H2496" s="107"/>
      <c r="I2496" s="13"/>
      <c r="J2496" s="107"/>
      <c r="K2496" s="107"/>
      <c r="L2496" s="13"/>
    </row>
    <row r="2497" ht="15.75" customHeight="1">
      <c r="A2497" s="13"/>
      <c r="B2497" s="13"/>
      <c r="C2497" s="13"/>
      <c r="D2497" s="13"/>
      <c r="E2497" s="13"/>
      <c r="F2497" s="227"/>
      <c r="G2497" s="13"/>
      <c r="H2497" s="107"/>
      <c r="I2497" s="13"/>
      <c r="J2497" s="107"/>
      <c r="K2497" s="107"/>
      <c r="L2497" s="13"/>
    </row>
    <row r="2498" ht="15.75" customHeight="1">
      <c r="A2498" s="13"/>
      <c r="B2498" s="13"/>
      <c r="C2498" s="13"/>
      <c r="D2498" s="13"/>
      <c r="E2498" s="13"/>
      <c r="F2498" s="227"/>
      <c r="G2498" s="13"/>
      <c r="H2498" s="107"/>
      <c r="I2498" s="13"/>
      <c r="J2498" s="107"/>
      <c r="K2498" s="107"/>
      <c r="L2498" s="13"/>
    </row>
    <row r="2499" ht="15.75" customHeight="1">
      <c r="A2499" s="13"/>
      <c r="B2499" s="13"/>
      <c r="C2499" s="13"/>
      <c r="D2499" s="13"/>
      <c r="E2499" s="13"/>
      <c r="F2499" s="227"/>
      <c r="G2499" s="13"/>
      <c r="H2499" s="107"/>
      <c r="I2499" s="13"/>
      <c r="J2499" s="107"/>
      <c r="K2499" s="107"/>
      <c r="L2499" s="13"/>
    </row>
    <row r="2500" ht="15.75" customHeight="1">
      <c r="A2500" s="13"/>
      <c r="B2500" s="13"/>
      <c r="C2500" s="13"/>
      <c r="D2500" s="13"/>
      <c r="E2500" s="13"/>
      <c r="F2500" s="227"/>
      <c r="G2500" s="13"/>
      <c r="H2500" s="107"/>
      <c r="I2500" s="13"/>
      <c r="J2500" s="107"/>
      <c r="K2500" s="107"/>
      <c r="L2500" s="13"/>
    </row>
    <row r="2501" ht="15.75" customHeight="1">
      <c r="A2501" s="13"/>
      <c r="B2501" s="13"/>
      <c r="C2501" s="13"/>
      <c r="D2501" s="13"/>
      <c r="E2501" s="13"/>
      <c r="F2501" s="227"/>
      <c r="G2501" s="13"/>
      <c r="H2501" s="107"/>
      <c r="I2501" s="13"/>
      <c r="J2501" s="107"/>
      <c r="K2501" s="107"/>
      <c r="L2501" s="13"/>
    </row>
    <row r="2502" ht="15.75" customHeight="1">
      <c r="A2502" s="13"/>
      <c r="B2502" s="13"/>
      <c r="C2502" s="13"/>
      <c r="D2502" s="13"/>
      <c r="E2502" s="13"/>
      <c r="F2502" s="227"/>
      <c r="G2502" s="13"/>
      <c r="H2502" s="107"/>
      <c r="I2502" s="13"/>
      <c r="J2502" s="107"/>
      <c r="K2502" s="107"/>
      <c r="L2502" s="13"/>
    </row>
    <row r="2503" ht="15.75" customHeight="1">
      <c r="A2503" s="13"/>
      <c r="B2503" s="13"/>
      <c r="C2503" s="13"/>
      <c r="D2503" s="13"/>
      <c r="E2503" s="13"/>
      <c r="F2503" s="227"/>
      <c r="G2503" s="13"/>
      <c r="H2503" s="107"/>
      <c r="I2503" s="13"/>
      <c r="J2503" s="107"/>
      <c r="K2503" s="107"/>
      <c r="L2503" s="13"/>
    </row>
    <row r="2504" ht="15.75" customHeight="1">
      <c r="A2504" s="13"/>
      <c r="B2504" s="13"/>
      <c r="C2504" s="13"/>
      <c r="D2504" s="13"/>
      <c r="E2504" s="13"/>
      <c r="F2504" s="227"/>
      <c r="G2504" s="13"/>
      <c r="H2504" s="107"/>
      <c r="I2504" s="13"/>
      <c r="J2504" s="107"/>
      <c r="K2504" s="107"/>
      <c r="L2504" s="13"/>
    </row>
    <row r="2505" ht="15.75" customHeight="1">
      <c r="A2505" s="13"/>
      <c r="B2505" s="13"/>
      <c r="C2505" s="13"/>
      <c r="D2505" s="13"/>
      <c r="E2505" s="13"/>
      <c r="F2505" s="227"/>
      <c r="G2505" s="13"/>
      <c r="H2505" s="107"/>
      <c r="I2505" s="13"/>
      <c r="J2505" s="107"/>
      <c r="K2505" s="107"/>
      <c r="L2505" s="13"/>
    </row>
    <row r="2506" ht="15.75" customHeight="1">
      <c r="A2506" s="13"/>
      <c r="B2506" s="13"/>
      <c r="C2506" s="13"/>
      <c r="D2506" s="13"/>
      <c r="E2506" s="13"/>
      <c r="F2506" s="227"/>
      <c r="G2506" s="13"/>
      <c r="H2506" s="107"/>
      <c r="I2506" s="13"/>
      <c r="J2506" s="107"/>
      <c r="K2506" s="107"/>
      <c r="L2506" s="13"/>
    </row>
    <row r="2507" ht="15.75" customHeight="1">
      <c r="A2507" s="13"/>
      <c r="B2507" s="13"/>
      <c r="C2507" s="13"/>
      <c r="D2507" s="13"/>
      <c r="E2507" s="13"/>
      <c r="F2507" s="227"/>
      <c r="G2507" s="13"/>
      <c r="H2507" s="107"/>
      <c r="I2507" s="13"/>
      <c r="J2507" s="107"/>
      <c r="K2507" s="107"/>
      <c r="L2507" s="13"/>
    </row>
    <row r="2508" ht="15.75" customHeight="1">
      <c r="A2508" s="13"/>
      <c r="B2508" s="13"/>
      <c r="C2508" s="13"/>
      <c r="D2508" s="13"/>
      <c r="E2508" s="13"/>
      <c r="F2508" s="227"/>
      <c r="G2508" s="13"/>
      <c r="H2508" s="107"/>
      <c r="I2508" s="13"/>
      <c r="J2508" s="107"/>
      <c r="K2508" s="107"/>
      <c r="L2508" s="13"/>
    </row>
    <row r="2509" ht="15.75" customHeight="1">
      <c r="A2509" s="13"/>
      <c r="B2509" s="13"/>
      <c r="C2509" s="13"/>
      <c r="D2509" s="13"/>
      <c r="E2509" s="13"/>
      <c r="F2509" s="227"/>
      <c r="G2509" s="13"/>
      <c r="H2509" s="107"/>
      <c r="I2509" s="13"/>
      <c r="J2509" s="107"/>
      <c r="K2509" s="107"/>
      <c r="L2509" s="13"/>
    </row>
    <row r="2510" ht="15.75" customHeight="1">
      <c r="A2510" s="13"/>
      <c r="B2510" s="13"/>
      <c r="C2510" s="13"/>
      <c r="D2510" s="13"/>
      <c r="E2510" s="13"/>
      <c r="F2510" s="227"/>
      <c r="G2510" s="13"/>
      <c r="H2510" s="107"/>
      <c r="I2510" s="13"/>
      <c r="J2510" s="107"/>
      <c r="K2510" s="107"/>
      <c r="L2510" s="13"/>
    </row>
    <row r="2511" ht="15.75" customHeight="1">
      <c r="A2511" s="13"/>
      <c r="B2511" s="13"/>
      <c r="C2511" s="13"/>
      <c r="D2511" s="13"/>
      <c r="E2511" s="13"/>
      <c r="F2511" s="227"/>
      <c r="G2511" s="13"/>
      <c r="H2511" s="107"/>
      <c r="I2511" s="13"/>
      <c r="J2511" s="107"/>
      <c r="K2511" s="107"/>
      <c r="L2511" s="13"/>
    </row>
    <row r="2512" ht="15.75" customHeight="1">
      <c r="A2512" s="13"/>
      <c r="B2512" s="13"/>
      <c r="C2512" s="13"/>
      <c r="D2512" s="13"/>
      <c r="E2512" s="13"/>
      <c r="F2512" s="227"/>
      <c r="G2512" s="13"/>
      <c r="H2512" s="107"/>
      <c r="I2512" s="13"/>
      <c r="J2512" s="107"/>
      <c r="K2512" s="107"/>
      <c r="L2512" s="13"/>
    </row>
    <row r="2513" ht="15.75" customHeight="1">
      <c r="A2513" s="13"/>
      <c r="B2513" s="13"/>
      <c r="C2513" s="13"/>
      <c r="D2513" s="13"/>
      <c r="E2513" s="13"/>
      <c r="F2513" s="227"/>
      <c r="G2513" s="13"/>
      <c r="H2513" s="107"/>
      <c r="I2513" s="13"/>
      <c r="J2513" s="107"/>
      <c r="K2513" s="107"/>
      <c r="L2513" s="13"/>
    </row>
    <row r="2514" ht="15.75" customHeight="1">
      <c r="A2514" s="13"/>
      <c r="B2514" s="13"/>
      <c r="C2514" s="13"/>
      <c r="D2514" s="13"/>
      <c r="E2514" s="13"/>
      <c r="F2514" s="227"/>
      <c r="G2514" s="13"/>
      <c r="H2514" s="107"/>
      <c r="I2514" s="13"/>
      <c r="J2514" s="107"/>
      <c r="K2514" s="107"/>
      <c r="L2514" s="13"/>
    </row>
    <row r="2515" ht="15.75" customHeight="1">
      <c r="A2515" s="13"/>
      <c r="B2515" s="13"/>
      <c r="C2515" s="13"/>
      <c r="D2515" s="13"/>
      <c r="E2515" s="13"/>
      <c r="F2515" s="227"/>
      <c r="G2515" s="13"/>
      <c r="H2515" s="107"/>
      <c r="I2515" s="13"/>
      <c r="J2515" s="107"/>
      <c r="K2515" s="107"/>
      <c r="L2515" s="13"/>
    </row>
    <row r="2516" ht="15.75" customHeight="1">
      <c r="A2516" s="13"/>
      <c r="B2516" s="13"/>
      <c r="C2516" s="13"/>
      <c r="D2516" s="13"/>
      <c r="E2516" s="13"/>
      <c r="F2516" s="227"/>
      <c r="G2516" s="13"/>
      <c r="H2516" s="107"/>
      <c r="I2516" s="13"/>
      <c r="J2516" s="107"/>
      <c r="K2516" s="107"/>
      <c r="L2516" s="13"/>
    </row>
    <row r="2517" ht="15.75" customHeight="1">
      <c r="A2517" s="13"/>
      <c r="B2517" s="13"/>
      <c r="C2517" s="13"/>
      <c r="D2517" s="13"/>
      <c r="E2517" s="13"/>
      <c r="F2517" s="227"/>
      <c r="G2517" s="13"/>
      <c r="H2517" s="107"/>
      <c r="I2517" s="13"/>
      <c r="J2517" s="107"/>
      <c r="K2517" s="107"/>
      <c r="L2517" s="13"/>
    </row>
    <row r="2518" ht="15.75" customHeight="1">
      <c r="A2518" s="13"/>
      <c r="B2518" s="13"/>
      <c r="C2518" s="13"/>
      <c r="D2518" s="13"/>
      <c r="E2518" s="13"/>
      <c r="F2518" s="227"/>
      <c r="G2518" s="13"/>
      <c r="H2518" s="107"/>
      <c r="I2518" s="13"/>
      <c r="J2518" s="107"/>
      <c r="K2518" s="107"/>
      <c r="L2518" s="13"/>
    </row>
    <row r="2519" ht="15.75" customHeight="1">
      <c r="A2519" s="13"/>
      <c r="B2519" s="13"/>
      <c r="C2519" s="13"/>
      <c r="D2519" s="13"/>
      <c r="E2519" s="13"/>
      <c r="F2519" s="227"/>
      <c r="G2519" s="13"/>
      <c r="H2519" s="107"/>
      <c r="I2519" s="13"/>
      <c r="J2519" s="107"/>
      <c r="K2519" s="107"/>
      <c r="L2519" s="13"/>
    </row>
    <row r="2520" ht="15.75" customHeight="1">
      <c r="A2520" s="13"/>
      <c r="B2520" s="13"/>
      <c r="C2520" s="13"/>
      <c r="D2520" s="13"/>
      <c r="E2520" s="13"/>
      <c r="F2520" s="227"/>
      <c r="G2520" s="13"/>
      <c r="H2520" s="107"/>
      <c r="I2520" s="13"/>
      <c r="J2520" s="107"/>
      <c r="K2520" s="107"/>
      <c r="L2520" s="13"/>
    </row>
    <row r="2521" ht="15.75" customHeight="1">
      <c r="A2521" s="13"/>
      <c r="B2521" s="13"/>
      <c r="C2521" s="13"/>
      <c r="D2521" s="13"/>
      <c r="E2521" s="13"/>
      <c r="F2521" s="227"/>
      <c r="G2521" s="13"/>
      <c r="H2521" s="107"/>
      <c r="I2521" s="13"/>
      <c r="J2521" s="107"/>
      <c r="K2521" s="107"/>
      <c r="L2521" s="13"/>
    </row>
    <row r="2522" ht="15.75" customHeight="1">
      <c r="A2522" s="13"/>
      <c r="B2522" s="13"/>
      <c r="C2522" s="13"/>
      <c r="D2522" s="13"/>
      <c r="E2522" s="13"/>
      <c r="F2522" s="227"/>
      <c r="G2522" s="13"/>
      <c r="H2522" s="107"/>
      <c r="I2522" s="13"/>
      <c r="J2522" s="107"/>
      <c r="K2522" s="107"/>
      <c r="L2522" s="13"/>
    </row>
    <row r="2523" ht="15.75" customHeight="1">
      <c r="A2523" s="13"/>
      <c r="B2523" s="13"/>
      <c r="C2523" s="13"/>
      <c r="D2523" s="13"/>
      <c r="E2523" s="13"/>
      <c r="F2523" s="227"/>
      <c r="G2523" s="13"/>
      <c r="H2523" s="107"/>
      <c r="I2523" s="13"/>
      <c r="J2523" s="107"/>
      <c r="K2523" s="107"/>
      <c r="L2523" s="13"/>
    </row>
    <row r="2524" ht="15.75" customHeight="1">
      <c r="A2524" s="13"/>
      <c r="B2524" s="13"/>
      <c r="C2524" s="13"/>
      <c r="D2524" s="13"/>
      <c r="E2524" s="13"/>
      <c r="F2524" s="227"/>
      <c r="G2524" s="13"/>
      <c r="H2524" s="107"/>
      <c r="I2524" s="13"/>
      <c r="J2524" s="107"/>
      <c r="K2524" s="107"/>
      <c r="L2524" s="13"/>
    </row>
    <row r="2525" ht="15.75" customHeight="1">
      <c r="A2525" s="13"/>
      <c r="B2525" s="13"/>
      <c r="C2525" s="13"/>
      <c r="D2525" s="13"/>
      <c r="E2525" s="13"/>
      <c r="F2525" s="227"/>
      <c r="G2525" s="13"/>
      <c r="H2525" s="107"/>
      <c r="I2525" s="13"/>
      <c r="J2525" s="107"/>
      <c r="K2525" s="107"/>
      <c r="L2525" s="13"/>
    </row>
    <row r="2526" ht="15.75" customHeight="1">
      <c r="A2526" s="13"/>
      <c r="B2526" s="13"/>
      <c r="C2526" s="13"/>
      <c r="D2526" s="13"/>
      <c r="E2526" s="13"/>
      <c r="F2526" s="227"/>
      <c r="G2526" s="13"/>
      <c r="H2526" s="107"/>
      <c r="I2526" s="13"/>
      <c r="J2526" s="107"/>
      <c r="K2526" s="107"/>
      <c r="L2526" s="13"/>
    </row>
    <row r="2527" ht="15.75" customHeight="1">
      <c r="A2527" s="13"/>
      <c r="B2527" s="13"/>
      <c r="C2527" s="13"/>
      <c r="D2527" s="13"/>
      <c r="E2527" s="13"/>
      <c r="F2527" s="227"/>
      <c r="G2527" s="13"/>
      <c r="H2527" s="107"/>
      <c r="I2527" s="13"/>
      <c r="J2527" s="107"/>
      <c r="K2527" s="107"/>
      <c r="L2527" s="13"/>
    </row>
    <row r="2528" ht="15.75" customHeight="1">
      <c r="A2528" s="13"/>
      <c r="B2528" s="13"/>
      <c r="C2528" s="13"/>
      <c r="D2528" s="13"/>
      <c r="E2528" s="13"/>
      <c r="F2528" s="227"/>
      <c r="G2528" s="13"/>
      <c r="H2528" s="107"/>
      <c r="I2528" s="13"/>
      <c r="J2528" s="107"/>
      <c r="K2528" s="107"/>
      <c r="L2528" s="13"/>
    </row>
    <row r="2529" ht="15.75" customHeight="1">
      <c r="A2529" s="13"/>
      <c r="B2529" s="13"/>
      <c r="C2529" s="13"/>
      <c r="D2529" s="13"/>
      <c r="E2529" s="13"/>
      <c r="F2529" s="227"/>
      <c r="G2529" s="13"/>
      <c r="H2529" s="107"/>
      <c r="I2529" s="13"/>
      <c r="J2529" s="107"/>
      <c r="K2529" s="107"/>
      <c r="L2529" s="13"/>
    </row>
    <row r="2530" ht="15.75" customHeight="1">
      <c r="A2530" s="13"/>
      <c r="B2530" s="13"/>
      <c r="C2530" s="13"/>
      <c r="D2530" s="13"/>
      <c r="E2530" s="13"/>
      <c r="F2530" s="227"/>
      <c r="G2530" s="13"/>
      <c r="H2530" s="107"/>
      <c r="I2530" s="13"/>
      <c r="J2530" s="107"/>
      <c r="K2530" s="107"/>
      <c r="L2530" s="13"/>
    </row>
    <row r="2531" ht="15.75" customHeight="1">
      <c r="A2531" s="13"/>
      <c r="B2531" s="13"/>
      <c r="C2531" s="13"/>
      <c r="D2531" s="13"/>
      <c r="E2531" s="13"/>
      <c r="F2531" s="227"/>
      <c r="G2531" s="13"/>
      <c r="H2531" s="107"/>
      <c r="I2531" s="13"/>
      <c r="J2531" s="107"/>
      <c r="K2531" s="107"/>
      <c r="L2531" s="13"/>
    </row>
    <row r="2532" ht="15.75" customHeight="1">
      <c r="A2532" s="13"/>
      <c r="B2532" s="13"/>
      <c r="C2532" s="13"/>
      <c r="D2532" s="13"/>
      <c r="E2532" s="13"/>
      <c r="F2532" s="227"/>
      <c r="G2532" s="13"/>
      <c r="H2532" s="107"/>
      <c r="I2532" s="13"/>
      <c r="J2532" s="107"/>
      <c r="K2532" s="107"/>
      <c r="L2532" s="13"/>
    </row>
    <row r="2533" ht="15.75" customHeight="1">
      <c r="A2533" s="13"/>
      <c r="B2533" s="13"/>
      <c r="C2533" s="13"/>
      <c r="D2533" s="13"/>
      <c r="E2533" s="13"/>
      <c r="F2533" s="227"/>
      <c r="G2533" s="13"/>
      <c r="H2533" s="107"/>
      <c r="I2533" s="13"/>
      <c r="J2533" s="107"/>
      <c r="K2533" s="107"/>
      <c r="L2533" s="13"/>
    </row>
    <row r="2534" ht="15.75" customHeight="1">
      <c r="A2534" s="13"/>
      <c r="B2534" s="13"/>
      <c r="C2534" s="13"/>
      <c r="D2534" s="13"/>
      <c r="E2534" s="13"/>
      <c r="F2534" s="227"/>
      <c r="G2534" s="13"/>
      <c r="H2534" s="107"/>
      <c r="I2534" s="13"/>
      <c r="J2534" s="107"/>
      <c r="K2534" s="107"/>
      <c r="L2534" s="13"/>
    </row>
    <row r="2535" ht="15.75" customHeight="1">
      <c r="A2535" s="13"/>
      <c r="B2535" s="13"/>
      <c r="C2535" s="13"/>
      <c r="D2535" s="13"/>
      <c r="E2535" s="13"/>
      <c r="F2535" s="227"/>
      <c r="G2535" s="13"/>
      <c r="H2535" s="107"/>
      <c r="I2535" s="13"/>
      <c r="J2535" s="107"/>
      <c r="K2535" s="107"/>
      <c r="L2535" s="13"/>
    </row>
    <row r="2536" ht="15.75" customHeight="1">
      <c r="A2536" s="13"/>
      <c r="B2536" s="13"/>
      <c r="C2536" s="13"/>
      <c r="D2536" s="13"/>
      <c r="E2536" s="13"/>
      <c r="F2536" s="227"/>
      <c r="G2536" s="13"/>
      <c r="H2536" s="107"/>
      <c r="I2536" s="13"/>
      <c r="J2536" s="107"/>
      <c r="K2536" s="107"/>
      <c r="L2536" s="13"/>
    </row>
    <row r="2537" ht="15.75" customHeight="1">
      <c r="A2537" s="13"/>
      <c r="B2537" s="13"/>
      <c r="C2537" s="13"/>
      <c r="D2537" s="13"/>
      <c r="E2537" s="13"/>
      <c r="F2537" s="227"/>
      <c r="G2537" s="13"/>
      <c r="H2537" s="107"/>
      <c r="I2537" s="13"/>
      <c r="J2537" s="107"/>
      <c r="K2537" s="107"/>
      <c r="L2537" s="13"/>
    </row>
    <row r="2538" ht="15.75" customHeight="1">
      <c r="A2538" s="13"/>
      <c r="B2538" s="13"/>
      <c r="C2538" s="13"/>
      <c r="D2538" s="13"/>
      <c r="E2538" s="13"/>
      <c r="F2538" s="227"/>
      <c r="G2538" s="13"/>
      <c r="H2538" s="107"/>
      <c r="I2538" s="13"/>
      <c r="J2538" s="107"/>
      <c r="K2538" s="107"/>
      <c r="L2538" s="13"/>
    </row>
    <row r="2539" ht="15.75" customHeight="1">
      <c r="A2539" s="13"/>
      <c r="B2539" s="13"/>
      <c r="C2539" s="13"/>
      <c r="D2539" s="13"/>
      <c r="E2539" s="13"/>
      <c r="F2539" s="227"/>
      <c r="G2539" s="13"/>
      <c r="H2539" s="107"/>
      <c r="I2539" s="13"/>
      <c r="J2539" s="107"/>
      <c r="K2539" s="107"/>
      <c r="L2539" s="13"/>
    </row>
    <row r="2540" ht="15.75" customHeight="1">
      <c r="A2540" s="13"/>
      <c r="B2540" s="13"/>
      <c r="C2540" s="13"/>
      <c r="D2540" s="13"/>
      <c r="E2540" s="13"/>
      <c r="F2540" s="227"/>
      <c r="G2540" s="13"/>
      <c r="H2540" s="107"/>
      <c r="I2540" s="13"/>
      <c r="J2540" s="107"/>
      <c r="K2540" s="107"/>
      <c r="L2540" s="13"/>
    </row>
    <row r="2541" ht="15.75" customHeight="1">
      <c r="A2541" s="13"/>
      <c r="B2541" s="13"/>
      <c r="C2541" s="13"/>
      <c r="D2541" s="13"/>
      <c r="E2541" s="13"/>
      <c r="F2541" s="227"/>
      <c r="G2541" s="13"/>
      <c r="H2541" s="107"/>
      <c r="I2541" s="13"/>
      <c r="J2541" s="107"/>
      <c r="K2541" s="107"/>
      <c r="L2541" s="13"/>
    </row>
    <row r="2542" ht="15.75" customHeight="1">
      <c r="A2542" s="13"/>
      <c r="B2542" s="13"/>
      <c r="C2542" s="13"/>
      <c r="D2542" s="13"/>
      <c r="E2542" s="13"/>
      <c r="F2542" s="227"/>
      <c r="G2542" s="13"/>
      <c r="H2542" s="107"/>
      <c r="I2542" s="13"/>
      <c r="J2542" s="107"/>
      <c r="K2542" s="107"/>
      <c r="L2542" s="13"/>
    </row>
    <row r="2543" ht="15.75" customHeight="1">
      <c r="A2543" s="13"/>
      <c r="B2543" s="13"/>
      <c r="C2543" s="13"/>
      <c r="D2543" s="13"/>
      <c r="E2543" s="13"/>
      <c r="F2543" s="227"/>
      <c r="G2543" s="13"/>
      <c r="H2543" s="107"/>
      <c r="I2543" s="13"/>
      <c r="J2543" s="107"/>
      <c r="K2543" s="107"/>
      <c r="L2543" s="13"/>
    </row>
    <row r="2544" ht="15.75" customHeight="1">
      <c r="A2544" s="13"/>
      <c r="B2544" s="13"/>
      <c r="C2544" s="13"/>
      <c r="D2544" s="13"/>
      <c r="E2544" s="13"/>
      <c r="F2544" s="227"/>
      <c r="G2544" s="13"/>
      <c r="H2544" s="107"/>
      <c r="I2544" s="13"/>
      <c r="J2544" s="107"/>
      <c r="K2544" s="107"/>
      <c r="L2544" s="13"/>
    </row>
    <row r="2545" ht="15.75" customHeight="1">
      <c r="A2545" s="13"/>
      <c r="B2545" s="13"/>
      <c r="C2545" s="13"/>
      <c r="D2545" s="13"/>
      <c r="E2545" s="13"/>
      <c r="F2545" s="227"/>
      <c r="G2545" s="13"/>
      <c r="H2545" s="107"/>
      <c r="I2545" s="13"/>
      <c r="J2545" s="107"/>
      <c r="K2545" s="107"/>
      <c r="L2545" s="13"/>
    </row>
    <row r="2546" ht="15.75" customHeight="1">
      <c r="A2546" s="13"/>
      <c r="B2546" s="13"/>
      <c r="C2546" s="13"/>
      <c r="D2546" s="13"/>
      <c r="E2546" s="13"/>
      <c r="F2546" s="227"/>
      <c r="G2546" s="13"/>
      <c r="H2546" s="107"/>
      <c r="I2546" s="13"/>
      <c r="J2546" s="107"/>
      <c r="K2546" s="107"/>
      <c r="L2546" s="13"/>
    </row>
    <row r="2547" ht="15.75" customHeight="1">
      <c r="A2547" s="13"/>
      <c r="B2547" s="13"/>
      <c r="C2547" s="13"/>
      <c r="D2547" s="13"/>
      <c r="E2547" s="13"/>
      <c r="F2547" s="227"/>
      <c r="G2547" s="13"/>
      <c r="H2547" s="107"/>
      <c r="I2547" s="13"/>
      <c r="J2547" s="107"/>
      <c r="K2547" s="107"/>
      <c r="L2547" s="13"/>
    </row>
    <row r="2548" ht="15.75" customHeight="1">
      <c r="A2548" s="13"/>
      <c r="B2548" s="13"/>
      <c r="C2548" s="13"/>
      <c r="D2548" s="13"/>
      <c r="E2548" s="13"/>
      <c r="F2548" s="227"/>
      <c r="G2548" s="13"/>
      <c r="H2548" s="107"/>
      <c r="I2548" s="13"/>
      <c r="J2548" s="107"/>
      <c r="K2548" s="107"/>
      <c r="L2548" s="13"/>
    </row>
    <row r="2549" ht="15.75" customHeight="1">
      <c r="A2549" s="13"/>
      <c r="B2549" s="13"/>
      <c r="C2549" s="13"/>
      <c r="D2549" s="13"/>
      <c r="E2549" s="13"/>
      <c r="F2549" s="227"/>
      <c r="G2549" s="13"/>
      <c r="H2549" s="107"/>
      <c r="I2549" s="13"/>
      <c r="J2549" s="107"/>
      <c r="K2549" s="107"/>
      <c r="L2549" s="13"/>
    </row>
    <row r="2550" ht="15.75" customHeight="1">
      <c r="A2550" s="13"/>
      <c r="B2550" s="13"/>
      <c r="C2550" s="13"/>
      <c r="D2550" s="13"/>
      <c r="E2550" s="13"/>
      <c r="F2550" s="227"/>
      <c r="G2550" s="13"/>
      <c r="H2550" s="107"/>
      <c r="I2550" s="13"/>
      <c r="J2550" s="107"/>
      <c r="K2550" s="107"/>
      <c r="L2550" s="13"/>
    </row>
    <row r="2551" ht="15.75" customHeight="1">
      <c r="A2551" s="13"/>
      <c r="B2551" s="13"/>
      <c r="C2551" s="13"/>
      <c r="D2551" s="13"/>
      <c r="E2551" s="13"/>
      <c r="F2551" s="227"/>
      <c r="G2551" s="13"/>
      <c r="H2551" s="107"/>
      <c r="I2551" s="13"/>
      <c r="J2551" s="107"/>
      <c r="K2551" s="107"/>
      <c r="L2551" s="13"/>
    </row>
    <row r="2552" ht="15.75" customHeight="1">
      <c r="A2552" s="13"/>
      <c r="B2552" s="13"/>
      <c r="C2552" s="13"/>
      <c r="D2552" s="13"/>
      <c r="E2552" s="13"/>
      <c r="F2552" s="227"/>
      <c r="G2552" s="13"/>
      <c r="H2552" s="107"/>
      <c r="I2552" s="13"/>
      <c r="J2552" s="107"/>
      <c r="K2552" s="107"/>
      <c r="L2552" s="13"/>
    </row>
    <row r="2553" ht="15.75" customHeight="1">
      <c r="A2553" s="13"/>
      <c r="B2553" s="13"/>
      <c r="C2553" s="13"/>
      <c r="D2553" s="13"/>
      <c r="E2553" s="13"/>
      <c r="F2553" s="227"/>
      <c r="G2553" s="13"/>
      <c r="H2553" s="107"/>
      <c r="I2553" s="13"/>
      <c r="J2553" s="107"/>
      <c r="K2553" s="107"/>
      <c r="L2553" s="13"/>
    </row>
    <row r="2554" ht="15.75" customHeight="1">
      <c r="A2554" s="13"/>
      <c r="B2554" s="13"/>
      <c r="C2554" s="13"/>
      <c r="D2554" s="13"/>
      <c r="E2554" s="13"/>
      <c r="F2554" s="227"/>
      <c r="G2554" s="13"/>
      <c r="H2554" s="107"/>
      <c r="I2554" s="13"/>
      <c r="J2554" s="107"/>
      <c r="K2554" s="107"/>
      <c r="L2554" s="13"/>
    </row>
    <row r="2555" ht="15.75" customHeight="1">
      <c r="A2555" s="13"/>
      <c r="B2555" s="13"/>
      <c r="C2555" s="13"/>
      <c r="D2555" s="13"/>
      <c r="E2555" s="13"/>
      <c r="F2555" s="227"/>
      <c r="G2555" s="13"/>
      <c r="H2555" s="107"/>
      <c r="I2555" s="13"/>
      <c r="J2555" s="107"/>
      <c r="K2555" s="107"/>
      <c r="L2555" s="13"/>
    </row>
    <row r="2556" ht="15.75" customHeight="1">
      <c r="A2556" s="13"/>
      <c r="B2556" s="13"/>
      <c r="C2556" s="13"/>
      <c r="D2556" s="13"/>
      <c r="E2556" s="13"/>
      <c r="F2556" s="227"/>
      <c r="G2556" s="13"/>
      <c r="H2556" s="107"/>
      <c r="I2556" s="13"/>
      <c r="J2556" s="107"/>
      <c r="K2556" s="107"/>
      <c r="L2556" s="13"/>
    </row>
    <row r="2557" ht="15.75" customHeight="1">
      <c r="A2557" s="13"/>
      <c r="B2557" s="13"/>
      <c r="C2557" s="13"/>
      <c r="D2557" s="13"/>
      <c r="E2557" s="13"/>
      <c r="F2557" s="227"/>
      <c r="G2557" s="13"/>
      <c r="H2557" s="107"/>
      <c r="I2557" s="13"/>
      <c r="J2557" s="107"/>
      <c r="K2557" s="107"/>
      <c r="L2557" s="13"/>
    </row>
    <row r="2558" ht="15.75" customHeight="1">
      <c r="A2558" s="13"/>
      <c r="B2558" s="13"/>
      <c r="C2558" s="13"/>
      <c r="D2558" s="13"/>
      <c r="E2558" s="13"/>
      <c r="F2558" s="227"/>
      <c r="G2558" s="13"/>
      <c r="H2558" s="107"/>
      <c r="I2558" s="13"/>
      <c r="J2558" s="107"/>
      <c r="K2558" s="107"/>
      <c r="L2558" s="13"/>
    </row>
    <row r="2559" ht="15.75" customHeight="1">
      <c r="A2559" s="13"/>
      <c r="B2559" s="13"/>
      <c r="C2559" s="13"/>
      <c r="D2559" s="13"/>
      <c r="E2559" s="13"/>
      <c r="F2559" s="227"/>
      <c r="G2559" s="13"/>
      <c r="H2559" s="107"/>
      <c r="I2559" s="13"/>
      <c r="J2559" s="107"/>
      <c r="K2559" s="107"/>
      <c r="L2559" s="13"/>
    </row>
    <row r="2560" ht="15.75" customHeight="1">
      <c r="A2560" s="13"/>
      <c r="B2560" s="13"/>
      <c r="C2560" s="13"/>
      <c r="D2560" s="13"/>
      <c r="E2560" s="13"/>
      <c r="F2560" s="227"/>
      <c r="G2560" s="13"/>
      <c r="H2560" s="107"/>
      <c r="I2560" s="13"/>
      <c r="J2560" s="107"/>
      <c r="K2560" s="107"/>
      <c r="L2560" s="13"/>
    </row>
    <row r="2561" ht="15.75" customHeight="1">
      <c r="A2561" s="13"/>
      <c r="B2561" s="13"/>
      <c r="C2561" s="13"/>
      <c r="D2561" s="13"/>
      <c r="E2561" s="13"/>
      <c r="F2561" s="227"/>
      <c r="G2561" s="13"/>
      <c r="H2561" s="107"/>
      <c r="I2561" s="13"/>
      <c r="J2561" s="107"/>
      <c r="K2561" s="107"/>
      <c r="L2561" s="13"/>
    </row>
    <row r="2562" ht="15.75" customHeight="1">
      <c r="A2562" s="13"/>
      <c r="B2562" s="13"/>
      <c r="C2562" s="13"/>
      <c r="D2562" s="13"/>
      <c r="E2562" s="13"/>
      <c r="F2562" s="227"/>
      <c r="G2562" s="13"/>
      <c r="H2562" s="107"/>
      <c r="I2562" s="13"/>
      <c r="J2562" s="107"/>
      <c r="K2562" s="107"/>
      <c r="L2562" s="13"/>
    </row>
    <row r="2563" ht="15.75" customHeight="1">
      <c r="A2563" s="13"/>
      <c r="B2563" s="13"/>
      <c r="C2563" s="13"/>
      <c r="D2563" s="13"/>
      <c r="E2563" s="13"/>
      <c r="F2563" s="227"/>
      <c r="G2563" s="13"/>
      <c r="H2563" s="107"/>
      <c r="I2563" s="13"/>
      <c r="J2563" s="107"/>
      <c r="K2563" s="107"/>
      <c r="L2563" s="13"/>
    </row>
    <row r="2564" ht="15.75" customHeight="1">
      <c r="A2564" s="13"/>
      <c r="B2564" s="13"/>
      <c r="C2564" s="13"/>
      <c r="D2564" s="13"/>
      <c r="E2564" s="13"/>
      <c r="F2564" s="227"/>
      <c r="G2564" s="13"/>
      <c r="H2564" s="107"/>
      <c r="I2564" s="13"/>
      <c r="J2564" s="107"/>
      <c r="K2564" s="107"/>
      <c r="L2564" s="13"/>
    </row>
    <row r="2565" ht="15.75" customHeight="1">
      <c r="A2565" s="13"/>
      <c r="B2565" s="13"/>
      <c r="C2565" s="13"/>
      <c r="D2565" s="13"/>
      <c r="E2565" s="13"/>
      <c r="F2565" s="227"/>
      <c r="G2565" s="13"/>
      <c r="H2565" s="107"/>
      <c r="I2565" s="13"/>
      <c r="J2565" s="107"/>
      <c r="K2565" s="107"/>
      <c r="L2565" s="13"/>
    </row>
    <row r="2566" ht="15.75" customHeight="1">
      <c r="A2566" s="13"/>
      <c r="B2566" s="13"/>
      <c r="C2566" s="13"/>
      <c r="D2566" s="13"/>
      <c r="E2566" s="13"/>
      <c r="F2566" s="227"/>
      <c r="G2566" s="13"/>
      <c r="H2566" s="107"/>
      <c r="I2566" s="13"/>
      <c r="J2566" s="107"/>
      <c r="K2566" s="107"/>
      <c r="L2566" s="13"/>
    </row>
    <row r="2567" ht="15.75" customHeight="1">
      <c r="A2567" s="13"/>
      <c r="B2567" s="13"/>
      <c r="C2567" s="13"/>
      <c r="D2567" s="13"/>
      <c r="E2567" s="13"/>
      <c r="F2567" s="227"/>
      <c r="G2567" s="13"/>
      <c r="H2567" s="107"/>
      <c r="I2567" s="13"/>
      <c r="J2567" s="107"/>
      <c r="K2567" s="107"/>
      <c r="L2567" s="13"/>
    </row>
    <row r="2568" ht="15.75" customHeight="1">
      <c r="A2568" s="13"/>
      <c r="B2568" s="13"/>
      <c r="C2568" s="13"/>
      <c r="D2568" s="13"/>
      <c r="E2568" s="13"/>
      <c r="F2568" s="227"/>
      <c r="G2568" s="13"/>
      <c r="H2568" s="107"/>
      <c r="I2568" s="13"/>
      <c r="J2568" s="107"/>
      <c r="K2568" s="107"/>
      <c r="L2568" s="13"/>
    </row>
    <row r="2569" ht="15.75" customHeight="1">
      <c r="A2569" s="13"/>
      <c r="B2569" s="13"/>
      <c r="C2569" s="13"/>
      <c r="D2569" s="13"/>
      <c r="E2569" s="13"/>
      <c r="F2569" s="227"/>
      <c r="G2569" s="13"/>
      <c r="H2569" s="107"/>
      <c r="I2569" s="13"/>
      <c r="J2569" s="107"/>
      <c r="K2569" s="107"/>
      <c r="L2569" s="13"/>
    </row>
    <row r="2570" ht="15.75" customHeight="1">
      <c r="A2570" s="13"/>
      <c r="B2570" s="13"/>
      <c r="C2570" s="13"/>
      <c r="D2570" s="13"/>
      <c r="E2570" s="13"/>
      <c r="F2570" s="227"/>
      <c r="G2570" s="13"/>
      <c r="H2570" s="107"/>
      <c r="I2570" s="13"/>
      <c r="J2570" s="107"/>
      <c r="K2570" s="107"/>
      <c r="L2570" s="13"/>
    </row>
    <row r="2571" ht="15.75" customHeight="1">
      <c r="A2571" s="13"/>
      <c r="B2571" s="13"/>
      <c r="C2571" s="13"/>
      <c r="D2571" s="13"/>
      <c r="E2571" s="13"/>
      <c r="F2571" s="227"/>
      <c r="G2571" s="13"/>
      <c r="H2571" s="107"/>
      <c r="I2571" s="13"/>
      <c r="J2571" s="107"/>
      <c r="K2571" s="107"/>
      <c r="L2571" s="13"/>
    </row>
    <row r="2572" ht="15.75" customHeight="1">
      <c r="A2572" s="13"/>
      <c r="B2572" s="13"/>
      <c r="C2572" s="13"/>
      <c r="D2572" s="13"/>
      <c r="E2572" s="13"/>
      <c r="F2572" s="227"/>
      <c r="G2572" s="13"/>
      <c r="H2572" s="107"/>
      <c r="I2572" s="13"/>
      <c r="J2572" s="107"/>
      <c r="K2572" s="107"/>
      <c r="L2572" s="13"/>
    </row>
    <row r="2573" ht="15.75" customHeight="1">
      <c r="A2573" s="13"/>
      <c r="B2573" s="13"/>
      <c r="C2573" s="13"/>
      <c r="D2573" s="13"/>
      <c r="E2573" s="13"/>
      <c r="F2573" s="227"/>
      <c r="G2573" s="13"/>
      <c r="H2573" s="107"/>
      <c r="I2573" s="13"/>
      <c r="J2573" s="107"/>
      <c r="K2573" s="107"/>
      <c r="L2573" s="13"/>
    </row>
    <row r="2574" ht="15.75" customHeight="1">
      <c r="A2574" s="13"/>
      <c r="B2574" s="13"/>
      <c r="C2574" s="13"/>
      <c r="D2574" s="13"/>
      <c r="E2574" s="13"/>
      <c r="F2574" s="227"/>
      <c r="G2574" s="13"/>
      <c r="H2574" s="107"/>
      <c r="I2574" s="13"/>
      <c r="J2574" s="107"/>
      <c r="K2574" s="107"/>
      <c r="L2574" s="13"/>
    </row>
    <row r="2575" ht="15.75" customHeight="1">
      <c r="A2575" s="13"/>
      <c r="B2575" s="13"/>
      <c r="C2575" s="13"/>
      <c r="D2575" s="13"/>
      <c r="E2575" s="13"/>
      <c r="F2575" s="227"/>
      <c r="G2575" s="13"/>
      <c r="H2575" s="107"/>
      <c r="I2575" s="13"/>
      <c r="J2575" s="107"/>
      <c r="K2575" s="107"/>
      <c r="L2575" s="13"/>
    </row>
    <row r="2576" ht="15.75" customHeight="1">
      <c r="A2576" s="13"/>
      <c r="B2576" s="13"/>
      <c r="C2576" s="13"/>
      <c r="D2576" s="13"/>
      <c r="E2576" s="13"/>
      <c r="F2576" s="227"/>
      <c r="G2576" s="13"/>
      <c r="H2576" s="107"/>
      <c r="I2576" s="13"/>
      <c r="J2576" s="107"/>
      <c r="K2576" s="107"/>
      <c r="L2576" s="13"/>
    </row>
    <row r="2577" ht="15.75" customHeight="1">
      <c r="A2577" s="13"/>
      <c r="B2577" s="13"/>
      <c r="C2577" s="13"/>
      <c r="D2577" s="13"/>
      <c r="E2577" s="13"/>
      <c r="F2577" s="227"/>
      <c r="G2577" s="13"/>
      <c r="H2577" s="107"/>
      <c r="I2577" s="13"/>
      <c r="J2577" s="107"/>
      <c r="K2577" s="107"/>
      <c r="L2577" s="13"/>
    </row>
    <row r="2578" ht="15.75" customHeight="1">
      <c r="A2578" s="13"/>
      <c r="B2578" s="13"/>
      <c r="C2578" s="13"/>
      <c r="D2578" s="13"/>
      <c r="E2578" s="13"/>
      <c r="F2578" s="227"/>
      <c r="G2578" s="13"/>
      <c r="H2578" s="107"/>
      <c r="I2578" s="13"/>
      <c r="J2578" s="107"/>
      <c r="K2578" s="107"/>
      <c r="L2578" s="13"/>
    </row>
    <row r="2579" ht="15.75" customHeight="1">
      <c r="A2579" s="13"/>
      <c r="B2579" s="13"/>
      <c r="C2579" s="13"/>
      <c r="D2579" s="13"/>
      <c r="E2579" s="13"/>
      <c r="F2579" s="227"/>
      <c r="G2579" s="13"/>
      <c r="H2579" s="107"/>
      <c r="I2579" s="13"/>
      <c r="J2579" s="107"/>
      <c r="K2579" s="107"/>
      <c r="L2579" s="13"/>
    </row>
    <row r="2580" ht="15.75" customHeight="1">
      <c r="A2580" s="13"/>
      <c r="B2580" s="13"/>
      <c r="C2580" s="13"/>
      <c r="D2580" s="13"/>
      <c r="E2580" s="13"/>
      <c r="F2580" s="227"/>
      <c r="G2580" s="13"/>
      <c r="H2580" s="107"/>
      <c r="I2580" s="13"/>
      <c r="J2580" s="107"/>
      <c r="K2580" s="107"/>
      <c r="L2580" s="13"/>
    </row>
    <row r="2581" ht="15.75" customHeight="1">
      <c r="A2581" s="13"/>
      <c r="B2581" s="13"/>
      <c r="C2581" s="13"/>
      <c r="D2581" s="13"/>
      <c r="E2581" s="13"/>
      <c r="F2581" s="227"/>
      <c r="G2581" s="13"/>
      <c r="H2581" s="107"/>
      <c r="I2581" s="13"/>
      <c r="J2581" s="107"/>
      <c r="K2581" s="107"/>
      <c r="L2581" s="13"/>
    </row>
    <row r="2582" ht="15.75" customHeight="1">
      <c r="A2582" s="13"/>
      <c r="B2582" s="13"/>
      <c r="C2582" s="13"/>
      <c r="D2582" s="13"/>
      <c r="E2582" s="13"/>
      <c r="F2582" s="227"/>
      <c r="G2582" s="13"/>
      <c r="H2582" s="107"/>
      <c r="I2582" s="13"/>
      <c r="J2582" s="107"/>
      <c r="K2582" s="107"/>
      <c r="L2582" s="13"/>
    </row>
    <row r="2583" ht="15.75" customHeight="1">
      <c r="A2583" s="13"/>
      <c r="B2583" s="13"/>
      <c r="C2583" s="13"/>
      <c r="D2583" s="13"/>
      <c r="E2583" s="13"/>
      <c r="F2583" s="227"/>
      <c r="G2583" s="13"/>
      <c r="H2583" s="107"/>
      <c r="I2583" s="13"/>
      <c r="J2583" s="107"/>
      <c r="K2583" s="107"/>
      <c r="L2583" s="13"/>
    </row>
    <row r="2584" ht="15.75" customHeight="1">
      <c r="A2584" s="13"/>
      <c r="B2584" s="13"/>
      <c r="C2584" s="13"/>
      <c r="D2584" s="13"/>
      <c r="E2584" s="13"/>
      <c r="F2584" s="227"/>
      <c r="G2584" s="13"/>
      <c r="H2584" s="107"/>
      <c r="I2584" s="13"/>
      <c r="J2584" s="107"/>
      <c r="K2584" s="107"/>
      <c r="L2584" s="13"/>
    </row>
    <row r="2585" ht="15.75" customHeight="1">
      <c r="A2585" s="13"/>
      <c r="B2585" s="13"/>
      <c r="C2585" s="13"/>
      <c r="D2585" s="13"/>
      <c r="E2585" s="13"/>
      <c r="F2585" s="227"/>
      <c r="G2585" s="13"/>
      <c r="H2585" s="107"/>
      <c r="I2585" s="13"/>
      <c r="J2585" s="107"/>
      <c r="K2585" s="107"/>
      <c r="L2585" s="13"/>
    </row>
    <row r="2586" ht="15.75" customHeight="1">
      <c r="A2586" s="13"/>
      <c r="B2586" s="13"/>
      <c r="C2586" s="13"/>
      <c r="D2586" s="13"/>
      <c r="E2586" s="13"/>
      <c r="F2586" s="227"/>
      <c r="G2586" s="13"/>
      <c r="H2586" s="107"/>
      <c r="I2586" s="13"/>
      <c r="J2586" s="107"/>
      <c r="K2586" s="107"/>
      <c r="L2586" s="13"/>
    </row>
    <row r="2587" ht="15.75" customHeight="1">
      <c r="A2587" s="13"/>
      <c r="B2587" s="13"/>
      <c r="C2587" s="13"/>
      <c r="D2587" s="13"/>
      <c r="E2587" s="13"/>
      <c r="F2587" s="227"/>
      <c r="G2587" s="13"/>
      <c r="H2587" s="107"/>
      <c r="I2587" s="13"/>
      <c r="J2587" s="107"/>
      <c r="K2587" s="107"/>
      <c r="L2587" s="13"/>
    </row>
    <row r="2588" ht="15.75" customHeight="1">
      <c r="A2588" s="13"/>
      <c r="B2588" s="13"/>
      <c r="C2588" s="13"/>
      <c r="D2588" s="13"/>
      <c r="E2588" s="13"/>
      <c r="F2588" s="227"/>
      <c r="G2588" s="13"/>
      <c r="H2588" s="107"/>
      <c r="I2588" s="13"/>
      <c r="J2588" s="107"/>
      <c r="K2588" s="107"/>
      <c r="L2588" s="13"/>
    </row>
    <row r="2589" ht="15.75" customHeight="1">
      <c r="A2589" s="13"/>
      <c r="B2589" s="13"/>
      <c r="C2589" s="13"/>
      <c r="D2589" s="13"/>
      <c r="E2589" s="13"/>
      <c r="F2589" s="227"/>
      <c r="G2589" s="13"/>
      <c r="H2589" s="107"/>
      <c r="I2589" s="13"/>
      <c r="J2589" s="107"/>
      <c r="K2589" s="107"/>
      <c r="L2589" s="13"/>
    </row>
    <row r="2590" ht="15.75" customHeight="1">
      <c r="A2590" s="13"/>
      <c r="B2590" s="13"/>
      <c r="C2590" s="13"/>
      <c r="D2590" s="13"/>
      <c r="E2590" s="13"/>
      <c r="F2590" s="227"/>
      <c r="G2590" s="13"/>
      <c r="H2590" s="107"/>
      <c r="I2590" s="13"/>
      <c r="J2590" s="107"/>
      <c r="K2590" s="107"/>
      <c r="L2590" s="13"/>
    </row>
    <row r="2591" ht="15.75" customHeight="1">
      <c r="A2591" s="13"/>
      <c r="B2591" s="13"/>
      <c r="C2591" s="13"/>
      <c r="D2591" s="13"/>
      <c r="E2591" s="13"/>
      <c r="F2591" s="227"/>
      <c r="G2591" s="13"/>
      <c r="H2591" s="107"/>
      <c r="I2591" s="13"/>
      <c r="J2591" s="107"/>
      <c r="K2591" s="107"/>
      <c r="L2591" s="13"/>
    </row>
    <row r="2592" ht="15.75" customHeight="1">
      <c r="A2592" s="13"/>
      <c r="B2592" s="13"/>
      <c r="C2592" s="13"/>
      <c r="D2592" s="13"/>
      <c r="E2592" s="13"/>
      <c r="F2592" s="227"/>
      <c r="G2592" s="13"/>
      <c r="H2592" s="107"/>
      <c r="I2592" s="13"/>
      <c r="J2592" s="107"/>
      <c r="K2592" s="107"/>
      <c r="L2592" s="13"/>
    </row>
    <row r="2593" ht="15.75" customHeight="1">
      <c r="A2593" s="13"/>
      <c r="B2593" s="13"/>
      <c r="C2593" s="13"/>
      <c r="D2593" s="13"/>
      <c r="E2593" s="13"/>
      <c r="F2593" s="227"/>
      <c r="G2593" s="13"/>
      <c r="H2593" s="107"/>
      <c r="I2593" s="13"/>
      <c r="J2593" s="107"/>
      <c r="K2593" s="107"/>
      <c r="L2593" s="13"/>
    </row>
    <row r="2594" ht="15.75" customHeight="1">
      <c r="A2594" s="13"/>
      <c r="B2594" s="13"/>
      <c r="C2594" s="13"/>
      <c r="D2594" s="13"/>
      <c r="E2594" s="13"/>
      <c r="F2594" s="227"/>
      <c r="G2594" s="13"/>
      <c r="H2594" s="107"/>
      <c r="I2594" s="13"/>
      <c r="J2594" s="107"/>
      <c r="K2594" s="107"/>
      <c r="L2594" s="13"/>
    </row>
    <row r="2595" ht="15.75" customHeight="1">
      <c r="A2595" s="13"/>
      <c r="B2595" s="13"/>
      <c r="C2595" s="13"/>
      <c r="D2595" s="13"/>
      <c r="E2595" s="13"/>
      <c r="F2595" s="227"/>
      <c r="G2595" s="13"/>
      <c r="H2595" s="107"/>
      <c r="I2595" s="13"/>
      <c r="J2595" s="107"/>
      <c r="K2595" s="107"/>
      <c r="L2595" s="13"/>
    </row>
    <row r="2596" ht="15.75" customHeight="1">
      <c r="A2596" s="13"/>
      <c r="B2596" s="13"/>
      <c r="C2596" s="13"/>
      <c r="D2596" s="13"/>
      <c r="E2596" s="13"/>
      <c r="F2596" s="227"/>
      <c r="G2596" s="13"/>
      <c r="H2596" s="107"/>
      <c r="I2596" s="13"/>
      <c r="J2596" s="107"/>
      <c r="K2596" s="107"/>
      <c r="L2596" s="13"/>
    </row>
    <row r="2597" ht="15.75" customHeight="1">
      <c r="A2597" s="13"/>
      <c r="B2597" s="13"/>
      <c r="C2597" s="13"/>
      <c r="D2597" s="13"/>
      <c r="E2597" s="13"/>
      <c r="F2597" s="227"/>
      <c r="G2597" s="13"/>
      <c r="H2597" s="107"/>
      <c r="I2597" s="13"/>
      <c r="J2597" s="107"/>
      <c r="K2597" s="107"/>
      <c r="L2597" s="13"/>
    </row>
    <row r="2598" ht="15.75" customHeight="1">
      <c r="A2598" s="13"/>
      <c r="B2598" s="13"/>
      <c r="C2598" s="13"/>
      <c r="D2598" s="13"/>
      <c r="E2598" s="13"/>
      <c r="F2598" s="227"/>
      <c r="G2598" s="13"/>
      <c r="H2598" s="107"/>
      <c r="I2598" s="13"/>
      <c r="J2598" s="107"/>
      <c r="K2598" s="107"/>
      <c r="L2598" s="13"/>
    </row>
    <row r="2599" ht="15.75" customHeight="1">
      <c r="A2599" s="13"/>
      <c r="B2599" s="13"/>
      <c r="C2599" s="13"/>
      <c r="D2599" s="13"/>
      <c r="E2599" s="13"/>
      <c r="F2599" s="227"/>
      <c r="G2599" s="13"/>
      <c r="H2599" s="107"/>
      <c r="I2599" s="13"/>
      <c r="J2599" s="107"/>
      <c r="K2599" s="107"/>
      <c r="L2599" s="13"/>
    </row>
    <row r="2600" ht="15.75" customHeight="1">
      <c r="A2600" s="13"/>
      <c r="B2600" s="13"/>
      <c r="C2600" s="13"/>
      <c r="D2600" s="13"/>
      <c r="E2600" s="13"/>
      <c r="F2600" s="227"/>
      <c r="G2600" s="13"/>
      <c r="H2600" s="107"/>
      <c r="I2600" s="13"/>
      <c r="J2600" s="107"/>
      <c r="K2600" s="107"/>
      <c r="L2600" s="13"/>
    </row>
    <row r="2601" ht="15.75" customHeight="1">
      <c r="A2601" s="13"/>
      <c r="B2601" s="13"/>
      <c r="C2601" s="13"/>
      <c r="D2601" s="13"/>
      <c r="E2601" s="13"/>
      <c r="F2601" s="227"/>
      <c r="G2601" s="13"/>
      <c r="H2601" s="107"/>
      <c r="I2601" s="13"/>
      <c r="J2601" s="107"/>
      <c r="K2601" s="107"/>
      <c r="L2601" s="13"/>
    </row>
    <row r="2602" ht="15.75" customHeight="1">
      <c r="A2602" s="13"/>
      <c r="B2602" s="13"/>
      <c r="C2602" s="13"/>
      <c r="D2602" s="13"/>
      <c r="E2602" s="13"/>
      <c r="F2602" s="227"/>
      <c r="G2602" s="13"/>
      <c r="H2602" s="107"/>
      <c r="I2602" s="13"/>
      <c r="J2602" s="107"/>
      <c r="K2602" s="107"/>
      <c r="L2602" s="13"/>
    </row>
    <row r="2603" ht="15.75" customHeight="1">
      <c r="A2603" s="13"/>
      <c r="B2603" s="13"/>
      <c r="C2603" s="13"/>
      <c r="D2603" s="13"/>
      <c r="E2603" s="13"/>
      <c r="F2603" s="227"/>
      <c r="G2603" s="13"/>
      <c r="H2603" s="107"/>
      <c r="I2603" s="13"/>
      <c r="J2603" s="107"/>
      <c r="K2603" s="107"/>
      <c r="L2603" s="13"/>
    </row>
    <row r="2604" ht="15.75" customHeight="1">
      <c r="A2604" s="13"/>
      <c r="B2604" s="13"/>
      <c r="C2604" s="13"/>
      <c r="D2604" s="13"/>
      <c r="E2604" s="13"/>
      <c r="F2604" s="227"/>
      <c r="G2604" s="13"/>
      <c r="H2604" s="107"/>
      <c r="I2604" s="13"/>
      <c r="J2604" s="107"/>
      <c r="K2604" s="107"/>
      <c r="L2604" s="13"/>
    </row>
    <row r="2605" ht="15.75" customHeight="1">
      <c r="A2605" s="13"/>
      <c r="B2605" s="13"/>
      <c r="C2605" s="13"/>
      <c r="D2605" s="13"/>
      <c r="E2605" s="13"/>
      <c r="F2605" s="227"/>
      <c r="G2605" s="13"/>
      <c r="H2605" s="107"/>
      <c r="I2605" s="13"/>
      <c r="J2605" s="107"/>
      <c r="K2605" s="107"/>
      <c r="L2605" s="13"/>
    </row>
    <row r="2606" ht="15.75" customHeight="1">
      <c r="A2606" s="13"/>
      <c r="B2606" s="13"/>
      <c r="C2606" s="13"/>
      <c r="D2606" s="13"/>
      <c r="E2606" s="13"/>
      <c r="F2606" s="227"/>
      <c r="G2606" s="13"/>
      <c r="H2606" s="107"/>
      <c r="I2606" s="13"/>
      <c r="J2606" s="107"/>
      <c r="K2606" s="107"/>
      <c r="L2606" s="13"/>
    </row>
    <row r="2607" ht="15.75" customHeight="1">
      <c r="A2607" s="13"/>
      <c r="B2607" s="13"/>
      <c r="C2607" s="13"/>
      <c r="D2607" s="13"/>
      <c r="E2607" s="13"/>
      <c r="F2607" s="227"/>
      <c r="G2607" s="13"/>
      <c r="H2607" s="107"/>
      <c r="I2607" s="13"/>
      <c r="J2607" s="107"/>
      <c r="K2607" s="107"/>
      <c r="L2607" s="13"/>
    </row>
    <row r="2608" ht="15.75" customHeight="1">
      <c r="A2608" s="13"/>
      <c r="B2608" s="13"/>
      <c r="C2608" s="13"/>
      <c r="D2608" s="13"/>
      <c r="E2608" s="13"/>
      <c r="F2608" s="227"/>
      <c r="G2608" s="13"/>
      <c r="H2608" s="107"/>
      <c r="I2608" s="13"/>
      <c r="J2608" s="107"/>
      <c r="K2608" s="107"/>
      <c r="L2608" s="13"/>
    </row>
    <row r="2609" ht="15.75" customHeight="1">
      <c r="A2609" s="13"/>
      <c r="B2609" s="13"/>
      <c r="C2609" s="13"/>
      <c r="D2609" s="13"/>
      <c r="E2609" s="13"/>
      <c r="F2609" s="227"/>
      <c r="G2609" s="13"/>
      <c r="H2609" s="107"/>
      <c r="I2609" s="13"/>
      <c r="J2609" s="107"/>
      <c r="K2609" s="107"/>
      <c r="L2609" s="13"/>
    </row>
    <row r="2610" ht="15.75" customHeight="1">
      <c r="A2610" s="13"/>
      <c r="B2610" s="13"/>
      <c r="C2610" s="13"/>
      <c r="D2610" s="13"/>
      <c r="E2610" s="13"/>
      <c r="F2610" s="227"/>
      <c r="G2610" s="13"/>
      <c r="H2610" s="107"/>
      <c r="I2610" s="13"/>
      <c r="J2610" s="107"/>
      <c r="K2610" s="107"/>
      <c r="L2610" s="13"/>
    </row>
    <row r="2611" ht="15.75" customHeight="1">
      <c r="A2611" s="13"/>
      <c r="B2611" s="13"/>
      <c r="C2611" s="13"/>
      <c r="D2611" s="13"/>
      <c r="E2611" s="13"/>
      <c r="F2611" s="227"/>
      <c r="G2611" s="13"/>
      <c r="H2611" s="107"/>
      <c r="I2611" s="13"/>
      <c r="J2611" s="107"/>
      <c r="K2611" s="107"/>
      <c r="L2611" s="13"/>
    </row>
    <row r="2612" ht="15.75" customHeight="1">
      <c r="A2612" s="13"/>
      <c r="B2612" s="13"/>
      <c r="C2612" s="13"/>
      <c r="D2612" s="13"/>
      <c r="E2612" s="13"/>
      <c r="F2612" s="227"/>
      <c r="G2612" s="13"/>
      <c r="H2612" s="107"/>
      <c r="I2612" s="13"/>
      <c r="J2612" s="107"/>
      <c r="K2612" s="107"/>
      <c r="L2612" s="13"/>
    </row>
    <row r="2613" ht="15.75" customHeight="1">
      <c r="A2613" s="13"/>
      <c r="B2613" s="13"/>
      <c r="C2613" s="13"/>
      <c r="D2613" s="13"/>
      <c r="E2613" s="13"/>
      <c r="F2613" s="227"/>
      <c r="G2613" s="13"/>
      <c r="H2613" s="107"/>
      <c r="I2613" s="13"/>
      <c r="J2613" s="107"/>
      <c r="K2613" s="107"/>
      <c r="L2613" s="13"/>
    </row>
    <row r="2614" ht="15.75" customHeight="1">
      <c r="A2614" s="13"/>
      <c r="B2614" s="13"/>
      <c r="C2614" s="13"/>
      <c r="D2614" s="13"/>
      <c r="E2614" s="13"/>
      <c r="F2614" s="227"/>
      <c r="G2614" s="13"/>
      <c r="H2614" s="107"/>
      <c r="I2614" s="13"/>
      <c r="J2614" s="107"/>
      <c r="K2614" s="107"/>
      <c r="L2614" s="13"/>
    </row>
    <row r="2615" ht="15.75" customHeight="1">
      <c r="A2615" s="13"/>
      <c r="B2615" s="13"/>
      <c r="C2615" s="13"/>
      <c r="D2615" s="13"/>
      <c r="E2615" s="13"/>
      <c r="F2615" s="227"/>
      <c r="G2615" s="13"/>
      <c r="H2615" s="107"/>
      <c r="I2615" s="13"/>
      <c r="J2615" s="107"/>
      <c r="K2615" s="107"/>
      <c r="L2615" s="13"/>
    </row>
    <row r="2616" ht="15.75" customHeight="1">
      <c r="A2616" s="13"/>
      <c r="B2616" s="13"/>
      <c r="C2616" s="13"/>
      <c r="D2616" s="13"/>
      <c r="E2616" s="13"/>
      <c r="F2616" s="227"/>
      <c r="G2616" s="13"/>
      <c r="H2616" s="107"/>
      <c r="I2616" s="13"/>
      <c r="J2616" s="107"/>
      <c r="K2616" s="107"/>
      <c r="L2616" s="13"/>
    </row>
    <row r="2617" ht="15.75" customHeight="1">
      <c r="A2617" s="13"/>
      <c r="B2617" s="13"/>
      <c r="C2617" s="13"/>
      <c r="D2617" s="13"/>
      <c r="E2617" s="13"/>
      <c r="F2617" s="227"/>
      <c r="G2617" s="13"/>
      <c r="H2617" s="107"/>
      <c r="I2617" s="13"/>
      <c r="J2617" s="107"/>
      <c r="K2617" s="107"/>
      <c r="L2617" s="13"/>
    </row>
    <row r="2618" ht="15.75" customHeight="1">
      <c r="A2618" s="13"/>
      <c r="B2618" s="13"/>
      <c r="C2618" s="13"/>
      <c r="D2618" s="13"/>
      <c r="E2618" s="13"/>
      <c r="F2618" s="227"/>
      <c r="G2618" s="13"/>
      <c r="H2618" s="107"/>
      <c r="I2618" s="13"/>
      <c r="J2618" s="107"/>
      <c r="K2618" s="107"/>
      <c r="L2618" s="13"/>
    </row>
    <row r="2619" ht="15.75" customHeight="1">
      <c r="A2619" s="13"/>
      <c r="B2619" s="13"/>
      <c r="C2619" s="13"/>
      <c r="D2619" s="13"/>
      <c r="E2619" s="13"/>
      <c r="F2619" s="227"/>
      <c r="G2619" s="13"/>
      <c r="H2619" s="107"/>
      <c r="I2619" s="13"/>
      <c r="J2619" s="107"/>
      <c r="K2619" s="107"/>
      <c r="L2619" s="13"/>
    </row>
    <row r="2620" ht="15.75" customHeight="1">
      <c r="A2620" s="13"/>
      <c r="B2620" s="13"/>
      <c r="C2620" s="13"/>
      <c r="D2620" s="13"/>
      <c r="E2620" s="13"/>
      <c r="F2620" s="227"/>
      <c r="G2620" s="13"/>
      <c r="H2620" s="107"/>
      <c r="I2620" s="13"/>
      <c r="J2620" s="107"/>
      <c r="K2620" s="107"/>
      <c r="L2620" s="13"/>
    </row>
    <row r="2621" ht="15.75" customHeight="1">
      <c r="A2621" s="13"/>
      <c r="B2621" s="13"/>
      <c r="C2621" s="13"/>
      <c r="D2621" s="13"/>
      <c r="E2621" s="13"/>
      <c r="F2621" s="227"/>
      <c r="G2621" s="13"/>
      <c r="H2621" s="107"/>
      <c r="I2621" s="13"/>
      <c r="J2621" s="107"/>
      <c r="K2621" s="107"/>
      <c r="L2621" s="13"/>
    </row>
    <row r="2622" ht="15.75" customHeight="1">
      <c r="A2622" s="13"/>
      <c r="B2622" s="13"/>
      <c r="C2622" s="13"/>
      <c r="D2622" s="13"/>
      <c r="E2622" s="13"/>
      <c r="F2622" s="227"/>
      <c r="G2622" s="13"/>
      <c r="H2622" s="107"/>
      <c r="I2622" s="13"/>
      <c r="J2622" s="107"/>
      <c r="K2622" s="107"/>
      <c r="L2622" s="13"/>
    </row>
    <row r="2623" ht="15.75" customHeight="1">
      <c r="A2623" s="13"/>
      <c r="B2623" s="13"/>
      <c r="C2623" s="13"/>
      <c r="D2623" s="13"/>
      <c r="E2623" s="13"/>
      <c r="F2623" s="227"/>
      <c r="G2623" s="13"/>
      <c r="H2623" s="107"/>
      <c r="I2623" s="13"/>
      <c r="J2623" s="107"/>
      <c r="K2623" s="107"/>
      <c r="L2623" s="13"/>
    </row>
    <row r="2624" ht="15.75" customHeight="1">
      <c r="A2624" s="13"/>
      <c r="B2624" s="13"/>
      <c r="C2624" s="13"/>
      <c r="D2624" s="13"/>
      <c r="E2624" s="13"/>
      <c r="F2624" s="227"/>
      <c r="G2624" s="13"/>
      <c r="H2624" s="107"/>
      <c r="I2624" s="13"/>
      <c r="J2624" s="107"/>
      <c r="K2624" s="107"/>
      <c r="L2624" s="13"/>
    </row>
    <row r="2625" ht="15.75" customHeight="1">
      <c r="A2625" s="13"/>
      <c r="B2625" s="13"/>
      <c r="C2625" s="13"/>
      <c r="D2625" s="13"/>
      <c r="E2625" s="13"/>
      <c r="F2625" s="227"/>
      <c r="G2625" s="13"/>
      <c r="H2625" s="107"/>
      <c r="I2625" s="13"/>
      <c r="J2625" s="107"/>
      <c r="K2625" s="107"/>
      <c r="L2625" s="13"/>
    </row>
    <row r="2626" ht="15.75" customHeight="1">
      <c r="A2626" s="13"/>
      <c r="B2626" s="13"/>
      <c r="C2626" s="13"/>
      <c r="D2626" s="13"/>
      <c r="E2626" s="13"/>
      <c r="F2626" s="227"/>
      <c r="G2626" s="13"/>
      <c r="H2626" s="107"/>
      <c r="I2626" s="13"/>
      <c r="J2626" s="107"/>
      <c r="K2626" s="107"/>
      <c r="L2626" s="13"/>
    </row>
    <row r="2627" ht="15.75" customHeight="1">
      <c r="A2627" s="13"/>
      <c r="B2627" s="13"/>
      <c r="C2627" s="13"/>
      <c r="D2627" s="13"/>
      <c r="E2627" s="13"/>
      <c r="F2627" s="227"/>
      <c r="G2627" s="13"/>
      <c r="H2627" s="107"/>
      <c r="I2627" s="13"/>
      <c r="J2627" s="107"/>
      <c r="K2627" s="107"/>
      <c r="L2627" s="13"/>
    </row>
    <row r="2628" ht="15.75" customHeight="1">
      <c r="A2628" s="13"/>
      <c r="B2628" s="13"/>
      <c r="C2628" s="13"/>
      <c r="D2628" s="13"/>
      <c r="E2628" s="13"/>
      <c r="F2628" s="227"/>
      <c r="G2628" s="13"/>
      <c r="H2628" s="107"/>
      <c r="I2628" s="13"/>
      <c r="J2628" s="107"/>
      <c r="K2628" s="107"/>
      <c r="L2628" s="13"/>
    </row>
    <row r="2629" ht="15.75" customHeight="1">
      <c r="A2629" s="13"/>
      <c r="B2629" s="13"/>
      <c r="C2629" s="13"/>
      <c r="D2629" s="13"/>
      <c r="E2629" s="13"/>
      <c r="F2629" s="227"/>
      <c r="G2629" s="13"/>
      <c r="H2629" s="107"/>
      <c r="I2629" s="13"/>
      <c r="J2629" s="107"/>
      <c r="K2629" s="107"/>
      <c r="L2629" s="13"/>
    </row>
    <row r="2630" ht="15.75" customHeight="1">
      <c r="A2630" s="13"/>
      <c r="B2630" s="13"/>
      <c r="C2630" s="13"/>
      <c r="D2630" s="13"/>
      <c r="E2630" s="13"/>
      <c r="F2630" s="227"/>
      <c r="G2630" s="13"/>
      <c r="H2630" s="107"/>
      <c r="I2630" s="13"/>
      <c r="J2630" s="107"/>
      <c r="K2630" s="107"/>
      <c r="L2630" s="13"/>
    </row>
    <row r="2631" ht="15.75" customHeight="1">
      <c r="A2631" s="13"/>
      <c r="B2631" s="13"/>
      <c r="C2631" s="13"/>
      <c r="D2631" s="13"/>
      <c r="E2631" s="13"/>
      <c r="F2631" s="227"/>
      <c r="G2631" s="13"/>
      <c r="H2631" s="107"/>
      <c r="I2631" s="13"/>
      <c r="J2631" s="107"/>
      <c r="K2631" s="107"/>
      <c r="L2631" s="13"/>
    </row>
    <row r="2632" ht="15.75" customHeight="1">
      <c r="A2632" s="13"/>
      <c r="B2632" s="13"/>
      <c r="C2632" s="13"/>
      <c r="D2632" s="13"/>
      <c r="E2632" s="13"/>
      <c r="F2632" s="227"/>
      <c r="G2632" s="13"/>
      <c r="H2632" s="107"/>
      <c r="I2632" s="13"/>
      <c r="J2632" s="107"/>
      <c r="K2632" s="107"/>
      <c r="L2632" s="13"/>
    </row>
    <row r="2633" ht="15.75" customHeight="1">
      <c r="A2633" s="13"/>
      <c r="B2633" s="13"/>
      <c r="C2633" s="13"/>
      <c r="D2633" s="13"/>
      <c r="E2633" s="13"/>
      <c r="F2633" s="227"/>
      <c r="G2633" s="13"/>
      <c r="H2633" s="107"/>
      <c r="I2633" s="13"/>
      <c r="J2633" s="107"/>
      <c r="K2633" s="107"/>
      <c r="L2633" s="13"/>
    </row>
    <row r="2634" ht="15.75" customHeight="1">
      <c r="A2634" s="13"/>
      <c r="B2634" s="13"/>
      <c r="C2634" s="13"/>
      <c r="D2634" s="13"/>
      <c r="E2634" s="13"/>
      <c r="F2634" s="227"/>
      <c r="G2634" s="13"/>
      <c r="H2634" s="107"/>
      <c r="I2634" s="13"/>
      <c r="J2634" s="107"/>
      <c r="K2634" s="107"/>
      <c r="L2634" s="13"/>
    </row>
    <row r="2635" ht="15.75" customHeight="1">
      <c r="A2635" s="13"/>
      <c r="B2635" s="13"/>
      <c r="C2635" s="13"/>
      <c r="D2635" s="13"/>
      <c r="E2635" s="13"/>
      <c r="F2635" s="227"/>
      <c r="G2635" s="13"/>
      <c r="H2635" s="107"/>
      <c r="I2635" s="13"/>
      <c r="J2635" s="107"/>
      <c r="K2635" s="107"/>
      <c r="L2635" s="13"/>
    </row>
    <row r="2636" ht="15.75" customHeight="1">
      <c r="A2636" s="13"/>
      <c r="B2636" s="13"/>
      <c r="C2636" s="13"/>
      <c r="D2636" s="13"/>
      <c r="E2636" s="13"/>
      <c r="F2636" s="227"/>
      <c r="G2636" s="13"/>
      <c r="H2636" s="107"/>
      <c r="I2636" s="13"/>
      <c r="J2636" s="107"/>
      <c r="K2636" s="107"/>
      <c r="L2636" s="13"/>
    </row>
    <row r="2637" ht="15.75" customHeight="1">
      <c r="A2637" s="13"/>
      <c r="B2637" s="13"/>
      <c r="C2637" s="13"/>
      <c r="D2637" s="13"/>
      <c r="E2637" s="13"/>
      <c r="F2637" s="227"/>
      <c r="G2637" s="13"/>
      <c r="H2637" s="107"/>
      <c r="I2637" s="13"/>
      <c r="J2637" s="107"/>
      <c r="K2637" s="107"/>
      <c r="L2637" s="13"/>
    </row>
    <row r="2638" ht="15.75" customHeight="1">
      <c r="A2638" s="13"/>
      <c r="B2638" s="13"/>
      <c r="C2638" s="13"/>
      <c r="D2638" s="13"/>
      <c r="E2638" s="13"/>
      <c r="F2638" s="227"/>
      <c r="G2638" s="13"/>
      <c r="H2638" s="107"/>
      <c r="I2638" s="13"/>
      <c r="J2638" s="107"/>
      <c r="K2638" s="107"/>
      <c r="L2638" s="13"/>
    </row>
    <row r="2639" ht="15.75" customHeight="1">
      <c r="A2639" s="13"/>
      <c r="B2639" s="13"/>
      <c r="C2639" s="13"/>
      <c r="D2639" s="13"/>
      <c r="E2639" s="13"/>
      <c r="F2639" s="227"/>
      <c r="G2639" s="13"/>
      <c r="H2639" s="107"/>
      <c r="I2639" s="13"/>
      <c r="J2639" s="107"/>
      <c r="K2639" s="107"/>
      <c r="L2639" s="13"/>
    </row>
    <row r="2640" ht="15.75" customHeight="1">
      <c r="A2640" s="13"/>
      <c r="B2640" s="13"/>
      <c r="C2640" s="13"/>
      <c r="D2640" s="13"/>
      <c r="E2640" s="13"/>
      <c r="F2640" s="227"/>
      <c r="G2640" s="13"/>
      <c r="H2640" s="107"/>
      <c r="I2640" s="13"/>
      <c r="J2640" s="107"/>
      <c r="K2640" s="107"/>
      <c r="L2640" s="13"/>
    </row>
    <row r="2641" ht="15.75" customHeight="1">
      <c r="A2641" s="13"/>
      <c r="B2641" s="13"/>
      <c r="C2641" s="13"/>
      <c r="D2641" s="13"/>
      <c r="E2641" s="13"/>
      <c r="F2641" s="227"/>
      <c r="G2641" s="13"/>
      <c r="H2641" s="107"/>
      <c r="I2641" s="13"/>
      <c r="J2641" s="107"/>
      <c r="K2641" s="107"/>
      <c r="L2641" s="13"/>
    </row>
    <row r="2642" ht="15.75" customHeight="1">
      <c r="A2642" s="13"/>
      <c r="B2642" s="13"/>
      <c r="C2642" s="13"/>
      <c r="D2642" s="13"/>
      <c r="E2642" s="13"/>
      <c r="F2642" s="227"/>
      <c r="G2642" s="13"/>
      <c r="H2642" s="107"/>
      <c r="I2642" s="13"/>
      <c r="J2642" s="107"/>
      <c r="K2642" s="107"/>
      <c r="L2642" s="13"/>
    </row>
    <row r="2643" ht="15.75" customHeight="1">
      <c r="A2643" s="13"/>
      <c r="B2643" s="13"/>
      <c r="C2643" s="13"/>
      <c r="D2643" s="13"/>
      <c r="E2643" s="13"/>
      <c r="F2643" s="227"/>
      <c r="G2643" s="13"/>
      <c r="H2643" s="107"/>
      <c r="I2643" s="13"/>
      <c r="J2643" s="107"/>
      <c r="K2643" s="107"/>
      <c r="L2643" s="13"/>
    </row>
    <row r="2644" ht="15.75" customHeight="1">
      <c r="A2644" s="13"/>
      <c r="B2644" s="13"/>
      <c r="C2644" s="13"/>
      <c r="D2644" s="13"/>
      <c r="E2644" s="13"/>
      <c r="F2644" s="227"/>
      <c r="G2644" s="13"/>
      <c r="H2644" s="107"/>
      <c r="I2644" s="13"/>
      <c r="J2644" s="107"/>
      <c r="K2644" s="107"/>
      <c r="L2644" s="13"/>
    </row>
    <row r="2645" ht="15.75" customHeight="1">
      <c r="A2645" s="13"/>
      <c r="B2645" s="13"/>
      <c r="C2645" s="13"/>
      <c r="D2645" s="13"/>
      <c r="E2645" s="13"/>
      <c r="F2645" s="227"/>
      <c r="G2645" s="13"/>
      <c r="H2645" s="107"/>
      <c r="I2645" s="13"/>
      <c r="J2645" s="107"/>
      <c r="K2645" s="107"/>
      <c r="L2645" s="13"/>
    </row>
    <row r="2646" ht="15.75" customHeight="1">
      <c r="A2646" s="13"/>
      <c r="B2646" s="13"/>
      <c r="C2646" s="13"/>
      <c r="D2646" s="13"/>
      <c r="E2646" s="13"/>
      <c r="F2646" s="227"/>
      <c r="G2646" s="13"/>
      <c r="H2646" s="107"/>
      <c r="I2646" s="13"/>
      <c r="J2646" s="107"/>
      <c r="K2646" s="107"/>
      <c r="L2646" s="13"/>
    </row>
    <row r="2647" ht="15.75" customHeight="1">
      <c r="A2647" s="13"/>
      <c r="B2647" s="13"/>
      <c r="C2647" s="13"/>
      <c r="D2647" s="13"/>
      <c r="E2647" s="13"/>
      <c r="F2647" s="227"/>
      <c r="G2647" s="13"/>
      <c r="H2647" s="107"/>
      <c r="I2647" s="13"/>
      <c r="J2647" s="107"/>
      <c r="K2647" s="107"/>
      <c r="L2647" s="13"/>
    </row>
    <row r="2648" ht="15.75" customHeight="1">
      <c r="A2648" s="13"/>
      <c r="B2648" s="13"/>
      <c r="C2648" s="13"/>
      <c r="D2648" s="13"/>
      <c r="E2648" s="13"/>
      <c r="F2648" s="227"/>
      <c r="G2648" s="13"/>
      <c r="H2648" s="107"/>
      <c r="I2648" s="13"/>
      <c r="J2648" s="107"/>
      <c r="K2648" s="107"/>
      <c r="L2648" s="13"/>
    </row>
    <row r="2649" ht="15.75" customHeight="1">
      <c r="A2649" s="13"/>
      <c r="B2649" s="13"/>
      <c r="C2649" s="13"/>
      <c r="D2649" s="13"/>
      <c r="E2649" s="13"/>
      <c r="F2649" s="227"/>
      <c r="G2649" s="13"/>
      <c r="H2649" s="107"/>
      <c r="I2649" s="13"/>
      <c r="J2649" s="107"/>
      <c r="K2649" s="107"/>
      <c r="L2649" s="13"/>
    </row>
    <row r="2650" ht="15.75" customHeight="1">
      <c r="A2650" s="13"/>
      <c r="B2650" s="13"/>
      <c r="C2650" s="13"/>
      <c r="D2650" s="13"/>
      <c r="E2650" s="13"/>
      <c r="F2650" s="227"/>
      <c r="G2650" s="13"/>
      <c r="H2650" s="107"/>
      <c r="I2650" s="13"/>
      <c r="J2650" s="107"/>
      <c r="K2650" s="107"/>
      <c r="L2650" s="13"/>
    </row>
    <row r="2651" ht="15.75" customHeight="1">
      <c r="A2651" s="13"/>
      <c r="B2651" s="13"/>
      <c r="C2651" s="13"/>
      <c r="D2651" s="13"/>
      <c r="E2651" s="13"/>
      <c r="F2651" s="227"/>
      <c r="G2651" s="13"/>
      <c r="H2651" s="107"/>
      <c r="I2651" s="13"/>
      <c r="J2651" s="107"/>
      <c r="K2651" s="107"/>
      <c r="L2651" s="13"/>
    </row>
    <row r="2652" ht="15.75" customHeight="1">
      <c r="A2652" s="13"/>
      <c r="B2652" s="13"/>
      <c r="C2652" s="13"/>
      <c r="D2652" s="13"/>
      <c r="E2652" s="13"/>
      <c r="F2652" s="227"/>
      <c r="G2652" s="13"/>
      <c r="H2652" s="107"/>
      <c r="I2652" s="13"/>
      <c r="J2652" s="107"/>
      <c r="K2652" s="107"/>
      <c r="L2652" s="13"/>
    </row>
    <row r="2653" ht="15.75" customHeight="1">
      <c r="A2653" s="13"/>
      <c r="B2653" s="13"/>
      <c r="C2653" s="13"/>
      <c r="D2653" s="13"/>
      <c r="E2653" s="13"/>
      <c r="F2653" s="227"/>
      <c r="G2653" s="13"/>
      <c r="H2653" s="107"/>
      <c r="I2653" s="13"/>
      <c r="J2653" s="107"/>
      <c r="K2653" s="107"/>
      <c r="L2653" s="13"/>
    </row>
    <row r="2654" ht="15.75" customHeight="1">
      <c r="A2654" s="13"/>
      <c r="B2654" s="13"/>
      <c r="C2654" s="13"/>
      <c r="D2654" s="13"/>
      <c r="E2654" s="13"/>
      <c r="F2654" s="227"/>
      <c r="G2654" s="13"/>
      <c r="H2654" s="107"/>
      <c r="I2654" s="13"/>
      <c r="J2654" s="107"/>
      <c r="K2654" s="107"/>
      <c r="L2654" s="13"/>
    </row>
    <row r="2655" ht="15.75" customHeight="1">
      <c r="A2655" s="13"/>
      <c r="B2655" s="13"/>
      <c r="C2655" s="13"/>
      <c r="D2655" s="13"/>
      <c r="E2655" s="13"/>
      <c r="F2655" s="227"/>
      <c r="G2655" s="13"/>
      <c r="H2655" s="107"/>
      <c r="I2655" s="13"/>
      <c r="J2655" s="107"/>
      <c r="K2655" s="107"/>
      <c r="L2655" s="13"/>
    </row>
    <row r="2656" ht="15.75" customHeight="1">
      <c r="A2656" s="13"/>
      <c r="B2656" s="13"/>
      <c r="C2656" s="13"/>
      <c r="D2656" s="13"/>
      <c r="E2656" s="13"/>
      <c r="F2656" s="227"/>
      <c r="G2656" s="13"/>
      <c r="H2656" s="107"/>
      <c r="I2656" s="13"/>
      <c r="J2656" s="107"/>
      <c r="K2656" s="107"/>
      <c r="L2656" s="13"/>
    </row>
    <row r="2657" ht="15.75" customHeight="1">
      <c r="A2657" s="13"/>
      <c r="B2657" s="13"/>
      <c r="C2657" s="13"/>
      <c r="D2657" s="13"/>
      <c r="E2657" s="13"/>
      <c r="F2657" s="227"/>
      <c r="G2657" s="13"/>
      <c r="H2657" s="107"/>
      <c r="I2657" s="13"/>
      <c r="J2657" s="107"/>
      <c r="K2657" s="107"/>
      <c r="L2657" s="13"/>
    </row>
    <row r="2658" ht="15.75" customHeight="1">
      <c r="A2658" s="13"/>
      <c r="B2658" s="13"/>
      <c r="C2658" s="13"/>
      <c r="D2658" s="13"/>
      <c r="E2658" s="13"/>
      <c r="F2658" s="227"/>
      <c r="G2658" s="13"/>
      <c r="H2658" s="107"/>
      <c r="I2658" s="13"/>
      <c r="J2658" s="107"/>
      <c r="K2658" s="107"/>
      <c r="L2658" s="13"/>
    </row>
    <row r="2659" ht="15.75" customHeight="1">
      <c r="A2659" s="13"/>
      <c r="B2659" s="13"/>
      <c r="C2659" s="13"/>
      <c r="D2659" s="13"/>
      <c r="E2659" s="13"/>
      <c r="F2659" s="227"/>
      <c r="G2659" s="13"/>
      <c r="H2659" s="107"/>
      <c r="I2659" s="13"/>
      <c r="J2659" s="107"/>
      <c r="K2659" s="107"/>
      <c r="L2659" s="13"/>
    </row>
    <row r="2660" ht="15.75" customHeight="1">
      <c r="A2660" s="13"/>
      <c r="B2660" s="13"/>
      <c r="C2660" s="13"/>
      <c r="D2660" s="13"/>
      <c r="E2660" s="13"/>
      <c r="F2660" s="227"/>
      <c r="G2660" s="13"/>
      <c r="H2660" s="107"/>
      <c r="I2660" s="13"/>
      <c r="J2660" s="107"/>
      <c r="K2660" s="107"/>
      <c r="L2660" s="13"/>
    </row>
    <row r="2661" ht="15.75" customHeight="1">
      <c r="A2661" s="13"/>
      <c r="B2661" s="13"/>
      <c r="C2661" s="13"/>
      <c r="D2661" s="13"/>
      <c r="E2661" s="13"/>
      <c r="F2661" s="227"/>
      <c r="G2661" s="13"/>
      <c r="H2661" s="107"/>
      <c r="I2661" s="13"/>
      <c r="J2661" s="107"/>
      <c r="K2661" s="107"/>
      <c r="L2661" s="13"/>
    </row>
    <row r="2662" ht="15.75" customHeight="1">
      <c r="A2662" s="13"/>
      <c r="B2662" s="13"/>
      <c r="C2662" s="13"/>
      <c r="D2662" s="13"/>
      <c r="E2662" s="13"/>
      <c r="F2662" s="227"/>
      <c r="G2662" s="13"/>
      <c r="H2662" s="107"/>
      <c r="I2662" s="13"/>
      <c r="J2662" s="107"/>
      <c r="K2662" s="107"/>
      <c r="L2662" s="13"/>
    </row>
    <row r="2663" ht="15.75" customHeight="1">
      <c r="A2663" s="13"/>
      <c r="B2663" s="13"/>
      <c r="C2663" s="13"/>
      <c r="D2663" s="13"/>
      <c r="E2663" s="13"/>
      <c r="F2663" s="227"/>
      <c r="G2663" s="13"/>
      <c r="H2663" s="107"/>
      <c r="I2663" s="13"/>
      <c r="J2663" s="107"/>
      <c r="K2663" s="107"/>
      <c r="L2663" s="13"/>
    </row>
    <row r="2664" ht="15.75" customHeight="1">
      <c r="A2664" s="13"/>
      <c r="B2664" s="13"/>
      <c r="C2664" s="13"/>
      <c r="D2664" s="13"/>
      <c r="E2664" s="13"/>
      <c r="F2664" s="227"/>
      <c r="G2664" s="13"/>
      <c r="H2664" s="107"/>
      <c r="I2664" s="13"/>
      <c r="J2664" s="107"/>
      <c r="K2664" s="107"/>
      <c r="L2664" s="13"/>
    </row>
    <row r="2665" ht="15.75" customHeight="1">
      <c r="A2665" s="13"/>
      <c r="B2665" s="13"/>
      <c r="C2665" s="13"/>
      <c r="D2665" s="13"/>
      <c r="E2665" s="13"/>
      <c r="F2665" s="227"/>
      <c r="G2665" s="13"/>
      <c r="H2665" s="107"/>
      <c r="I2665" s="13"/>
      <c r="J2665" s="107"/>
      <c r="K2665" s="107"/>
      <c r="L2665" s="13"/>
    </row>
    <row r="2666" ht="15.75" customHeight="1">
      <c r="A2666" s="13"/>
      <c r="B2666" s="13"/>
      <c r="C2666" s="13"/>
      <c r="D2666" s="13"/>
      <c r="E2666" s="13"/>
      <c r="F2666" s="227"/>
      <c r="G2666" s="13"/>
      <c r="H2666" s="107"/>
      <c r="I2666" s="13"/>
      <c r="J2666" s="107"/>
      <c r="K2666" s="107"/>
      <c r="L2666" s="13"/>
    </row>
    <row r="2667" ht="15.75" customHeight="1">
      <c r="A2667" s="13"/>
      <c r="B2667" s="13"/>
      <c r="C2667" s="13"/>
      <c r="D2667" s="13"/>
      <c r="E2667" s="13"/>
      <c r="F2667" s="227"/>
      <c r="G2667" s="13"/>
      <c r="H2667" s="107"/>
      <c r="I2667" s="13"/>
      <c r="J2667" s="107"/>
      <c r="K2667" s="107"/>
      <c r="L2667" s="13"/>
    </row>
    <row r="2668" ht="15.75" customHeight="1">
      <c r="A2668" s="13"/>
      <c r="B2668" s="13"/>
      <c r="C2668" s="13"/>
      <c r="D2668" s="13"/>
      <c r="E2668" s="13"/>
      <c r="F2668" s="227"/>
      <c r="G2668" s="13"/>
      <c r="H2668" s="107"/>
      <c r="I2668" s="13"/>
      <c r="J2668" s="107"/>
      <c r="K2668" s="107"/>
      <c r="L2668" s="13"/>
    </row>
    <row r="2669" ht="15.75" customHeight="1">
      <c r="A2669" s="13"/>
      <c r="B2669" s="13"/>
      <c r="C2669" s="13"/>
      <c r="D2669" s="13"/>
      <c r="E2669" s="13"/>
      <c r="F2669" s="227"/>
      <c r="G2669" s="13"/>
      <c r="H2669" s="107"/>
      <c r="I2669" s="13"/>
      <c r="J2669" s="107"/>
      <c r="K2669" s="107"/>
      <c r="L2669" s="13"/>
    </row>
    <row r="2670" ht="15.75" customHeight="1">
      <c r="A2670" s="13"/>
      <c r="B2670" s="13"/>
      <c r="C2670" s="13"/>
      <c r="D2670" s="13"/>
      <c r="E2670" s="13"/>
      <c r="F2670" s="227"/>
      <c r="G2670" s="13"/>
      <c r="H2670" s="107"/>
      <c r="I2670" s="13"/>
      <c r="J2670" s="107"/>
      <c r="K2670" s="107"/>
      <c r="L2670" s="13"/>
    </row>
    <row r="2671" ht="15.75" customHeight="1">
      <c r="A2671" s="13"/>
      <c r="B2671" s="13"/>
      <c r="C2671" s="13"/>
      <c r="D2671" s="13"/>
      <c r="E2671" s="13"/>
      <c r="F2671" s="227"/>
      <c r="G2671" s="13"/>
      <c r="H2671" s="107"/>
      <c r="I2671" s="13"/>
      <c r="J2671" s="107"/>
      <c r="K2671" s="107"/>
      <c r="L2671" s="13"/>
    </row>
    <row r="2672" ht="15.75" customHeight="1">
      <c r="A2672" s="13"/>
      <c r="B2672" s="13"/>
      <c r="C2672" s="13"/>
      <c r="D2672" s="13"/>
      <c r="E2672" s="13"/>
      <c r="F2672" s="227"/>
      <c r="G2672" s="13"/>
      <c r="H2672" s="107"/>
      <c r="I2672" s="13"/>
      <c r="J2672" s="107"/>
      <c r="K2672" s="107"/>
      <c r="L2672" s="13"/>
    </row>
    <row r="2673" ht="15.75" customHeight="1">
      <c r="A2673" s="13"/>
      <c r="B2673" s="13"/>
      <c r="C2673" s="13"/>
      <c r="D2673" s="13"/>
      <c r="E2673" s="13"/>
      <c r="F2673" s="227"/>
      <c r="G2673" s="13"/>
      <c r="H2673" s="107"/>
      <c r="I2673" s="13"/>
      <c r="J2673" s="107"/>
      <c r="K2673" s="107"/>
      <c r="L2673" s="13"/>
    </row>
    <row r="2674" ht="15.75" customHeight="1">
      <c r="A2674" s="13"/>
      <c r="B2674" s="13"/>
      <c r="C2674" s="13"/>
      <c r="D2674" s="13"/>
      <c r="E2674" s="13"/>
      <c r="F2674" s="227"/>
      <c r="G2674" s="13"/>
      <c r="H2674" s="107"/>
      <c r="I2674" s="13"/>
      <c r="J2674" s="107"/>
      <c r="K2674" s="107"/>
      <c r="L2674" s="13"/>
    </row>
    <row r="2675" ht="15.75" customHeight="1">
      <c r="A2675" s="13"/>
      <c r="B2675" s="13"/>
      <c r="C2675" s="13"/>
      <c r="D2675" s="13"/>
      <c r="E2675" s="13"/>
      <c r="F2675" s="227"/>
      <c r="G2675" s="13"/>
      <c r="H2675" s="107"/>
      <c r="I2675" s="13"/>
      <c r="J2675" s="107"/>
      <c r="K2675" s="107"/>
      <c r="L2675" s="13"/>
    </row>
    <row r="2676" ht="15.75" customHeight="1">
      <c r="A2676" s="13"/>
      <c r="B2676" s="13"/>
      <c r="C2676" s="13"/>
      <c r="D2676" s="13"/>
      <c r="E2676" s="13"/>
      <c r="F2676" s="227"/>
      <c r="G2676" s="13"/>
      <c r="H2676" s="107"/>
      <c r="I2676" s="13"/>
      <c r="J2676" s="107"/>
      <c r="K2676" s="107"/>
      <c r="L2676" s="13"/>
    </row>
    <row r="2677" ht="15.75" customHeight="1">
      <c r="A2677" s="13"/>
      <c r="B2677" s="13"/>
      <c r="C2677" s="13"/>
      <c r="D2677" s="13"/>
      <c r="E2677" s="13"/>
      <c r="F2677" s="227"/>
      <c r="G2677" s="13"/>
      <c r="H2677" s="107"/>
      <c r="I2677" s="13"/>
      <c r="J2677" s="107"/>
      <c r="K2677" s="107"/>
      <c r="L2677" s="13"/>
    </row>
    <row r="2678" ht="15.75" customHeight="1">
      <c r="A2678" s="13"/>
      <c r="B2678" s="13"/>
      <c r="C2678" s="13"/>
      <c r="D2678" s="13"/>
      <c r="E2678" s="13"/>
      <c r="F2678" s="227"/>
      <c r="G2678" s="13"/>
      <c r="H2678" s="107"/>
      <c r="I2678" s="13"/>
      <c r="J2678" s="107"/>
      <c r="K2678" s="107"/>
      <c r="L2678" s="13"/>
    </row>
    <row r="2679" ht="15.75" customHeight="1">
      <c r="A2679" s="13"/>
      <c r="B2679" s="13"/>
      <c r="C2679" s="13"/>
      <c r="D2679" s="13"/>
      <c r="E2679" s="13"/>
      <c r="F2679" s="227"/>
      <c r="G2679" s="13"/>
      <c r="H2679" s="107"/>
      <c r="I2679" s="13"/>
      <c r="J2679" s="107"/>
      <c r="K2679" s="107"/>
      <c r="L2679" s="13"/>
    </row>
    <row r="2680" ht="15.75" customHeight="1">
      <c r="A2680" s="13"/>
      <c r="B2680" s="13"/>
      <c r="C2680" s="13"/>
      <c r="D2680" s="13"/>
      <c r="E2680" s="13"/>
      <c r="F2680" s="227"/>
      <c r="G2680" s="13"/>
      <c r="H2680" s="107"/>
      <c r="I2680" s="13"/>
      <c r="J2680" s="107"/>
      <c r="K2680" s="107"/>
      <c r="L2680" s="13"/>
    </row>
    <row r="2681" ht="15.75" customHeight="1">
      <c r="A2681" s="13"/>
      <c r="B2681" s="13"/>
      <c r="C2681" s="13"/>
      <c r="D2681" s="13"/>
      <c r="E2681" s="13"/>
      <c r="F2681" s="227"/>
      <c r="G2681" s="13"/>
      <c r="H2681" s="107"/>
      <c r="I2681" s="13"/>
      <c r="J2681" s="107"/>
      <c r="K2681" s="107"/>
      <c r="L2681" s="13"/>
    </row>
    <row r="2682" ht="15.75" customHeight="1">
      <c r="A2682" s="13"/>
      <c r="B2682" s="13"/>
      <c r="C2682" s="13"/>
      <c r="D2682" s="13"/>
      <c r="E2682" s="13"/>
      <c r="F2682" s="227"/>
      <c r="G2682" s="13"/>
      <c r="H2682" s="107"/>
      <c r="I2682" s="13"/>
      <c r="J2682" s="107"/>
      <c r="K2682" s="107"/>
      <c r="L2682" s="13"/>
    </row>
    <row r="2683" ht="15.75" customHeight="1">
      <c r="A2683" s="13"/>
      <c r="B2683" s="13"/>
      <c r="C2683" s="13"/>
      <c r="D2683" s="13"/>
      <c r="E2683" s="13"/>
      <c r="F2683" s="227"/>
      <c r="G2683" s="13"/>
      <c r="H2683" s="107"/>
      <c r="I2683" s="13"/>
      <c r="J2683" s="107"/>
      <c r="K2683" s="107"/>
      <c r="L2683" s="13"/>
    </row>
    <row r="2684" ht="15.75" customHeight="1">
      <c r="A2684" s="13"/>
      <c r="B2684" s="13"/>
      <c r="C2684" s="13"/>
      <c r="D2684" s="13"/>
      <c r="E2684" s="13"/>
      <c r="F2684" s="227"/>
      <c r="G2684" s="13"/>
      <c r="H2684" s="107"/>
      <c r="I2684" s="13"/>
      <c r="J2684" s="107"/>
      <c r="K2684" s="107"/>
      <c r="L2684" s="13"/>
    </row>
    <row r="2685" ht="15.75" customHeight="1">
      <c r="A2685" s="13"/>
      <c r="B2685" s="13"/>
      <c r="C2685" s="13"/>
      <c r="D2685" s="13"/>
      <c r="E2685" s="13"/>
      <c r="F2685" s="227"/>
      <c r="G2685" s="13"/>
      <c r="H2685" s="107"/>
      <c r="I2685" s="13"/>
      <c r="J2685" s="107"/>
      <c r="K2685" s="107"/>
      <c r="L2685" s="13"/>
    </row>
    <row r="2686" ht="15.75" customHeight="1">
      <c r="A2686" s="13"/>
      <c r="B2686" s="13"/>
      <c r="C2686" s="13"/>
      <c r="D2686" s="13"/>
      <c r="E2686" s="13"/>
      <c r="F2686" s="227"/>
      <c r="G2686" s="13"/>
      <c r="H2686" s="107"/>
      <c r="I2686" s="13"/>
      <c r="J2686" s="107"/>
      <c r="K2686" s="107"/>
      <c r="L2686" s="13"/>
    </row>
    <row r="2687" ht="15.75" customHeight="1">
      <c r="A2687" s="13"/>
      <c r="B2687" s="13"/>
      <c r="C2687" s="13"/>
      <c r="D2687" s="13"/>
      <c r="E2687" s="13"/>
      <c r="F2687" s="227"/>
      <c r="G2687" s="13"/>
      <c r="H2687" s="107"/>
      <c r="I2687" s="13"/>
      <c r="J2687" s="107"/>
      <c r="K2687" s="107"/>
      <c r="L2687" s="13"/>
    </row>
    <row r="2688" ht="15.75" customHeight="1">
      <c r="A2688" s="13"/>
      <c r="B2688" s="13"/>
      <c r="C2688" s="13"/>
      <c r="D2688" s="13"/>
      <c r="E2688" s="13"/>
      <c r="F2688" s="227"/>
      <c r="G2688" s="13"/>
      <c r="H2688" s="107"/>
      <c r="I2688" s="13"/>
      <c r="J2688" s="107"/>
      <c r="K2688" s="107"/>
      <c r="L2688" s="13"/>
    </row>
    <row r="2689" ht="15.75" customHeight="1">
      <c r="A2689" s="13"/>
      <c r="B2689" s="13"/>
      <c r="C2689" s="13"/>
      <c r="D2689" s="13"/>
      <c r="E2689" s="13"/>
      <c r="F2689" s="227"/>
      <c r="G2689" s="13"/>
      <c r="H2689" s="107"/>
      <c r="I2689" s="13"/>
      <c r="J2689" s="107"/>
      <c r="K2689" s="107"/>
      <c r="L2689" s="13"/>
    </row>
    <row r="2690" ht="15.75" customHeight="1">
      <c r="A2690" s="13"/>
      <c r="B2690" s="13"/>
      <c r="C2690" s="13"/>
      <c r="D2690" s="13"/>
      <c r="E2690" s="13"/>
      <c r="F2690" s="227"/>
      <c r="G2690" s="13"/>
      <c r="H2690" s="107"/>
      <c r="I2690" s="13"/>
      <c r="J2690" s="107"/>
      <c r="K2690" s="107"/>
      <c r="L2690" s="13"/>
    </row>
    <row r="2691" ht="15.75" customHeight="1">
      <c r="A2691" s="13"/>
      <c r="B2691" s="13"/>
      <c r="C2691" s="13"/>
      <c r="D2691" s="13"/>
      <c r="E2691" s="13"/>
      <c r="F2691" s="227"/>
      <c r="G2691" s="13"/>
      <c r="H2691" s="107"/>
      <c r="I2691" s="13"/>
      <c r="J2691" s="107"/>
      <c r="K2691" s="107"/>
      <c r="L2691" s="13"/>
    </row>
    <row r="2692" ht="15.75" customHeight="1">
      <c r="A2692" s="13"/>
      <c r="B2692" s="13"/>
      <c r="C2692" s="13"/>
      <c r="D2692" s="13"/>
      <c r="E2692" s="13"/>
      <c r="F2692" s="227"/>
      <c r="G2692" s="13"/>
      <c r="H2692" s="107"/>
      <c r="I2692" s="13"/>
      <c r="J2692" s="107"/>
      <c r="K2692" s="107"/>
      <c r="L2692" s="13"/>
    </row>
    <row r="2693" ht="15.75" customHeight="1">
      <c r="A2693" s="13"/>
      <c r="B2693" s="13"/>
      <c r="C2693" s="13"/>
      <c r="D2693" s="13"/>
      <c r="E2693" s="13"/>
      <c r="F2693" s="227"/>
      <c r="G2693" s="13"/>
      <c r="H2693" s="107"/>
      <c r="I2693" s="13"/>
      <c r="J2693" s="107"/>
      <c r="K2693" s="107"/>
      <c r="L2693" s="13"/>
    </row>
    <row r="2694" ht="15.75" customHeight="1">
      <c r="A2694" s="13"/>
      <c r="B2694" s="13"/>
      <c r="C2694" s="13"/>
      <c r="D2694" s="13"/>
      <c r="E2694" s="13"/>
      <c r="F2694" s="227"/>
      <c r="G2694" s="13"/>
      <c r="H2694" s="107"/>
      <c r="I2694" s="13"/>
      <c r="J2694" s="107"/>
      <c r="K2694" s="107"/>
      <c r="L2694" s="13"/>
    </row>
    <row r="2695" ht="15.75" customHeight="1">
      <c r="A2695" s="13"/>
      <c r="B2695" s="13"/>
      <c r="C2695" s="13"/>
      <c r="D2695" s="13"/>
      <c r="E2695" s="13"/>
      <c r="F2695" s="227"/>
      <c r="G2695" s="13"/>
      <c r="H2695" s="107"/>
      <c r="I2695" s="13"/>
      <c r="J2695" s="107"/>
      <c r="K2695" s="107"/>
      <c r="L2695" s="13"/>
    </row>
    <row r="2696" ht="15.75" customHeight="1">
      <c r="A2696" s="13"/>
      <c r="B2696" s="13"/>
      <c r="C2696" s="13"/>
      <c r="D2696" s="13"/>
      <c r="E2696" s="13"/>
      <c r="F2696" s="227"/>
      <c r="G2696" s="13"/>
      <c r="H2696" s="107"/>
      <c r="I2696" s="13"/>
      <c r="J2696" s="107"/>
      <c r="K2696" s="107"/>
      <c r="L2696" s="13"/>
    </row>
    <row r="2697" ht="15.75" customHeight="1">
      <c r="A2697" s="13"/>
      <c r="B2697" s="13"/>
      <c r="C2697" s="13"/>
      <c r="D2697" s="13"/>
      <c r="E2697" s="13"/>
      <c r="F2697" s="227"/>
      <c r="G2697" s="13"/>
      <c r="H2697" s="107"/>
      <c r="I2697" s="13"/>
      <c r="J2697" s="107"/>
      <c r="K2697" s="107"/>
      <c r="L2697" s="13"/>
    </row>
    <row r="2698" ht="15.75" customHeight="1">
      <c r="A2698" s="13"/>
      <c r="B2698" s="13"/>
      <c r="C2698" s="13"/>
      <c r="D2698" s="13"/>
      <c r="E2698" s="13"/>
      <c r="F2698" s="227"/>
      <c r="G2698" s="13"/>
      <c r="H2698" s="107"/>
      <c r="I2698" s="13"/>
      <c r="J2698" s="107"/>
      <c r="K2698" s="107"/>
      <c r="L2698" s="13"/>
    </row>
    <row r="2699" ht="15.75" customHeight="1">
      <c r="A2699" s="13"/>
      <c r="B2699" s="13"/>
      <c r="C2699" s="13"/>
      <c r="D2699" s="13"/>
      <c r="E2699" s="13"/>
      <c r="F2699" s="227"/>
      <c r="G2699" s="13"/>
      <c r="H2699" s="107"/>
      <c r="I2699" s="13"/>
      <c r="J2699" s="107"/>
      <c r="K2699" s="107"/>
      <c r="L2699" s="13"/>
    </row>
    <row r="2700" ht="15.75" customHeight="1">
      <c r="A2700" s="13"/>
      <c r="B2700" s="13"/>
      <c r="C2700" s="13"/>
      <c r="D2700" s="13"/>
      <c r="E2700" s="13"/>
      <c r="F2700" s="227"/>
      <c r="G2700" s="13"/>
      <c r="H2700" s="107"/>
      <c r="I2700" s="13"/>
      <c r="J2700" s="107"/>
      <c r="K2700" s="107"/>
      <c r="L2700" s="13"/>
    </row>
    <row r="2701" ht="15.75" customHeight="1">
      <c r="A2701" s="13"/>
      <c r="B2701" s="13"/>
      <c r="C2701" s="13"/>
      <c r="D2701" s="13"/>
      <c r="E2701" s="13"/>
      <c r="F2701" s="227"/>
      <c r="G2701" s="13"/>
      <c r="H2701" s="107"/>
      <c r="I2701" s="13"/>
      <c r="J2701" s="107"/>
      <c r="K2701" s="107"/>
      <c r="L2701" s="13"/>
    </row>
    <row r="2702" ht="15.75" customHeight="1">
      <c r="A2702" s="13"/>
      <c r="B2702" s="13"/>
      <c r="C2702" s="13"/>
      <c r="D2702" s="13"/>
      <c r="E2702" s="13"/>
      <c r="F2702" s="227"/>
      <c r="G2702" s="13"/>
      <c r="H2702" s="107"/>
      <c r="I2702" s="13"/>
      <c r="J2702" s="107"/>
      <c r="K2702" s="107"/>
      <c r="L2702" s="13"/>
    </row>
    <row r="2703" ht="15.75" customHeight="1">
      <c r="A2703" s="13"/>
      <c r="B2703" s="13"/>
      <c r="C2703" s="13"/>
      <c r="D2703" s="13"/>
      <c r="E2703" s="13"/>
      <c r="F2703" s="227"/>
      <c r="G2703" s="13"/>
      <c r="H2703" s="107"/>
      <c r="I2703" s="13"/>
      <c r="J2703" s="107"/>
      <c r="K2703" s="107"/>
      <c r="L2703" s="13"/>
    </row>
    <row r="2704" ht="15.75" customHeight="1">
      <c r="A2704" s="13"/>
      <c r="B2704" s="13"/>
      <c r="C2704" s="13"/>
      <c r="D2704" s="13"/>
      <c r="E2704" s="13"/>
      <c r="F2704" s="227"/>
      <c r="G2704" s="13"/>
      <c r="H2704" s="107"/>
      <c r="I2704" s="13"/>
      <c r="J2704" s="107"/>
      <c r="K2704" s="107"/>
      <c r="L2704" s="13"/>
    </row>
    <row r="2705" ht="15.75" customHeight="1">
      <c r="A2705" s="13"/>
      <c r="B2705" s="13"/>
      <c r="C2705" s="13"/>
      <c r="D2705" s="13"/>
      <c r="E2705" s="13"/>
      <c r="F2705" s="227"/>
      <c r="G2705" s="13"/>
      <c r="H2705" s="107"/>
      <c r="I2705" s="13"/>
      <c r="J2705" s="107"/>
      <c r="K2705" s="107"/>
      <c r="L2705" s="13"/>
    </row>
    <row r="2706" ht="15.75" customHeight="1">
      <c r="A2706" s="13"/>
      <c r="B2706" s="13"/>
      <c r="C2706" s="13"/>
      <c r="D2706" s="13"/>
      <c r="E2706" s="13"/>
      <c r="F2706" s="227"/>
      <c r="G2706" s="13"/>
      <c r="H2706" s="107"/>
      <c r="I2706" s="13"/>
      <c r="J2706" s="107"/>
      <c r="K2706" s="107"/>
      <c r="L2706" s="13"/>
    </row>
    <row r="2707" ht="15.75" customHeight="1">
      <c r="A2707" s="13"/>
      <c r="B2707" s="13"/>
      <c r="C2707" s="13"/>
      <c r="D2707" s="13"/>
      <c r="E2707" s="13"/>
      <c r="F2707" s="227"/>
      <c r="G2707" s="13"/>
      <c r="H2707" s="107"/>
      <c r="I2707" s="13"/>
      <c r="J2707" s="107"/>
      <c r="K2707" s="107"/>
      <c r="L2707" s="13"/>
    </row>
    <row r="2708" ht="15.75" customHeight="1">
      <c r="A2708" s="13"/>
      <c r="B2708" s="13"/>
      <c r="C2708" s="13"/>
      <c r="D2708" s="13"/>
      <c r="E2708" s="13"/>
      <c r="F2708" s="227"/>
      <c r="G2708" s="13"/>
      <c r="H2708" s="107"/>
      <c r="I2708" s="13"/>
      <c r="J2708" s="107"/>
      <c r="K2708" s="107"/>
      <c r="L2708" s="13"/>
    </row>
    <row r="2709" ht="15.75" customHeight="1">
      <c r="A2709" s="13"/>
      <c r="B2709" s="13"/>
      <c r="C2709" s="13"/>
      <c r="D2709" s="13"/>
      <c r="E2709" s="13"/>
      <c r="F2709" s="227"/>
      <c r="G2709" s="13"/>
      <c r="H2709" s="107"/>
      <c r="I2709" s="13"/>
      <c r="J2709" s="107"/>
      <c r="K2709" s="107"/>
      <c r="L2709" s="13"/>
    </row>
    <row r="2710" ht="15.75" customHeight="1">
      <c r="A2710" s="13"/>
      <c r="B2710" s="13"/>
      <c r="C2710" s="13"/>
      <c r="D2710" s="13"/>
      <c r="E2710" s="13"/>
      <c r="F2710" s="227"/>
      <c r="G2710" s="13"/>
      <c r="H2710" s="107"/>
      <c r="I2710" s="13"/>
      <c r="J2710" s="107"/>
      <c r="K2710" s="107"/>
      <c r="L2710" s="13"/>
    </row>
    <row r="2711" ht="15.75" customHeight="1">
      <c r="A2711" s="13"/>
      <c r="B2711" s="13"/>
      <c r="C2711" s="13"/>
      <c r="D2711" s="13"/>
      <c r="E2711" s="13"/>
      <c r="F2711" s="227"/>
      <c r="G2711" s="13"/>
      <c r="H2711" s="107"/>
      <c r="I2711" s="13"/>
      <c r="J2711" s="107"/>
      <c r="K2711" s="107"/>
      <c r="L2711" s="13"/>
    </row>
    <row r="2712" ht="15.75" customHeight="1">
      <c r="A2712" s="13"/>
      <c r="B2712" s="13"/>
      <c r="C2712" s="13"/>
      <c r="D2712" s="13"/>
      <c r="E2712" s="13"/>
      <c r="F2712" s="227"/>
      <c r="G2712" s="13"/>
      <c r="H2712" s="107"/>
      <c r="I2712" s="13"/>
      <c r="J2712" s="107"/>
      <c r="K2712" s="107"/>
      <c r="L2712" s="13"/>
    </row>
    <row r="2713" ht="15.75" customHeight="1">
      <c r="A2713" s="13"/>
      <c r="B2713" s="13"/>
      <c r="C2713" s="13"/>
      <c r="D2713" s="13"/>
      <c r="E2713" s="13"/>
      <c r="F2713" s="227"/>
      <c r="G2713" s="13"/>
      <c r="H2713" s="107"/>
      <c r="I2713" s="13"/>
      <c r="J2713" s="107"/>
      <c r="K2713" s="107"/>
      <c r="L2713" s="13"/>
    </row>
    <row r="2714" ht="15.75" customHeight="1">
      <c r="A2714" s="13"/>
      <c r="B2714" s="13"/>
      <c r="C2714" s="13"/>
      <c r="D2714" s="13"/>
      <c r="E2714" s="13"/>
      <c r="F2714" s="227"/>
      <c r="G2714" s="13"/>
      <c r="H2714" s="107"/>
      <c r="I2714" s="13"/>
      <c r="J2714" s="107"/>
      <c r="K2714" s="107"/>
      <c r="L2714" s="13"/>
    </row>
    <row r="2715" ht="15.75" customHeight="1">
      <c r="A2715" s="13"/>
      <c r="B2715" s="13"/>
      <c r="C2715" s="13"/>
      <c r="D2715" s="13"/>
      <c r="E2715" s="13"/>
      <c r="F2715" s="227"/>
      <c r="G2715" s="13"/>
      <c r="H2715" s="107"/>
      <c r="I2715" s="13"/>
      <c r="J2715" s="107"/>
      <c r="K2715" s="107"/>
      <c r="L2715" s="13"/>
    </row>
    <row r="2716" ht="15.75" customHeight="1">
      <c r="A2716" s="13"/>
      <c r="B2716" s="13"/>
      <c r="C2716" s="13"/>
      <c r="D2716" s="13"/>
      <c r="E2716" s="13"/>
      <c r="F2716" s="227"/>
      <c r="G2716" s="13"/>
      <c r="H2716" s="107"/>
      <c r="I2716" s="13"/>
      <c r="J2716" s="107"/>
      <c r="K2716" s="107"/>
      <c r="L2716" s="13"/>
    </row>
    <row r="2717" ht="15.75" customHeight="1">
      <c r="A2717" s="13"/>
      <c r="B2717" s="13"/>
      <c r="C2717" s="13"/>
      <c r="D2717" s="13"/>
      <c r="E2717" s="13"/>
      <c r="F2717" s="227"/>
      <c r="G2717" s="13"/>
      <c r="H2717" s="107"/>
      <c r="I2717" s="13"/>
      <c r="J2717" s="107"/>
      <c r="K2717" s="107"/>
      <c r="L2717" s="13"/>
    </row>
    <row r="2718" ht="15.75" customHeight="1">
      <c r="A2718" s="13"/>
      <c r="B2718" s="13"/>
      <c r="C2718" s="13"/>
      <c r="D2718" s="13"/>
      <c r="E2718" s="13"/>
      <c r="F2718" s="227"/>
      <c r="G2718" s="13"/>
      <c r="H2718" s="107"/>
      <c r="I2718" s="13"/>
      <c r="J2718" s="107"/>
      <c r="K2718" s="107"/>
      <c r="L2718" s="13"/>
    </row>
    <row r="2719" ht="15.75" customHeight="1">
      <c r="A2719" s="13"/>
      <c r="B2719" s="13"/>
      <c r="C2719" s="13"/>
      <c r="D2719" s="13"/>
      <c r="E2719" s="13"/>
      <c r="F2719" s="227"/>
      <c r="G2719" s="13"/>
      <c r="H2719" s="107"/>
      <c r="I2719" s="13"/>
      <c r="J2719" s="107"/>
      <c r="K2719" s="107"/>
      <c r="L2719" s="13"/>
    </row>
    <row r="2720" ht="15.75" customHeight="1">
      <c r="A2720" s="13"/>
      <c r="B2720" s="13"/>
      <c r="C2720" s="13"/>
      <c r="D2720" s="13"/>
      <c r="E2720" s="13"/>
      <c r="F2720" s="227"/>
      <c r="G2720" s="13"/>
      <c r="H2720" s="107"/>
      <c r="I2720" s="13"/>
      <c r="J2720" s="107"/>
      <c r="K2720" s="107"/>
      <c r="L2720" s="13"/>
    </row>
    <row r="2721" ht="15.75" customHeight="1">
      <c r="A2721" s="13"/>
      <c r="B2721" s="13"/>
      <c r="C2721" s="13"/>
      <c r="D2721" s="13"/>
      <c r="E2721" s="13"/>
      <c r="F2721" s="227"/>
      <c r="G2721" s="13"/>
      <c r="H2721" s="107"/>
      <c r="I2721" s="13"/>
      <c r="J2721" s="107"/>
      <c r="K2721" s="107"/>
      <c r="L2721" s="13"/>
    </row>
    <row r="2722" ht="15.75" customHeight="1">
      <c r="A2722" s="13"/>
      <c r="B2722" s="13"/>
      <c r="C2722" s="13"/>
      <c r="D2722" s="13"/>
      <c r="E2722" s="13"/>
      <c r="F2722" s="227"/>
      <c r="G2722" s="13"/>
      <c r="H2722" s="107"/>
      <c r="I2722" s="13"/>
      <c r="J2722" s="107"/>
      <c r="K2722" s="107"/>
      <c r="L2722" s="13"/>
    </row>
    <row r="2723" ht="15.75" customHeight="1">
      <c r="A2723" s="13"/>
      <c r="B2723" s="13"/>
      <c r="C2723" s="13"/>
      <c r="D2723" s="13"/>
      <c r="E2723" s="13"/>
      <c r="F2723" s="227"/>
      <c r="G2723" s="13"/>
      <c r="H2723" s="107"/>
      <c r="I2723" s="13"/>
      <c r="J2723" s="107"/>
      <c r="K2723" s="107"/>
      <c r="L2723" s="13"/>
    </row>
    <row r="2724" ht="15.75" customHeight="1">
      <c r="A2724" s="13"/>
      <c r="B2724" s="13"/>
      <c r="C2724" s="13"/>
      <c r="D2724" s="13"/>
      <c r="E2724" s="13"/>
      <c r="F2724" s="227"/>
      <c r="G2724" s="13"/>
      <c r="H2724" s="107"/>
      <c r="I2724" s="13"/>
      <c r="J2724" s="107"/>
      <c r="K2724" s="107"/>
      <c r="L2724" s="13"/>
    </row>
    <row r="2725" ht="15.75" customHeight="1">
      <c r="A2725" s="13"/>
      <c r="B2725" s="13"/>
      <c r="C2725" s="13"/>
      <c r="D2725" s="13"/>
      <c r="E2725" s="13"/>
      <c r="F2725" s="227"/>
      <c r="G2725" s="13"/>
      <c r="H2725" s="107"/>
      <c r="I2725" s="13"/>
      <c r="J2725" s="107"/>
      <c r="K2725" s="107"/>
      <c r="L2725" s="13"/>
    </row>
    <row r="2726" ht="15.75" customHeight="1">
      <c r="A2726" s="13"/>
      <c r="B2726" s="13"/>
      <c r="C2726" s="13"/>
      <c r="D2726" s="13"/>
      <c r="E2726" s="13"/>
      <c r="F2726" s="227"/>
      <c r="G2726" s="13"/>
      <c r="H2726" s="107"/>
      <c r="I2726" s="13"/>
      <c r="J2726" s="107"/>
      <c r="K2726" s="107"/>
      <c r="L2726" s="13"/>
    </row>
    <row r="2727" ht="15.75" customHeight="1">
      <c r="A2727" s="13"/>
      <c r="B2727" s="13"/>
      <c r="C2727" s="13"/>
      <c r="D2727" s="13"/>
      <c r="E2727" s="13"/>
      <c r="F2727" s="227"/>
      <c r="G2727" s="13"/>
      <c r="H2727" s="107"/>
      <c r="I2727" s="13"/>
      <c r="J2727" s="107"/>
      <c r="K2727" s="107"/>
      <c r="L2727" s="13"/>
    </row>
    <row r="2728" ht="15.75" customHeight="1">
      <c r="A2728" s="13"/>
      <c r="B2728" s="13"/>
      <c r="C2728" s="13"/>
      <c r="D2728" s="13"/>
      <c r="E2728" s="13"/>
      <c r="F2728" s="227"/>
      <c r="G2728" s="13"/>
      <c r="H2728" s="107"/>
      <c r="I2728" s="13"/>
      <c r="J2728" s="107"/>
      <c r="K2728" s="107"/>
      <c r="L2728" s="13"/>
    </row>
    <row r="2729" ht="15.75" customHeight="1">
      <c r="A2729" s="13"/>
      <c r="B2729" s="13"/>
      <c r="C2729" s="13"/>
      <c r="D2729" s="13"/>
      <c r="E2729" s="13"/>
      <c r="F2729" s="227"/>
      <c r="G2729" s="13"/>
      <c r="H2729" s="107"/>
      <c r="I2729" s="13"/>
      <c r="J2729" s="107"/>
      <c r="K2729" s="107"/>
      <c r="L2729" s="13"/>
    </row>
    <row r="2730" ht="15.75" customHeight="1">
      <c r="A2730" s="13"/>
      <c r="B2730" s="13"/>
      <c r="C2730" s="13"/>
      <c r="D2730" s="13"/>
      <c r="E2730" s="13"/>
      <c r="F2730" s="227"/>
      <c r="G2730" s="13"/>
      <c r="H2730" s="107"/>
      <c r="I2730" s="13"/>
      <c r="J2730" s="107"/>
      <c r="K2730" s="107"/>
      <c r="L2730" s="13"/>
    </row>
    <row r="2731" ht="15.75" customHeight="1">
      <c r="A2731" s="13"/>
      <c r="B2731" s="13"/>
      <c r="C2731" s="13"/>
      <c r="D2731" s="13"/>
      <c r="E2731" s="13"/>
      <c r="F2731" s="227"/>
      <c r="G2731" s="13"/>
      <c r="H2731" s="107"/>
      <c r="I2731" s="13"/>
      <c r="J2731" s="107"/>
      <c r="K2731" s="107"/>
      <c r="L2731" s="13"/>
    </row>
    <row r="2732" ht="15.75" customHeight="1">
      <c r="A2732" s="13"/>
      <c r="B2732" s="13"/>
      <c r="C2732" s="13"/>
      <c r="D2732" s="13"/>
      <c r="E2732" s="13"/>
      <c r="F2732" s="227"/>
      <c r="G2732" s="13"/>
      <c r="H2732" s="107"/>
      <c r="I2732" s="13"/>
      <c r="J2732" s="107"/>
      <c r="K2732" s="107"/>
      <c r="L2732" s="13"/>
    </row>
    <row r="2733" ht="15.75" customHeight="1">
      <c r="A2733" s="13"/>
      <c r="B2733" s="13"/>
      <c r="C2733" s="13"/>
      <c r="D2733" s="13"/>
      <c r="E2733" s="13"/>
      <c r="F2733" s="227"/>
      <c r="G2733" s="13"/>
      <c r="H2733" s="107"/>
      <c r="I2733" s="13"/>
      <c r="J2733" s="107"/>
      <c r="K2733" s="107"/>
      <c r="L2733" s="13"/>
    </row>
    <row r="2734" ht="15.75" customHeight="1">
      <c r="A2734" s="13"/>
      <c r="B2734" s="13"/>
      <c r="C2734" s="13"/>
      <c r="D2734" s="13"/>
      <c r="E2734" s="13"/>
      <c r="F2734" s="227"/>
      <c r="G2734" s="13"/>
      <c r="H2734" s="107"/>
      <c r="I2734" s="13"/>
      <c r="J2734" s="107"/>
      <c r="K2734" s="107"/>
      <c r="L2734" s="13"/>
    </row>
    <row r="2735" ht="15.75" customHeight="1">
      <c r="A2735" s="13"/>
      <c r="B2735" s="13"/>
      <c r="C2735" s="13"/>
      <c r="D2735" s="13"/>
      <c r="E2735" s="13"/>
      <c r="F2735" s="227"/>
      <c r="G2735" s="13"/>
      <c r="H2735" s="107"/>
      <c r="I2735" s="13"/>
      <c r="J2735" s="107"/>
      <c r="K2735" s="107"/>
      <c r="L2735" s="13"/>
    </row>
    <row r="2736" ht="15.75" customHeight="1">
      <c r="A2736" s="13"/>
      <c r="B2736" s="13"/>
      <c r="C2736" s="13"/>
      <c r="D2736" s="13"/>
      <c r="E2736" s="13"/>
      <c r="F2736" s="227"/>
      <c r="G2736" s="13"/>
      <c r="H2736" s="107"/>
      <c r="I2736" s="13"/>
      <c r="J2736" s="107"/>
      <c r="K2736" s="107"/>
      <c r="L2736" s="13"/>
    </row>
    <row r="2737" ht="15.75" customHeight="1">
      <c r="A2737" s="13"/>
      <c r="B2737" s="13"/>
      <c r="C2737" s="13"/>
      <c r="D2737" s="13"/>
      <c r="E2737" s="13"/>
      <c r="F2737" s="227"/>
      <c r="G2737" s="13"/>
      <c r="H2737" s="107"/>
      <c r="I2737" s="13"/>
      <c r="J2737" s="107"/>
      <c r="K2737" s="107"/>
      <c r="L2737" s="13"/>
    </row>
    <row r="2738" ht="15.75" customHeight="1">
      <c r="A2738" s="13"/>
      <c r="B2738" s="13"/>
      <c r="C2738" s="13"/>
      <c r="D2738" s="13"/>
      <c r="E2738" s="13"/>
      <c r="F2738" s="227"/>
      <c r="G2738" s="13"/>
      <c r="H2738" s="107"/>
      <c r="I2738" s="13"/>
      <c r="J2738" s="107"/>
      <c r="K2738" s="107"/>
      <c r="L2738" s="13"/>
    </row>
    <row r="2739" ht="15.75" customHeight="1">
      <c r="A2739" s="13"/>
      <c r="B2739" s="13"/>
      <c r="C2739" s="13"/>
      <c r="D2739" s="13"/>
      <c r="E2739" s="13"/>
      <c r="F2739" s="227"/>
      <c r="G2739" s="13"/>
      <c r="H2739" s="107"/>
      <c r="I2739" s="13"/>
      <c r="J2739" s="107"/>
      <c r="K2739" s="107"/>
      <c r="L2739" s="13"/>
    </row>
    <row r="2740" ht="15.75" customHeight="1">
      <c r="A2740" s="13"/>
      <c r="B2740" s="13"/>
      <c r="C2740" s="13"/>
      <c r="D2740" s="13"/>
      <c r="E2740" s="13"/>
      <c r="F2740" s="227"/>
      <c r="G2740" s="13"/>
      <c r="H2740" s="107"/>
      <c r="I2740" s="13"/>
      <c r="J2740" s="107"/>
      <c r="K2740" s="107"/>
      <c r="L2740" s="13"/>
    </row>
    <row r="2741" ht="15.75" customHeight="1">
      <c r="A2741" s="13"/>
      <c r="B2741" s="13"/>
      <c r="C2741" s="13"/>
      <c r="D2741" s="13"/>
      <c r="E2741" s="13"/>
      <c r="F2741" s="227"/>
      <c r="G2741" s="13"/>
      <c r="H2741" s="107"/>
      <c r="I2741" s="13"/>
      <c r="J2741" s="107"/>
      <c r="K2741" s="107"/>
      <c r="L2741" s="13"/>
    </row>
    <row r="2742" ht="15.75" customHeight="1">
      <c r="A2742" s="13"/>
      <c r="B2742" s="13"/>
      <c r="C2742" s="13"/>
      <c r="D2742" s="13"/>
      <c r="E2742" s="13"/>
      <c r="F2742" s="227"/>
      <c r="G2742" s="13"/>
      <c r="H2742" s="107"/>
      <c r="I2742" s="13"/>
      <c r="J2742" s="107"/>
      <c r="K2742" s="107"/>
      <c r="L2742" s="13"/>
    </row>
    <row r="2743" ht="15.75" customHeight="1">
      <c r="A2743" s="13"/>
      <c r="B2743" s="13"/>
      <c r="C2743" s="13"/>
      <c r="D2743" s="13"/>
      <c r="E2743" s="13"/>
      <c r="F2743" s="227"/>
      <c r="G2743" s="13"/>
      <c r="H2743" s="107"/>
      <c r="I2743" s="13"/>
      <c r="J2743" s="107"/>
      <c r="K2743" s="107"/>
      <c r="L2743" s="13"/>
    </row>
    <row r="2744" ht="15.75" customHeight="1">
      <c r="A2744" s="13"/>
      <c r="B2744" s="13"/>
      <c r="C2744" s="13"/>
      <c r="D2744" s="13"/>
      <c r="E2744" s="13"/>
      <c r="F2744" s="227"/>
      <c r="G2744" s="13"/>
      <c r="H2744" s="107"/>
      <c r="I2744" s="13"/>
      <c r="J2744" s="107"/>
      <c r="K2744" s="107"/>
      <c r="L2744" s="13"/>
    </row>
    <row r="2745" ht="15.75" customHeight="1">
      <c r="A2745" s="13"/>
      <c r="B2745" s="13"/>
      <c r="C2745" s="13"/>
      <c r="D2745" s="13"/>
      <c r="E2745" s="13"/>
      <c r="F2745" s="227"/>
      <c r="G2745" s="13"/>
      <c r="H2745" s="107"/>
      <c r="I2745" s="13"/>
      <c r="J2745" s="107"/>
      <c r="K2745" s="107"/>
      <c r="L2745" s="13"/>
    </row>
    <row r="2746" ht="15.75" customHeight="1">
      <c r="A2746" s="13"/>
      <c r="B2746" s="13"/>
      <c r="C2746" s="13"/>
      <c r="D2746" s="13"/>
      <c r="E2746" s="13"/>
      <c r="F2746" s="227"/>
      <c r="G2746" s="13"/>
      <c r="H2746" s="107"/>
      <c r="I2746" s="13"/>
      <c r="J2746" s="107"/>
      <c r="K2746" s="107"/>
      <c r="L2746" s="13"/>
    </row>
    <row r="2747" ht="15.75" customHeight="1">
      <c r="A2747" s="13"/>
      <c r="B2747" s="13"/>
      <c r="C2747" s="13"/>
      <c r="D2747" s="13"/>
      <c r="E2747" s="13"/>
      <c r="F2747" s="227"/>
      <c r="G2747" s="13"/>
      <c r="H2747" s="107"/>
      <c r="I2747" s="13"/>
      <c r="J2747" s="107"/>
      <c r="K2747" s="107"/>
      <c r="L2747" s="13"/>
    </row>
    <row r="2748" ht="15.75" customHeight="1">
      <c r="A2748" s="13"/>
      <c r="B2748" s="13"/>
      <c r="C2748" s="13"/>
      <c r="D2748" s="13"/>
      <c r="E2748" s="13"/>
      <c r="F2748" s="227"/>
      <c r="G2748" s="13"/>
      <c r="H2748" s="107"/>
      <c r="I2748" s="13"/>
      <c r="J2748" s="107"/>
      <c r="K2748" s="107"/>
      <c r="L2748" s="13"/>
    </row>
    <row r="2749" ht="15.75" customHeight="1">
      <c r="A2749" s="13"/>
      <c r="B2749" s="13"/>
      <c r="C2749" s="13"/>
      <c r="D2749" s="13"/>
      <c r="E2749" s="13"/>
      <c r="F2749" s="227"/>
      <c r="G2749" s="13"/>
      <c r="H2749" s="107"/>
      <c r="I2749" s="13"/>
      <c r="J2749" s="107"/>
      <c r="K2749" s="107"/>
      <c r="L2749" s="13"/>
    </row>
    <row r="2750" ht="15.75" customHeight="1">
      <c r="A2750" s="13"/>
      <c r="B2750" s="13"/>
      <c r="C2750" s="13"/>
      <c r="D2750" s="13"/>
      <c r="E2750" s="13"/>
      <c r="F2750" s="227"/>
      <c r="G2750" s="13"/>
      <c r="H2750" s="107"/>
      <c r="I2750" s="13"/>
      <c r="J2750" s="107"/>
      <c r="K2750" s="107"/>
      <c r="L2750" s="13"/>
    </row>
    <row r="2751" ht="15.75" customHeight="1">
      <c r="A2751" s="13"/>
      <c r="B2751" s="13"/>
      <c r="C2751" s="13"/>
      <c r="D2751" s="13"/>
      <c r="E2751" s="13"/>
      <c r="F2751" s="227"/>
      <c r="G2751" s="13"/>
      <c r="H2751" s="107"/>
      <c r="I2751" s="13"/>
      <c r="J2751" s="107"/>
      <c r="K2751" s="107"/>
      <c r="L2751" s="13"/>
    </row>
    <row r="2752" ht="15.75" customHeight="1">
      <c r="A2752" s="13"/>
      <c r="B2752" s="13"/>
      <c r="C2752" s="13"/>
      <c r="D2752" s="13"/>
      <c r="E2752" s="13"/>
      <c r="F2752" s="227"/>
      <c r="G2752" s="13"/>
      <c r="H2752" s="107"/>
      <c r="I2752" s="13"/>
      <c r="J2752" s="107"/>
      <c r="K2752" s="107"/>
      <c r="L2752" s="13"/>
    </row>
    <row r="2753" ht="15.75" customHeight="1">
      <c r="A2753" s="13"/>
      <c r="B2753" s="13"/>
      <c r="C2753" s="13"/>
      <c r="D2753" s="13"/>
      <c r="E2753" s="13"/>
      <c r="F2753" s="227"/>
      <c r="G2753" s="13"/>
      <c r="H2753" s="107"/>
      <c r="I2753" s="13"/>
      <c r="J2753" s="107"/>
      <c r="K2753" s="107"/>
      <c r="L2753" s="13"/>
    </row>
    <row r="2754" ht="15.75" customHeight="1">
      <c r="A2754" s="13"/>
      <c r="B2754" s="13"/>
      <c r="C2754" s="13"/>
      <c r="D2754" s="13"/>
      <c r="E2754" s="13"/>
      <c r="F2754" s="227"/>
      <c r="G2754" s="13"/>
      <c r="H2754" s="107"/>
      <c r="I2754" s="13"/>
      <c r="J2754" s="107"/>
      <c r="K2754" s="107"/>
      <c r="L2754" s="13"/>
    </row>
    <row r="2755" ht="15.75" customHeight="1">
      <c r="A2755" s="13"/>
      <c r="B2755" s="13"/>
      <c r="C2755" s="13"/>
      <c r="D2755" s="13"/>
      <c r="E2755" s="13"/>
      <c r="F2755" s="227"/>
      <c r="G2755" s="13"/>
      <c r="H2755" s="107"/>
      <c r="I2755" s="13"/>
      <c r="J2755" s="107"/>
      <c r="K2755" s="107"/>
      <c r="L2755" s="13"/>
    </row>
    <row r="2756" ht="15.75" customHeight="1">
      <c r="A2756" s="13"/>
      <c r="B2756" s="13"/>
      <c r="C2756" s="13"/>
      <c r="D2756" s="13"/>
      <c r="E2756" s="13"/>
      <c r="F2756" s="227"/>
      <c r="G2756" s="13"/>
      <c r="H2756" s="107"/>
      <c r="I2756" s="13"/>
      <c r="J2756" s="107"/>
      <c r="K2756" s="107"/>
      <c r="L2756" s="13"/>
    </row>
    <row r="2757" ht="15.75" customHeight="1">
      <c r="A2757" s="13"/>
      <c r="B2757" s="13"/>
      <c r="C2757" s="13"/>
      <c r="D2757" s="13"/>
      <c r="E2757" s="13"/>
      <c r="F2757" s="227"/>
      <c r="G2757" s="13"/>
      <c r="H2757" s="107"/>
      <c r="I2757" s="13"/>
      <c r="J2757" s="107"/>
      <c r="K2757" s="107"/>
      <c r="L2757" s="13"/>
    </row>
    <row r="2758" ht="15.75" customHeight="1">
      <c r="A2758" s="13"/>
      <c r="B2758" s="13"/>
      <c r="C2758" s="13"/>
      <c r="D2758" s="13"/>
      <c r="E2758" s="13"/>
      <c r="F2758" s="227"/>
      <c r="G2758" s="13"/>
      <c r="H2758" s="107"/>
      <c r="I2758" s="13"/>
      <c r="J2758" s="107"/>
      <c r="K2758" s="107"/>
      <c r="L2758" s="13"/>
    </row>
    <row r="2759" ht="15.75" customHeight="1">
      <c r="A2759" s="13"/>
      <c r="B2759" s="13"/>
      <c r="C2759" s="13"/>
      <c r="D2759" s="13"/>
      <c r="E2759" s="13"/>
      <c r="F2759" s="227"/>
      <c r="G2759" s="13"/>
      <c r="H2759" s="107"/>
      <c r="I2759" s="13"/>
      <c r="J2759" s="107"/>
      <c r="K2759" s="107"/>
      <c r="L2759" s="13"/>
    </row>
    <row r="2760" ht="15.75" customHeight="1">
      <c r="A2760" s="13"/>
      <c r="B2760" s="13"/>
      <c r="C2760" s="13"/>
      <c r="D2760" s="13"/>
      <c r="E2760" s="13"/>
      <c r="F2760" s="227"/>
      <c r="G2760" s="13"/>
      <c r="H2760" s="107"/>
      <c r="I2760" s="13"/>
      <c r="J2760" s="107"/>
      <c r="K2760" s="107"/>
      <c r="L2760" s="13"/>
    </row>
    <row r="2761" ht="15.75" customHeight="1">
      <c r="A2761" s="13"/>
      <c r="B2761" s="13"/>
      <c r="C2761" s="13"/>
      <c r="D2761" s="13"/>
      <c r="E2761" s="13"/>
      <c r="F2761" s="227"/>
      <c r="G2761" s="13"/>
      <c r="H2761" s="107"/>
      <c r="I2761" s="13"/>
      <c r="J2761" s="107"/>
      <c r="K2761" s="107"/>
      <c r="L2761" s="13"/>
    </row>
    <row r="2762" ht="15.75" customHeight="1">
      <c r="A2762" s="13"/>
      <c r="B2762" s="13"/>
      <c r="C2762" s="13"/>
      <c r="D2762" s="13"/>
      <c r="E2762" s="13"/>
      <c r="F2762" s="227"/>
      <c r="G2762" s="13"/>
      <c r="H2762" s="107"/>
      <c r="I2762" s="13"/>
      <c r="J2762" s="107"/>
      <c r="K2762" s="107"/>
      <c r="L2762" s="13"/>
    </row>
    <row r="2763" ht="15.75" customHeight="1">
      <c r="A2763" s="13"/>
      <c r="B2763" s="13"/>
      <c r="C2763" s="13"/>
      <c r="D2763" s="13"/>
      <c r="E2763" s="13"/>
      <c r="F2763" s="227"/>
      <c r="G2763" s="13"/>
      <c r="H2763" s="107"/>
      <c r="I2763" s="13"/>
      <c r="J2763" s="107"/>
      <c r="K2763" s="107"/>
      <c r="L2763" s="13"/>
    </row>
    <row r="2764" ht="15.75" customHeight="1">
      <c r="A2764" s="13"/>
      <c r="B2764" s="13"/>
      <c r="C2764" s="13"/>
      <c r="D2764" s="13"/>
      <c r="E2764" s="13"/>
      <c r="F2764" s="227"/>
      <c r="G2764" s="13"/>
      <c r="H2764" s="107"/>
      <c r="I2764" s="13"/>
      <c r="J2764" s="107"/>
      <c r="K2764" s="107"/>
      <c r="L2764" s="13"/>
    </row>
    <row r="2765" ht="15.75" customHeight="1">
      <c r="A2765" s="13"/>
      <c r="B2765" s="13"/>
      <c r="C2765" s="13"/>
      <c r="D2765" s="13"/>
      <c r="E2765" s="13"/>
      <c r="F2765" s="227"/>
      <c r="G2765" s="13"/>
      <c r="H2765" s="107"/>
      <c r="I2765" s="13"/>
      <c r="J2765" s="107"/>
      <c r="K2765" s="107"/>
      <c r="L2765" s="13"/>
    </row>
    <row r="2766" ht="15.75" customHeight="1">
      <c r="A2766" s="13"/>
      <c r="B2766" s="13"/>
      <c r="C2766" s="13"/>
      <c r="D2766" s="13"/>
      <c r="E2766" s="13"/>
      <c r="F2766" s="227"/>
      <c r="G2766" s="13"/>
      <c r="H2766" s="107"/>
      <c r="I2766" s="13"/>
      <c r="J2766" s="107"/>
      <c r="K2766" s="107"/>
      <c r="L2766" s="13"/>
    </row>
    <row r="2767" ht="15.75" customHeight="1">
      <c r="A2767" s="13"/>
      <c r="B2767" s="13"/>
      <c r="C2767" s="13"/>
      <c r="D2767" s="13"/>
      <c r="E2767" s="13"/>
      <c r="F2767" s="227"/>
      <c r="G2767" s="13"/>
      <c r="H2767" s="107"/>
      <c r="I2767" s="13"/>
      <c r="J2767" s="107"/>
      <c r="K2767" s="107"/>
      <c r="L2767" s="13"/>
    </row>
    <row r="2768" ht="15.75" customHeight="1">
      <c r="A2768" s="13"/>
      <c r="B2768" s="13"/>
      <c r="C2768" s="13"/>
      <c r="D2768" s="13"/>
      <c r="E2768" s="13"/>
      <c r="F2768" s="227"/>
      <c r="G2768" s="13"/>
      <c r="H2768" s="107"/>
      <c r="I2768" s="13"/>
      <c r="J2768" s="107"/>
      <c r="K2768" s="107"/>
      <c r="L2768" s="13"/>
    </row>
    <row r="2769" ht="15.75" customHeight="1">
      <c r="A2769" s="13"/>
      <c r="B2769" s="13"/>
      <c r="C2769" s="13"/>
      <c r="D2769" s="13"/>
      <c r="E2769" s="13"/>
      <c r="F2769" s="227"/>
      <c r="G2769" s="13"/>
      <c r="H2769" s="107"/>
      <c r="I2769" s="13"/>
      <c r="J2769" s="107"/>
      <c r="K2769" s="107"/>
      <c r="L2769" s="13"/>
    </row>
    <row r="2770" ht="15.75" customHeight="1">
      <c r="A2770" s="13"/>
      <c r="B2770" s="13"/>
      <c r="C2770" s="13"/>
      <c r="D2770" s="13"/>
      <c r="E2770" s="13"/>
      <c r="F2770" s="227"/>
      <c r="G2770" s="13"/>
      <c r="H2770" s="107"/>
      <c r="I2770" s="13"/>
      <c r="J2770" s="107"/>
      <c r="K2770" s="107"/>
      <c r="L2770" s="13"/>
    </row>
    <row r="2771" ht="15.75" customHeight="1">
      <c r="A2771" s="13"/>
      <c r="B2771" s="13"/>
      <c r="C2771" s="13"/>
      <c r="D2771" s="13"/>
      <c r="E2771" s="13"/>
      <c r="F2771" s="227"/>
      <c r="G2771" s="13"/>
      <c r="H2771" s="107"/>
      <c r="I2771" s="13"/>
      <c r="J2771" s="107"/>
      <c r="K2771" s="107"/>
      <c r="L2771" s="13"/>
    </row>
    <row r="2772" ht="15.75" customHeight="1">
      <c r="A2772" s="13"/>
      <c r="B2772" s="13"/>
      <c r="C2772" s="13"/>
      <c r="D2772" s="13"/>
      <c r="E2772" s="13"/>
      <c r="F2772" s="227"/>
      <c r="G2772" s="13"/>
      <c r="H2772" s="107"/>
      <c r="I2772" s="13"/>
      <c r="J2772" s="107"/>
      <c r="K2772" s="107"/>
      <c r="L2772" s="13"/>
    </row>
    <row r="2773" ht="15.75" customHeight="1">
      <c r="A2773" s="13"/>
      <c r="B2773" s="13"/>
      <c r="C2773" s="13"/>
      <c r="D2773" s="13"/>
      <c r="E2773" s="13"/>
      <c r="F2773" s="227"/>
      <c r="G2773" s="13"/>
      <c r="H2773" s="107"/>
      <c r="I2773" s="13"/>
      <c r="J2773" s="107"/>
      <c r="K2773" s="107"/>
      <c r="L2773" s="13"/>
    </row>
    <row r="2774" ht="15.75" customHeight="1">
      <c r="A2774" s="13"/>
      <c r="B2774" s="13"/>
      <c r="C2774" s="13"/>
      <c r="D2774" s="13"/>
      <c r="E2774" s="13"/>
      <c r="F2774" s="227"/>
      <c r="G2774" s="13"/>
      <c r="H2774" s="107"/>
      <c r="I2774" s="13"/>
      <c r="J2774" s="107"/>
      <c r="K2774" s="107"/>
      <c r="L2774" s="13"/>
    </row>
    <row r="2775" ht="15.75" customHeight="1">
      <c r="A2775" s="13"/>
      <c r="B2775" s="13"/>
      <c r="C2775" s="13"/>
      <c r="D2775" s="13"/>
      <c r="E2775" s="13"/>
      <c r="F2775" s="227"/>
      <c r="G2775" s="13"/>
      <c r="H2775" s="107"/>
      <c r="I2775" s="13"/>
      <c r="J2775" s="107"/>
      <c r="K2775" s="107"/>
      <c r="L2775" s="13"/>
    </row>
    <row r="2776" ht="15.75" customHeight="1">
      <c r="A2776" s="13"/>
      <c r="B2776" s="13"/>
      <c r="C2776" s="13"/>
      <c r="D2776" s="13"/>
      <c r="E2776" s="13"/>
      <c r="F2776" s="227"/>
      <c r="G2776" s="13"/>
      <c r="H2776" s="107"/>
      <c r="I2776" s="13"/>
      <c r="J2776" s="107"/>
      <c r="K2776" s="107"/>
      <c r="L2776" s="13"/>
    </row>
    <row r="2777" ht="15.75" customHeight="1">
      <c r="A2777" s="13"/>
      <c r="B2777" s="13"/>
      <c r="C2777" s="13"/>
      <c r="D2777" s="13"/>
      <c r="E2777" s="13"/>
      <c r="F2777" s="227"/>
      <c r="G2777" s="13"/>
      <c r="H2777" s="107"/>
      <c r="I2777" s="13"/>
      <c r="J2777" s="107"/>
      <c r="K2777" s="107"/>
      <c r="L2777" s="13"/>
    </row>
    <row r="2778" ht="15.75" customHeight="1">
      <c r="A2778" s="13"/>
      <c r="B2778" s="13"/>
      <c r="C2778" s="13"/>
      <c r="D2778" s="13"/>
      <c r="E2778" s="13"/>
      <c r="F2778" s="227"/>
      <c r="G2778" s="13"/>
      <c r="H2778" s="107"/>
      <c r="I2778" s="13"/>
      <c r="J2778" s="107"/>
      <c r="K2778" s="107"/>
      <c r="L2778" s="13"/>
    </row>
    <row r="2779" ht="15.75" customHeight="1">
      <c r="A2779" s="13"/>
      <c r="B2779" s="13"/>
      <c r="C2779" s="13"/>
      <c r="D2779" s="13"/>
      <c r="E2779" s="13"/>
      <c r="F2779" s="227"/>
      <c r="G2779" s="13"/>
      <c r="H2779" s="107"/>
      <c r="I2779" s="13"/>
      <c r="J2779" s="107"/>
      <c r="K2779" s="107"/>
      <c r="L2779" s="13"/>
    </row>
    <row r="2780" ht="15.75" customHeight="1">
      <c r="A2780" s="13"/>
      <c r="B2780" s="13"/>
      <c r="C2780" s="13"/>
      <c r="D2780" s="13"/>
      <c r="E2780" s="13"/>
      <c r="F2780" s="227"/>
      <c r="G2780" s="13"/>
      <c r="H2780" s="107"/>
      <c r="I2780" s="13"/>
      <c r="J2780" s="107"/>
      <c r="K2780" s="107"/>
      <c r="L2780" s="13"/>
    </row>
    <row r="2781" ht="15.75" customHeight="1">
      <c r="A2781" s="13"/>
      <c r="B2781" s="13"/>
      <c r="C2781" s="13"/>
      <c r="D2781" s="13"/>
      <c r="E2781" s="13"/>
      <c r="F2781" s="227"/>
      <c r="G2781" s="13"/>
      <c r="H2781" s="107"/>
      <c r="I2781" s="13"/>
      <c r="J2781" s="107"/>
      <c r="K2781" s="107"/>
      <c r="L2781" s="13"/>
    </row>
    <row r="2782" ht="15.75" customHeight="1">
      <c r="A2782" s="13"/>
      <c r="B2782" s="13"/>
      <c r="C2782" s="13"/>
      <c r="D2782" s="13"/>
      <c r="E2782" s="13"/>
      <c r="F2782" s="227"/>
      <c r="G2782" s="13"/>
      <c r="H2782" s="107"/>
      <c r="I2782" s="13"/>
      <c r="J2782" s="107"/>
      <c r="K2782" s="107"/>
      <c r="L2782" s="13"/>
    </row>
    <row r="2783" ht="15.75" customHeight="1">
      <c r="A2783" s="13"/>
      <c r="B2783" s="13"/>
      <c r="C2783" s="13"/>
      <c r="D2783" s="13"/>
      <c r="E2783" s="13"/>
      <c r="F2783" s="227"/>
      <c r="G2783" s="13"/>
      <c r="H2783" s="107"/>
      <c r="I2783" s="13"/>
      <c r="J2783" s="107"/>
      <c r="K2783" s="107"/>
      <c r="L2783" s="13"/>
    </row>
    <row r="2784" ht="15.75" customHeight="1">
      <c r="A2784" s="13"/>
      <c r="B2784" s="13"/>
      <c r="C2784" s="13"/>
      <c r="D2784" s="13"/>
      <c r="E2784" s="13"/>
      <c r="F2784" s="227"/>
      <c r="G2784" s="13"/>
      <c r="H2784" s="107"/>
      <c r="I2784" s="13"/>
      <c r="J2784" s="107"/>
      <c r="K2784" s="107"/>
      <c r="L2784" s="13"/>
    </row>
    <row r="2785" ht="15.75" customHeight="1">
      <c r="A2785" s="13"/>
      <c r="B2785" s="13"/>
      <c r="C2785" s="13"/>
      <c r="D2785" s="13"/>
      <c r="E2785" s="13"/>
      <c r="F2785" s="227"/>
      <c r="G2785" s="13"/>
      <c r="H2785" s="107"/>
      <c r="I2785" s="13"/>
      <c r="J2785" s="107"/>
      <c r="K2785" s="107"/>
      <c r="L2785" s="13"/>
    </row>
    <row r="2786" ht="15.75" customHeight="1">
      <c r="A2786" s="13"/>
      <c r="B2786" s="13"/>
      <c r="C2786" s="13"/>
      <c r="D2786" s="13"/>
      <c r="E2786" s="13"/>
      <c r="F2786" s="227"/>
      <c r="G2786" s="13"/>
      <c r="H2786" s="107"/>
      <c r="I2786" s="13"/>
      <c r="J2786" s="107"/>
      <c r="K2786" s="107"/>
      <c r="L2786" s="13"/>
    </row>
    <row r="2787" ht="15.75" customHeight="1">
      <c r="A2787" s="13"/>
      <c r="B2787" s="13"/>
      <c r="C2787" s="13"/>
      <c r="D2787" s="13"/>
      <c r="E2787" s="13"/>
      <c r="F2787" s="227"/>
      <c r="G2787" s="13"/>
      <c r="H2787" s="107"/>
      <c r="I2787" s="13"/>
      <c r="J2787" s="107"/>
      <c r="K2787" s="107"/>
      <c r="L2787" s="13"/>
    </row>
    <row r="2788" ht="15.75" customHeight="1">
      <c r="A2788" s="13"/>
      <c r="B2788" s="13"/>
      <c r="C2788" s="13"/>
      <c r="D2788" s="13"/>
      <c r="E2788" s="13"/>
      <c r="F2788" s="227"/>
      <c r="G2788" s="13"/>
      <c r="H2788" s="107"/>
      <c r="I2788" s="13"/>
      <c r="J2788" s="107"/>
      <c r="K2788" s="107"/>
      <c r="L2788" s="13"/>
    </row>
    <row r="2789" ht="15.75" customHeight="1">
      <c r="A2789" s="13"/>
      <c r="B2789" s="13"/>
      <c r="C2789" s="13"/>
      <c r="D2789" s="13"/>
      <c r="E2789" s="13"/>
      <c r="F2789" s="227"/>
      <c r="G2789" s="13"/>
      <c r="H2789" s="107"/>
      <c r="I2789" s="13"/>
      <c r="J2789" s="107"/>
      <c r="K2789" s="107"/>
      <c r="L2789" s="13"/>
    </row>
    <row r="2790" ht="15.75" customHeight="1">
      <c r="A2790" s="13"/>
      <c r="B2790" s="13"/>
      <c r="C2790" s="13"/>
      <c r="D2790" s="13"/>
      <c r="E2790" s="13"/>
      <c r="F2790" s="227"/>
      <c r="G2790" s="13"/>
      <c r="H2790" s="107"/>
      <c r="I2790" s="13"/>
      <c r="J2790" s="107"/>
      <c r="K2790" s="107"/>
      <c r="L2790" s="13"/>
    </row>
    <row r="2791" ht="15.75" customHeight="1">
      <c r="A2791" s="13"/>
      <c r="B2791" s="13"/>
      <c r="C2791" s="13"/>
      <c r="D2791" s="13"/>
      <c r="E2791" s="13"/>
      <c r="F2791" s="227"/>
      <c r="G2791" s="13"/>
      <c r="H2791" s="107"/>
      <c r="I2791" s="13"/>
      <c r="J2791" s="107"/>
      <c r="K2791" s="107"/>
      <c r="L2791" s="13"/>
    </row>
    <row r="2792" ht="15.75" customHeight="1">
      <c r="A2792" s="13"/>
      <c r="B2792" s="13"/>
      <c r="C2792" s="13"/>
      <c r="D2792" s="13"/>
      <c r="E2792" s="13"/>
      <c r="F2792" s="227"/>
      <c r="G2792" s="13"/>
      <c r="H2792" s="107"/>
      <c r="I2792" s="13"/>
      <c r="J2792" s="107"/>
      <c r="K2792" s="107"/>
      <c r="L2792" s="13"/>
    </row>
    <row r="2793" ht="15.75" customHeight="1">
      <c r="A2793" s="13"/>
      <c r="B2793" s="13"/>
      <c r="C2793" s="13"/>
      <c r="D2793" s="13"/>
      <c r="E2793" s="13"/>
      <c r="F2793" s="227"/>
      <c r="G2793" s="13"/>
      <c r="H2793" s="107"/>
      <c r="I2793" s="13"/>
      <c r="J2793" s="107"/>
      <c r="K2793" s="107"/>
      <c r="L2793" s="13"/>
    </row>
    <row r="2794" ht="15.75" customHeight="1">
      <c r="A2794" s="13"/>
      <c r="B2794" s="13"/>
      <c r="C2794" s="13"/>
      <c r="D2794" s="13"/>
      <c r="E2794" s="13"/>
      <c r="F2794" s="227"/>
      <c r="G2794" s="13"/>
      <c r="H2794" s="107"/>
      <c r="I2794" s="13"/>
      <c r="J2794" s="107"/>
      <c r="K2794" s="107"/>
      <c r="L2794" s="13"/>
    </row>
    <row r="2795" ht="15.75" customHeight="1">
      <c r="A2795" s="13"/>
      <c r="B2795" s="13"/>
      <c r="C2795" s="13"/>
      <c r="D2795" s="13"/>
      <c r="E2795" s="13"/>
      <c r="F2795" s="227"/>
      <c r="G2795" s="13"/>
      <c r="H2795" s="107"/>
      <c r="I2795" s="13"/>
      <c r="J2795" s="107"/>
      <c r="K2795" s="107"/>
      <c r="L2795" s="13"/>
    </row>
    <row r="2796" ht="15.75" customHeight="1">
      <c r="A2796" s="13"/>
      <c r="B2796" s="13"/>
      <c r="C2796" s="13"/>
      <c r="D2796" s="13"/>
      <c r="E2796" s="13"/>
      <c r="F2796" s="227"/>
      <c r="G2796" s="13"/>
      <c r="H2796" s="107"/>
      <c r="I2796" s="13"/>
      <c r="J2796" s="107"/>
      <c r="K2796" s="107"/>
      <c r="L2796" s="13"/>
    </row>
    <row r="2797" ht="15.75" customHeight="1">
      <c r="A2797" s="13"/>
      <c r="B2797" s="13"/>
      <c r="C2797" s="13"/>
      <c r="D2797" s="13"/>
      <c r="E2797" s="13"/>
      <c r="F2797" s="227"/>
      <c r="G2797" s="13"/>
      <c r="H2797" s="107"/>
      <c r="I2797" s="13"/>
      <c r="J2797" s="107"/>
      <c r="K2797" s="107"/>
      <c r="L2797" s="13"/>
    </row>
    <row r="2798" ht="15.75" customHeight="1">
      <c r="A2798" s="13"/>
      <c r="B2798" s="13"/>
      <c r="C2798" s="13"/>
      <c r="D2798" s="13"/>
      <c r="E2798" s="13"/>
      <c r="F2798" s="227"/>
      <c r="G2798" s="13"/>
      <c r="H2798" s="107"/>
      <c r="I2798" s="13"/>
      <c r="J2798" s="107"/>
      <c r="K2798" s="107"/>
      <c r="L2798" s="13"/>
    </row>
    <row r="2799" ht="15.75" customHeight="1">
      <c r="A2799" s="13"/>
      <c r="B2799" s="13"/>
      <c r="C2799" s="13"/>
      <c r="D2799" s="13"/>
      <c r="E2799" s="13"/>
      <c r="F2799" s="227"/>
      <c r="G2799" s="13"/>
      <c r="H2799" s="107"/>
      <c r="I2799" s="13"/>
      <c r="J2799" s="107"/>
      <c r="K2799" s="107"/>
      <c r="L2799" s="13"/>
    </row>
    <row r="2800" ht="15.75" customHeight="1">
      <c r="A2800" s="13"/>
      <c r="B2800" s="13"/>
      <c r="C2800" s="13"/>
      <c r="D2800" s="13"/>
      <c r="E2800" s="13"/>
      <c r="F2800" s="227"/>
      <c r="G2800" s="13"/>
      <c r="H2800" s="107"/>
      <c r="I2800" s="13"/>
      <c r="J2800" s="107"/>
      <c r="K2800" s="107"/>
      <c r="L2800" s="13"/>
    </row>
    <row r="2801" ht="15.75" customHeight="1">
      <c r="A2801" s="13"/>
      <c r="B2801" s="13"/>
      <c r="C2801" s="13"/>
      <c r="D2801" s="13"/>
      <c r="E2801" s="13"/>
      <c r="F2801" s="227"/>
      <c r="G2801" s="13"/>
      <c r="H2801" s="107"/>
      <c r="I2801" s="13"/>
      <c r="J2801" s="107"/>
      <c r="K2801" s="107"/>
      <c r="L2801" s="13"/>
    </row>
    <row r="2802" ht="15.75" customHeight="1">
      <c r="A2802" s="13"/>
      <c r="B2802" s="13"/>
      <c r="C2802" s="13"/>
      <c r="D2802" s="13"/>
      <c r="E2802" s="13"/>
      <c r="F2802" s="227"/>
      <c r="G2802" s="13"/>
      <c r="H2802" s="107"/>
      <c r="I2802" s="13"/>
      <c r="J2802" s="107"/>
      <c r="K2802" s="107"/>
      <c r="L2802" s="13"/>
    </row>
    <row r="2803" ht="15.75" customHeight="1">
      <c r="A2803" s="13"/>
      <c r="B2803" s="13"/>
      <c r="C2803" s="13"/>
      <c r="D2803" s="13"/>
      <c r="E2803" s="13"/>
      <c r="F2803" s="227"/>
      <c r="G2803" s="13"/>
      <c r="H2803" s="107"/>
      <c r="I2803" s="13"/>
      <c r="J2803" s="107"/>
      <c r="K2803" s="107"/>
      <c r="L2803" s="13"/>
    </row>
    <row r="2804" ht="15.75" customHeight="1">
      <c r="A2804" s="13"/>
      <c r="B2804" s="13"/>
      <c r="C2804" s="13"/>
      <c r="D2804" s="13"/>
      <c r="E2804" s="13"/>
      <c r="F2804" s="227"/>
      <c r="G2804" s="13"/>
      <c r="H2804" s="107"/>
      <c r="I2804" s="13"/>
      <c r="J2804" s="107"/>
      <c r="K2804" s="107"/>
      <c r="L2804" s="13"/>
    </row>
    <row r="2805" ht="15.75" customHeight="1">
      <c r="A2805" s="13"/>
      <c r="B2805" s="13"/>
      <c r="C2805" s="13"/>
      <c r="D2805" s="13"/>
      <c r="E2805" s="13"/>
      <c r="F2805" s="227"/>
      <c r="G2805" s="13"/>
      <c r="H2805" s="107"/>
      <c r="I2805" s="13"/>
      <c r="J2805" s="107"/>
      <c r="K2805" s="107"/>
      <c r="L2805" s="13"/>
    </row>
    <row r="2806" ht="15.75" customHeight="1">
      <c r="A2806" s="13"/>
      <c r="B2806" s="13"/>
      <c r="C2806" s="13"/>
      <c r="D2806" s="13"/>
      <c r="E2806" s="13"/>
      <c r="F2806" s="227"/>
      <c r="G2806" s="13"/>
      <c r="H2806" s="107"/>
      <c r="I2806" s="13"/>
      <c r="J2806" s="107"/>
      <c r="K2806" s="107"/>
      <c r="L2806" s="13"/>
    </row>
    <row r="2807" ht="15.75" customHeight="1">
      <c r="A2807" s="13"/>
      <c r="B2807" s="13"/>
      <c r="C2807" s="13"/>
      <c r="D2807" s="13"/>
      <c r="E2807" s="13"/>
      <c r="F2807" s="227"/>
      <c r="G2807" s="13"/>
      <c r="H2807" s="107"/>
      <c r="I2807" s="13"/>
      <c r="J2807" s="107"/>
      <c r="K2807" s="107"/>
      <c r="L2807" s="13"/>
    </row>
    <row r="2808" ht="15.75" customHeight="1">
      <c r="A2808" s="13"/>
      <c r="B2808" s="13"/>
      <c r="C2808" s="13"/>
      <c r="D2808" s="13"/>
      <c r="E2808" s="13"/>
      <c r="F2808" s="227"/>
      <c r="G2808" s="13"/>
      <c r="H2808" s="107"/>
      <c r="I2808" s="13"/>
      <c r="J2808" s="107"/>
      <c r="K2808" s="107"/>
      <c r="L2808" s="13"/>
    </row>
    <row r="2809" ht="15.75" customHeight="1">
      <c r="A2809" s="13"/>
      <c r="B2809" s="13"/>
      <c r="C2809" s="13"/>
      <c r="D2809" s="13"/>
      <c r="E2809" s="13"/>
      <c r="F2809" s="227"/>
      <c r="G2809" s="13"/>
      <c r="H2809" s="107"/>
      <c r="I2809" s="13"/>
      <c r="J2809" s="107"/>
      <c r="K2809" s="107"/>
      <c r="L2809" s="13"/>
    </row>
    <row r="2810" ht="15.75" customHeight="1">
      <c r="A2810" s="13"/>
      <c r="B2810" s="13"/>
      <c r="C2810" s="13"/>
      <c r="D2810" s="13"/>
      <c r="E2810" s="13"/>
      <c r="F2810" s="227"/>
      <c r="G2810" s="13"/>
      <c r="H2810" s="107"/>
      <c r="I2810" s="13"/>
      <c r="J2810" s="107"/>
      <c r="K2810" s="107"/>
      <c r="L2810" s="13"/>
    </row>
    <row r="2811" ht="15.75" customHeight="1">
      <c r="A2811" s="13"/>
      <c r="B2811" s="13"/>
      <c r="C2811" s="13"/>
      <c r="D2811" s="13"/>
      <c r="E2811" s="13"/>
      <c r="F2811" s="227"/>
      <c r="G2811" s="13"/>
      <c r="H2811" s="107"/>
      <c r="I2811" s="13"/>
      <c r="J2811" s="107"/>
      <c r="K2811" s="107"/>
      <c r="L2811" s="13"/>
    </row>
    <row r="2812" ht="15.75" customHeight="1">
      <c r="A2812" s="13"/>
      <c r="B2812" s="13"/>
      <c r="C2812" s="13"/>
      <c r="D2812" s="13"/>
      <c r="E2812" s="13"/>
      <c r="F2812" s="227"/>
      <c r="G2812" s="13"/>
      <c r="H2812" s="107"/>
      <c r="I2812" s="13"/>
      <c r="J2812" s="107"/>
      <c r="K2812" s="107"/>
      <c r="L2812" s="13"/>
    </row>
    <row r="2813" ht="15.75" customHeight="1">
      <c r="A2813" s="13"/>
      <c r="B2813" s="13"/>
      <c r="C2813" s="13"/>
      <c r="D2813" s="13"/>
      <c r="E2813" s="13"/>
      <c r="F2813" s="227"/>
      <c r="G2813" s="13"/>
      <c r="H2813" s="107"/>
      <c r="I2813" s="13"/>
      <c r="J2813" s="107"/>
      <c r="K2813" s="107"/>
      <c r="L2813" s="13"/>
    </row>
    <row r="2814" ht="15.75" customHeight="1">
      <c r="A2814" s="13"/>
      <c r="B2814" s="13"/>
      <c r="C2814" s="13"/>
      <c r="D2814" s="13"/>
      <c r="E2814" s="13"/>
      <c r="F2814" s="227"/>
      <c r="G2814" s="13"/>
      <c r="H2814" s="107"/>
      <c r="I2814" s="13"/>
      <c r="J2814" s="107"/>
      <c r="K2814" s="107"/>
      <c r="L2814" s="13"/>
    </row>
    <row r="2815" ht="15.75" customHeight="1">
      <c r="A2815" s="13"/>
      <c r="B2815" s="13"/>
      <c r="C2815" s="13"/>
      <c r="D2815" s="13"/>
      <c r="E2815" s="13"/>
      <c r="F2815" s="227"/>
      <c r="G2815" s="13"/>
      <c r="H2815" s="107"/>
      <c r="I2815" s="13"/>
      <c r="J2815" s="107"/>
      <c r="K2815" s="107"/>
      <c r="L2815" s="13"/>
    </row>
    <row r="2816" ht="15.75" customHeight="1">
      <c r="A2816" s="13"/>
      <c r="B2816" s="13"/>
      <c r="C2816" s="13"/>
      <c r="D2816" s="13"/>
      <c r="E2816" s="13"/>
      <c r="F2816" s="227"/>
      <c r="G2816" s="13"/>
      <c r="H2816" s="107"/>
      <c r="I2816" s="13"/>
      <c r="J2816" s="107"/>
      <c r="K2816" s="107"/>
      <c r="L2816" s="13"/>
    </row>
    <row r="2817" ht="15.75" customHeight="1">
      <c r="A2817" s="13"/>
      <c r="B2817" s="13"/>
      <c r="C2817" s="13"/>
      <c r="D2817" s="13"/>
      <c r="E2817" s="13"/>
      <c r="F2817" s="227"/>
      <c r="G2817" s="13"/>
      <c r="H2817" s="107"/>
      <c r="I2817" s="13"/>
      <c r="J2817" s="107"/>
      <c r="K2817" s="107"/>
      <c r="L2817" s="13"/>
    </row>
    <row r="2818" ht="15.75" customHeight="1">
      <c r="A2818" s="13"/>
      <c r="B2818" s="13"/>
      <c r="C2818" s="13"/>
      <c r="D2818" s="13"/>
      <c r="E2818" s="13"/>
      <c r="F2818" s="227"/>
      <c r="G2818" s="13"/>
      <c r="H2818" s="107"/>
      <c r="I2818" s="13"/>
      <c r="J2818" s="107"/>
      <c r="K2818" s="107"/>
      <c r="L2818" s="13"/>
    </row>
    <row r="2819" ht="15.75" customHeight="1">
      <c r="A2819" s="13"/>
      <c r="B2819" s="13"/>
      <c r="C2819" s="13"/>
      <c r="D2819" s="13"/>
      <c r="E2819" s="13"/>
      <c r="F2819" s="227"/>
      <c r="G2819" s="13"/>
      <c r="H2819" s="107"/>
      <c r="I2819" s="13"/>
      <c r="J2819" s="107"/>
      <c r="K2819" s="107"/>
      <c r="L2819" s="13"/>
    </row>
    <row r="2820" ht="15.75" customHeight="1">
      <c r="A2820" s="13"/>
      <c r="B2820" s="13"/>
      <c r="C2820" s="13"/>
      <c r="D2820" s="13"/>
      <c r="E2820" s="13"/>
      <c r="F2820" s="227"/>
      <c r="G2820" s="13"/>
      <c r="H2820" s="107"/>
      <c r="I2820" s="13"/>
      <c r="J2820" s="107"/>
      <c r="K2820" s="107"/>
      <c r="L2820" s="13"/>
    </row>
    <row r="2821" ht="15.75" customHeight="1">
      <c r="A2821" s="13"/>
      <c r="B2821" s="13"/>
      <c r="C2821" s="13"/>
      <c r="D2821" s="13"/>
      <c r="E2821" s="13"/>
      <c r="F2821" s="227"/>
      <c r="G2821" s="13"/>
      <c r="H2821" s="107"/>
      <c r="I2821" s="13"/>
      <c r="J2821" s="107"/>
      <c r="K2821" s="107"/>
      <c r="L2821" s="13"/>
    </row>
    <row r="2822" ht="15.75" customHeight="1">
      <c r="A2822" s="13"/>
      <c r="B2822" s="13"/>
      <c r="C2822" s="13"/>
      <c r="D2822" s="13"/>
      <c r="E2822" s="13"/>
      <c r="F2822" s="227"/>
      <c r="G2822" s="13"/>
      <c r="H2822" s="107"/>
      <c r="I2822" s="13"/>
      <c r="J2822" s="107"/>
      <c r="K2822" s="107"/>
      <c r="L2822" s="13"/>
    </row>
    <row r="2823" ht="15.75" customHeight="1">
      <c r="A2823" s="13"/>
      <c r="B2823" s="13"/>
      <c r="C2823" s="13"/>
      <c r="D2823" s="13"/>
      <c r="E2823" s="13"/>
      <c r="F2823" s="227"/>
      <c r="G2823" s="13"/>
      <c r="H2823" s="107"/>
      <c r="I2823" s="13"/>
      <c r="J2823" s="107"/>
      <c r="K2823" s="107"/>
      <c r="L2823" s="13"/>
    </row>
    <row r="2824" ht="15.75" customHeight="1">
      <c r="A2824" s="13"/>
      <c r="B2824" s="13"/>
      <c r="C2824" s="13"/>
      <c r="D2824" s="13"/>
      <c r="E2824" s="13"/>
      <c r="F2824" s="227"/>
      <c r="G2824" s="13"/>
      <c r="H2824" s="107"/>
      <c r="I2824" s="13"/>
      <c r="J2824" s="107"/>
      <c r="K2824" s="107"/>
      <c r="L2824" s="13"/>
    </row>
    <row r="2825" ht="15.75" customHeight="1">
      <c r="A2825" s="13"/>
      <c r="B2825" s="13"/>
      <c r="C2825" s="13"/>
      <c r="D2825" s="13"/>
      <c r="E2825" s="13"/>
      <c r="F2825" s="227"/>
      <c r="G2825" s="13"/>
      <c r="H2825" s="107"/>
      <c r="I2825" s="13"/>
      <c r="J2825" s="107"/>
      <c r="K2825" s="107"/>
      <c r="L2825" s="13"/>
    </row>
    <row r="2826" ht="15.75" customHeight="1">
      <c r="A2826" s="13"/>
      <c r="B2826" s="13"/>
      <c r="C2826" s="13"/>
      <c r="D2826" s="13"/>
      <c r="E2826" s="13"/>
      <c r="F2826" s="227"/>
      <c r="G2826" s="13"/>
      <c r="H2826" s="107"/>
      <c r="I2826" s="13"/>
      <c r="J2826" s="107"/>
      <c r="K2826" s="107"/>
      <c r="L2826" s="13"/>
    </row>
    <row r="2827" ht="15.75" customHeight="1">
      <c r="A2827" s="13"/>
      <c r="B2827" s="13"/>
      <c r="C2827" s="13"/>
      <c r="D2827" s="13"/>
      <c r="E2827" s="13"/>
      <c r="F2827" s="227"/>
      <c r="G2827" s="13"/>
      <c r="H2827" s="107"/>
      <c r="I2827" s="13"/>
      <c r="J2827" s="107"/>
      <c r="K2827" s="107"/>
      <c r="L2827" s="13"/>
    </row>
    <row r="2828" ht="15.75" customHeight="1">
      <c r="A2828" s="13"/>
      <c r="B2828" s="13"/>
      <c r="C2828" s="13"/>
      <c r="D2828" s="13"/>
      <c r="E2828" s="13"/>
      <c r="F2828" s="227"/>
      <c r="G2828" s="13"/>
      <c r="H2828" s="107"/>
      <c r="I2828" s="13"/>
      <c r="J2828" s="107"/>
      <c r="K2828" s="107"/>
      <c r="L2828" s="13"/>
    </row>
    <row r="2829" ht="15.75" customHeight="1">
      <c r="A2829" s="13"/>
      <c r="B2829" s="13"/>
      <c r="C2829" s="13"/>
      <c r="D2829" s="13"/>
      <c r="E2829" s="13"/>
      <c r="F2829" s="227"/>
      <c r="G2829" s="13"/>
      <c r="H2829" s="107"/>
      <c r="I2829" s="13"/>
      <c r="J2829" s="107"/>
      <c r="K2829" s="107"/>
      <c r="L2829" s="13"/>
    </row>
    <row r="2830" ht="15.75" customHeight="1">
      <c r="A2830" s="13"/>
      <c r="B2830" s="13"/>
      <c r="C2830" s="13"/>
      <c r="D2830" s="13"/>
      <c r="E2830" s="13"/>
      <c r="F2830" s="227"/>
      <c r="G2830" s="13"/>
      <c r="H2830" s="107"/>
      <c r="I2830" s="13"/>
      <c r="J2830" s="107"/>
      <c r="K2830" s="107"/>
      <c r="L2830" s="13"/>
    </row>
    <row r="2831" ht="15.75" customHeight="1">
      <c r="A2831" s="13"/>
      <c r="B2831" s="13"/>
      <c r="C2831" s="13"/>
      <c r="D2831" s="13"/>
      <c r="E2831" s="13"/>
      <c r="F2831" s="227"/>
      <c r="G2831" s="13"/>
      <c r="H2831" s="107"/>
      <c r="I2831" s="13"/>
      <c r="J2831" s="107"/>
      <c r="K2831" s="107"/>
      <c r="L2831" s="13"/>
    </row>
    <row r="2832" ht="15.75" customHeight="1">
      <c r="A2832" s="13"/>
      <c r="B2832" s="13"/>
      <c r="C2832" s="13"/>
      <c r="D2832" s="13"/>
      <c r="E2832" s="13"/>
      <c r="F2832" s="227"/>
      <c r="G2832" s="13"/>
      <c r="H2832" s="107"/>
      <c r="I2832" s="13"/>
      <c r="J2832" s="107"/>
      <c r="K2832" s="107"/>
      <c r="L2832" s="13"/>
    </row>
    <row r="2833" ht="15.75" customHeight="1">
      <c r="A2833" s="13"/>
      <c r="B2833" s="13"/>
      <c r="C2833" s="13"/>
      <c r="D2833" s="13"/>
      <c r="E2833" s="13"/>
      <c r="F2833" s="227"/>
      <c r="G2833" s="13"/>
      <c r="H2833" s="107"/>
      <c r="I2833" s="13"/>
      <c r="J2833" s="107"/>
      <c r="K2833" s="107"/>
      <c r="L2833" s="13"/>
    </row>
    <row r="2834" ht="15.75" customHeight="1">
      <c r="A2834" s="13"/>
      <c r="B2834" s="13"/>
      <c r="C2834" s="13"/>
      <c r="D2834" s="13"/>
      <c r="E2834" s="13"/>
      <c r="F2834" s="227"/>
      <c r="G2834" s="13"/>
      <c r="H2834" s="107"/>
      <c r="I2834" s="13"/>
      <c r="J2834" s="107"/>
      <c r="K2834" s="107"/>
      <c r="L2834" s="13"/>
    </row>
    <row r="2835" ht="15.75" customHeight="1">
      <c r="A2835" s="13"/>
      <c r="B2835" s="13"/>
      <c r="C2835" s="13"/>
      <c r="D2835" s="13"/>
      <c r="E2835" s="13"/>
      <c r="F2835" s="227"/>
      <c r="G2835" s="13"/>
      <c r="H2835" s="107"/>
      <c r="I2835" s="13"/>
      <c r="J2835" s="107"/>
      <c r="K2835" s="107"/>
      <c r="L2835" s="13"/>
    </row>
    <row r="2836" ht="15.75" customHeight="1">
      <c r="A2836" s="13"/>
      <c r="B2836" s="13"/>
      <c r="C2836" s="13"/>
      <c r="D2836" s="13"/>
      <c r="E2836" s="13"/>
      <c r="F2836" s="227"/>
      <c r="G2836" s="13"/>
      <c r="H2836" s="107"/>
      <c r="I2836" s="13"/>
      <c r="J2836" s="107"/>
      <c r="K2836" s="107"/>
      <c r="L2836" s="13"/>
    </row>
    <row r="2837" ht="15.75" customHeight="1">
      <c r="A2837" s="13"/>
      <c r="B2837" s="13"/>
      <c r="C2837" s="13"/>
      <c r="D2837" s="13"/>
      <c r="E2837" s="13"/>
      <c r="F2837" s="227"/>
      <c r="G2837" s="13"/>
      <c r="H2837" s="107"/>
      <c r="I2837" s="13"/>
      <c r="J2837" s="107"/>
      <c r="K2837" s="107"/>
      <c r="L2837" s="13"/>
    </row>
    <row r="2838" ht="15.75" customHeight="1">
      <c r="A2838" s="13"/>
      <c r="B2838" s="13"/>
      <c r="C2838" s="13"/>
      <c r="D2838" s="13"/>
      <c r="E2838" s="13"/>
      <c r="F2838" s="227"/>
      <c r="G2838" s="13"/>
      <c r="H2838" s="107"/>
      <c r="I2838" s="13"/>
      <c r="J2838" s="107"/>
      <c r="K2838" s="107"/>
      <c r="L2838" s="13"/>
    </row>
    <row r="2839" ht="15.75" customHeight="1">
      <c r="A2839" s="13"/>
      <c r="B2839" s="13"/>
      <c r="C2839" s="13"/>
      <c r="D2839" s="13"/>
      <c r="E2839" s="13"/>
      <c r="F2839" s="227"/>
      <c r="G2839" s="13"/>
      <c r="H2839" s="107"/>
      <c r="I2839" s="13"/>
      <c r="J2839" s="107"/>
      <c r="K2839" s="107"/>
      <c r="L2839" s="13"/>
    </row>
    <row r="2840" ht="15.75" customHeight="1">
      <c r="A2840" s="13"/>
      <c r="B2840" s="13"/>
      <c r="C2840" s="13"/>
      <c r="D2840" s="13"/>
      <c r="E2840" s="13"/>
      <c r="F2840" s="227"/>
      <c r="G2840" s="13"/>
      <c r="H2840" s="107"/>
      <c r="I2840" s="13"/>
      <c r="J2840" s="107"/>
      <c r="K2840" s="107"/>
      <c r="L2840" s="13"/>
    </row>
    <row r="2841" ht="15.75" customHeight="1">
      <c r="A2841" s="13"/>
      <c r="B2841" s="13"/>
      <c r="C2841" s="13"/>
      <c r="D2841" s="13"/>
      <c r="E2841" s="13"/>
      <c r="F2841" s="227"/>
      <c r="G2841" s="13"/>
      <c r="H2841" s="107"/>
      <c r="I2841" s="13"/>
      <c r="J2841" s="107"/>
      <c r="K2841" s="107"/>
      <c r="L2841" s="13"/>
    </row>
    <row r="2842" ht="15.75" customHeight="1">
      <c r="A2842" s="13"/>
      <c r="B2842" s="13"/>
      <c r="C2842" s="13"/>
      <c r="D2842" s="13"/>
      <c r="E2842" s="13"/>
      <c r="F2842" s="227"/>
      <c r="G2842" s="13"/>
      <c r="H2842" s="107"/>
      <c r="I2842" s="13"/>
      <c r="J2842" s="107"/>
      <c r="K2842" s="107"/>
      <c r="L2842" s="13"/>
    </row>
    <row r="2843" ht="15.75" customHeight="1">
      <c r="A2843" s="13"/>
      <c r="B2843" s="13"/>
      <c r="C2843" s="13"/>
      <c r="D2843" s="13"/>
      <c r="E2843" s="13"/>
      <c r="F2843" s="227"/>
      <c r="G2843" s="13"/>
      <c r="H2843" s="107"/>
      <c r="I2843" s="13"/>
      <c r="J2843" s="107"/>
      <c r="K2843" s="107"/>
      <c r="L2843" s="13"/>
    </row>
    <row r="2844" ht="15.75" customHeight="1">
      <c r="A2844" s="13"/>
      <c r="B2844" s="13"/>
      <c r="C2844" s="13"/>
      <c r="D2844" s="13"/>
      <c r="E2844" s="13"/>
      <c r="F2844" s="227"/>
      <c r="G2844" s="13"/>
      <c r="H2844" s="107"/>
      <c r="I2844" s="13"/>
      <c r="J2844" s="107"/>
      <c r="K2844" s="107"/>
      <c r="L2844" s="13"/>
    </row>
    <row r="2845" ht="15.75" customHeight="1">
      <c r="A2845" s="13"/>
      <c r="B2845" s="13"/>
      <c r="C2845" s="13"/>
      <c r="D2845" s="13"/>
      <c r="E2845" s="13"/>
      <c r="F2845" s="227"/>
      <c r="G2845" s="13"/>
      <c r="H2845" s="107"/>
      <c r="I2845" s="13"/>
      <c r="J2845" s="107"/>
      <c r="K2845" s="107"/>
      <c r="L2845" s="13"/>
    </row>
    <row r="2846" ht="15.75" customHeight="1">
      <c r="A2846" s="13"/>
      <c r="B2846" s="13"/>
      <c r="C2846" s="13"/>
      <c r="D2846" s="13"/>
      <c r="E2846" s="13"/>
      <c r="F2846" s="227"/>
      <c r="G2846" s="13"/>
      <c r="H2846" s="107"/>
      <c r="I2846" s="13"/>
      <c r="J2846" s="107"/>
      <c r="K2846" s="107"/>
      <c r="L2846" s="13"/>
    </row>
    <row r="2847" ht="15.75" customHeight="1">
      <c r="A2847" s="13"/>
      <c r="B2847" s="13"/>
      <c r="C2847" s="13"/>
      <c r="D2847" s="13"/>
      <c r="E2847" s="13"/>
      <c r="F2847" s="227"/>
      <c r="G2847" s="13"/>
      <c r="H2847" s="107"/>
      <c r="I2847" s="13"/>
      <c r="J2847" s="107"/>
      <c r="K2847" s="107"/>
      <c r="L2847" s="13"/>
    </row>
    <row r="2848" ht="15.75" customHeight="1">
      <c r="A2848" s="13"/>
      <c r="B2848" s="13"/>
      <c r="C2848" s="13"/>
      <c r="D2848" s="13"/>
      <c r="E2848" s="13"/>
      <c r="F2848" s="227"/>
      <c r="G2848" s="13"/>
      <c r="H2848" s="107"/>
      <c r="I2848" s="13"/>
      <c r="J2848" s="107"/>
      <c r="K2848" s="107"/>
      <c r="L2848" s="13"/>
    </row>
    <row r="2849" ht="15.75" customHeight="1">
      <c r="A2849" s="13"/>
      <c r="B2849" s="13"/>
      <c r="C2849" s="13"/>
      <c r="D2849" s="13"/>
      <c r="E2849" s="13"/>
      <c r="F2849" s="227"/>
      <c r="G2849" s="13"/>
      <c r="H2849" s="107"/>
      <c r="I2849" s="13"/>
      <c r="J2849" s="107"/>
      <c r="K2849" s="107"/>
      <c r="L2849" s="13"/>
    </row>
    <row r="2850" ht="15.75" customHeight="1">
      <c r="A2850" s="13"/>
      <c r="B2850" s="13"/>
      <c r="C2850" s="13"/>
      <c r="D2850" s="13"/>
      <c r="E2850" s="13"/>
      <c r="F2850" s="227"/>
      <c r="G2850" s="13"/>
      <c r="H2850" s="107"/>
      <c r="I2850" s="13"/>
      <c r="J2850" s="107"/>
      <c r="K2850" s="107"/>
      <c r="L2850" s="13"/>
    </row>
    <row r="2851" ht="15.75" customHeight="1">
      <c r="A2851" s="13"/>
      <c r="B2851" s="13"/>
      <c r="C2851" s="13"/>
      <c r="D2851" s="13"/>
      <c r="E2851" s="13"/>
      <c r="F2851" s="227"/>
      <c r="G2851" s="13"/>
      <c r="H2851" s="107"/>
      <c r="I2851" s="13"/>
      <c r="J2851" s="107"/>
      <c r="K2851" s="107"/>
      <c r="L2851" s="13"/>
    </row>
    <row r="2852" ht="15.75" customHeight="1">
      <c r="A2852" s="13"/>
      <c r="B2852" s="13"/>
      <c r="C2852" s="13"/>
      <c r="D2852" s="13"/>
      <c r="E2852" s="13"/>
      <c r="F2852" s="227"/>
      <c r="G2852" s="13"/>
      <c r="H2852" s="107"/>
      <c r="I2852" s="13"/>
      <c r="J2852" s="107"/>
      <c r="K2852" s="107"/>
      <c r="L2852" s="13"/>
    </row>
    <row r="2853" ht="15.75" customHeight="1">
      <c r="A2853" s="13"/>
      <c r="B2853" s="13"/>
      <c r="C2853" s="13"/>
      <c r="D2853" s="13"/>
      <c r="E2853" s="13"/>
      <c r="F2853" s="227"/>
      <c r="G2853" s="13"/>
      <c r="H2853" s="107"/>
      <c r="I2853" s="13"/>
      <c r="J2853" s="107"/>
      <c r="K2853" s="107"/>
      <c r="L2853" s="13"/>
    </row>
    <row r="2854" ht="15.75" customHeight="1">
      <c r="A2854" s="13"/>
      <c r="B2854" s="13"/>
      <c r="C2854" s="13"/>
      <c r="D2854" s="13"/>
      <c r="E2854" s="13"/>
      <c r="F2854" s="227"/>
      <c r="G2854" s="13"/>
      <c r="H2854" s="107"/>
      <c r="I2854" s="13"/>
      <c r="J2854" s="107"/>
      <c r="K2854" s="107"/>
      <c r="L2854" s="13"/>
    </row>
    <row r="2855" ht="15.75" customHeight="1">
      <c r="A2855" s="13"/>
      <c r="B2855" s="13"/>
      <c r="C2855" s="13"/>
      <c r="D2855" s="13"/>
      <c r="E2855" s="13"/>
      <c r="F2855" s="227"/>
      <c r="G2855" s="13"/>
      <c r="H2855" s="107"/>
      <c r="I2855" s="13"/>
      <c r="J2855" s="107"/>
      <c r="K2855" s="107"/>
      <c r="L2855" s="13"/>
    </row>
    <row r="2856" ht="15.75" customHeight="1">
      <c r="A2856" s="13"/>
      <c r="B2856" s="13"/>
      <c r="C2856" s="13"/>
      <c r="D2856" s="13"/>
      <c r="E2856" s="13"/>
      <c r="F2856" s="227"/>
      <c r="G2856" s="13"/>
      <c r="H2856" s="107"/>
      <c r="I2856" s="13"/>
      <c r="J2856" s="107"/>
      <c r="K2856" s="107"/>
      <c r="L2856" s="13"/>
    </row>
    <row r="2857" ht="15.75" customHeight="1">
      <c r="A2857" s="13"/>
      <c r="B2857" s="13"/>
      <c r="C2857" s="13"/>
      <c r="D2857" s="13"/>
      <c r="E2857" s="13"/>
      <c r="F2857" s="227"/>
      <c r="G2857" s="13"/>
      <c r="H2857" s="107"/>
      <c r="I2857" s="13"/>
      <c r="J2857" s="107"/>
      <c r="K2857" s="107"/>
      <c r="L2857" s="13"/>
    </row>
    <row r="2858" ht="15.75" customHeight="1">
      <c r="A2858" s="13"/>
      <c r="B2858" s="13"/>
      <c r="C2858" s="13"/>
      <c r="D2858" s="13"/>
      <c r="E2858" s="13"/>
      <c r="F2858" s="227"/>
      <c r="G2858" s="13"/>
      <c r="H2858" s="107"/>
      <c r="I2858" s="13"/>
      <c r="J2858" s="107"/>
      <c r="K2858" s="107"/>
      <c r="L2858" s="13"/>
    </row>
    <row r="2859" ht="15.75" customHeight="1">
      <c r="A2859" s="13"/>
      <c r="B2859" s="13"/>
      <c r="C2859" s="13"/>
      <c r="D2859" s="13"/>
      <c r="E2859" s="13"/>
      <c r="F2859" s="227"/>
      <c r="G2859" s="13"/>
      <c r="H2859" s="107"/>
      <c r="I2859" s="13"/>
      <c r="J2859" s="107"/>
      <c r="K2859" s="107"/>
      <c r="L2859" s="13"/>
    </row>
    <row r="2860" ht="15.75" customHeight="1">
      <c r="A2860" s="13"/>
      <c r="B2860" s="13"/>
      <c r="C2860" s="13"/>
      <c r="D2860" s="13"/>
      <c r="E2860" s="13"/>
      <c r="F2860" s="227"/>
      <c r="G2860" s="13"/>
      <c r="H2860" s="107"/>
      <c r="I2860" s="13"/>
      <c r="J2860" s="107"/>
      <c r="K2860" s="107"/>
      <c r="L2860" s="13"/>
    </row>
    <row r="2861" ht="15.75" customHeight="1">
      <c r="A2861" s="13"/>
      <c r="B2861" s="13"/>
      <c r="C2861" s="13"/>
      <c r="D2861" s="13"/>
      <c r="E2861" s="13"/>
      <c r="F2861" s="227"/>
      <c r="G2861" s="13"/>
      <c r="H2861" s="107"/>
      <c r="I2861" s="13"/>
      <c r="J2861" s="107"/>
      <c r="K2861" s="107"/>
      <c r="L2861" s="13"/>
    </row>
    <row r="2862" ht="15.75" customHeight="1">
      <c r="A2862" s="13"/>
      <c r="B2862" s="13"/>
      <c r="C2862" s="13"/>
      <c r="D2862" s="13"/>
      <c r="E2862" s="13"/>
      <c r="F2862" s="227"/>
      <c r="G2862" s="13"/>
      <c r="H2862" s="107"/>
      <c r="I2862" s="13"/>
      <c r="J2862" s="107"/>
      <c r="K2862" s="107"/>
      <c r="L2862" s="13"/>
    </row>
    <row r="2863" ht="15.75" customHeight="1">
      <c r="A2863" s="13"/>
      <c r="B2863" s="13"/>
      <c r="C2863" s="13"/>
      <c r="D2863" s="13"/>
      <c r="E2863" s="13"/>
      <c r="F2863" s="227"/>
      <c r="G2863" s="13"/>
      <c r="H2863" s="107"/>
      <c r="I2863" s="13"/>
      <c r="J2863" s="107"/>
      <c r="K2863" s="107"/>
      <c r="L2863" s="13"/>
    </row>
    <row r="2864" ht="15.75" customHeight="1">
      <c r="A2864" s="13"/>
      <c r="B2864" s="13"/>
      <c r="C2864" s="13"/>
      <c r="D2864" s="13"/>
      <c r="E2864" s="13"/>
      <c r="F2864" s="227"/>
      <c r="G2864" s="13"/>
      <c r="H2864" s="107"/>
      <c r="I2864" s="13"/>
      <c r="J2864" s="107"/>
      <c r="K2864" s="107"/>
      <c r="L2864" s="13"/>
    </row>
    <row r="2865" ht="15.75" customHeight="1">
      <c r="A2865" s="13"/>
      <c r="B2865" s="13"/>
      <c r="C2865" s="13"/>
      <c r="D2865" s="13"/>
      <c r="E2865" s="13"/>
      <c r="F2865" s="227"/>
      <c r="G2865" s="13"/>
      <c r="H2865" s="107"/>
      <c r="I2865" s="13"/>
      <c r="J2865" s="107"/>
      <c r="K2865" s="107"/>
      <c r="L2865" s="13"/>
    </row>
    <row r="2866" ht="15.75" customHeight="1">
      <c r="A2866" s="13"/>
      <c r="B2866" s="13"/>
      <c r="C2866" s="13"/>
      <c r="D2866" s="13"/>
      <c r="E2866" s="13"/>
      <c r="F2866" s="227"/>
      <c r="G2866" s="13"/>
      <c r="H2866" s="107"/>
      <c r="I2866" s="13"/>
      <c r="J2866" s="107"/>
      <c r="K2866" s="107"/>
      <c r="L2866" s="13"/>
    </row>
    <row r="2867" ht="15.75" customHeight="1">
      <c r="A2867" s="13"/>
      <c r="B2867" s="13"/>
      <c r="C2867" s="13"/>
      <c r="D2867" s="13"/>
      <c r="E2867" s="13"/>
      <c r="F2867" s="227"/>
      <c r="G2867" s="13"/>
      <c r="H2867" s="107"/>
      <c r="I2867" s="13"/>
      <c r="J2867" s="107"/>
      <c r="K2867" s="107"/>
      <c r="L2867" s="13"/>
    </row>
    <row r="2868" ht="15.75" customHeight="1">
      <c r="A2868" s="13"/>
      <c r="B2868" s="13"/>
      <c r="C2868" s="13"/>
      <c r="D2868" s="13"/>
      <c r="E2868" s="13"/>
      <c r="F2868" s="227"/>
      <c r="G2868" s="13"/>
      <c r="H2868" s="107"/>
      <c r="I2868" s="13"/>
      <c r="J2868" s="107"/>
      <c r="K2868" s="107"/>
      <c r="L2868" s="13"/>
    </row>
    <row r="2869" ht="15.75" customHeight="1">
      <c r="A2869" s="13"/>
      <c r="B2869" s="13"/>
      <c r="C2869" s="13"/>
      <c r="D2869" s="13"/>
      <c r="E2869" s="13"/>
      <c r="F2869" s="227"/>
      <c r="G2869" s="13"/>
      <c r="H2869" s="107"/>
      <c r="I2869" s="13"/>
      <c r="J2869" s="107"/>
      <c r="K2869" s="107"/>
      <c r="L2869" s="13"/>
    </row>
    <row r="2870" ht="15.75" customHeight="1">
      <c r="A2870" s="13"/>
      <c r="B2870" s="13"/>
      <c r="C2870" s="13"/>
      <c r="D2870" s="13"/>
      <c r="E2870" s="13"/>
      <c r="F2870" s="227"/>
      <c r="G2870" s="13"/>
      <c r="H2870" s="107"/>
      <c r="I2870" s="13"/>
      <c r="J2870" s="107"/>
      <c r="K2870" s="107"/>
      <c r="L2870" s="13"/>
    </row>
    <row r="2871" ht="15.75" customHeight="1">
      <c r="A2871" s="13"/>
      <c r="B2871" s="13"/>
      <c r="C2871" s="13"/>
      <c r="D2871" s="13"/>
      <c r="E2871" s="13"/>
      <c r="F2871" s="227"/>
      <c r="G2871" s="13"/>
      <c r="H2871" s="107"/>
      <c r="I2871" s="13"/>
      <c r="J2871" s="107"/>
      <c r="K2871" s="107"/>
      <c r="L2871" s="13"/>
    </row>
    <row r="2872" ht="15.75" customHeight="1">
      <c r="A2872" s="13"/>
      <c r="B2872" s="13"/>
      <c r="C2872" s="13"/>
      <c r="D2872" s="13"/>
      <c r="E2872" s="13"/>
      <c r="F2872" s="227"/>
      <c r="G2872" s="13"/>
      <c r="H2872" s="107"/>
      <c r="I2872" s="13"/>
      <c r="J2872" s="107"/>
      <c r="K2872" s="107"/>
      <c r="L2872" s="13"/>
    </row>
    <row r="2873" ht="15.75" customHeight="1">
      <c r="A2873" s="13"/>
      <c r="B2873" s="13"/>
      <c r="C2873" s="13"/>
      <c r="D2873" s="13"/>
      <c r="E2873" s="13"/>
      <c r="F2873" s="227"/>
      <c r="G2873" s="13"/>
      <c r="H2873" s="107"/>
      <c r="I2873" s="13"/>
      <c r="J2873" s="107"/>
      <c r="K2873" s="107"/>
      <c r="L2873" s="13"/>
    </row>
    <row r="2874" ht="15.75" customHeight="1">
      <c r="A2874" s="13"/>
      <c r="B2874" s="13"/>
      <c r="C2874" s="13"/>
      <c r="D2874" s="13"/>
      <c r="E2874" s="13"/>
      <c r="F2874" s="227"/>
      <c r="G2874" s="13"/>
      <c r="H2874" s="107"/>
      <c r="I2874" s="13"/>
      <c r="J2874" s="107"/>
      <c r="K2874" s="107"/>
      <c r="L2874" s="13"/>
    </row>
    <row r="2875" ht="15.75" customHeight="1">
      <c r="A2875" s="13"/>
      <c r="B2875" s="13"/>
      <c r="C2875" s="13"/>
      <c r="D2875" s="13"/>
      <c r="E2875" s="13"/>
      <c r="F2875" s="227"/>
      <c r="G2875" s="13"/>
      <c r="H2875" s="107"/>
      <c r="I2875" s="13"/>
      <c r="J2875" s="107"/>
      <c r="K2875" s="107"/>
      <c r="L2875" s="13"/>
    </row>
    <row r="2876" ht="15.75" customHeight="1">
      <c r="A2876" s="13"/>
      <c r="B2876" s="13"/>
      <c r="C2876" s="13"/>
      <c r="D2876" s="13"/>
      <c r="E2876" s="13"/>
      <c r="F2876" s="227"/>
      <c r="G2876" s="13"/>
      <c r="H2876" s="107"/>
      <c r="I2876" s="13"/>
      <c r="J2876" s="107"/>
      <c r="K2876" s="107"/>
      <c r="L2876" s="13"/>
    </row>
    <row r="2877" ht="15.75" customHeight="1">
      <c r="A2877" s="13"/>
      <c r="B2877" s="13"/>
      <c r="C2877" s="13"/>
      <c r="D2877" s="13"/>
      <c r="E2877" s="13"/>
      <c r="F2877" s="227"/>
      <c r="G2877" s="13"/>
      <c r="H2877" s="107"/>
      <c r="I2877" s="13"/>
      <c r="J2877" s="107"/>
      <c r="K2877" s="107"/>
      <c r="L2877" s="13"/>
    </row>
    <row r="2878" ht="15.75" customHeight="1">
      <c r="A2878" s="13"/>
      <c r="B2878" s="13"/>
      <c r="C2878" s="13"/>
      <c r="D2878" s="13"/>
      <c r="E2878" s="13"/>
      <c r="F2878" s="227"/>
      <c r="G2878" s="13"/>
      <c r="H2878" s="107"/>
      <c r="I2878" s="13"/>
      <c r="J2878" s="107"/>
      <c r="K2878" s="107"/>
      <c r="L2878" s="13"/>
    </row>
    <row r="2879" ht="15.75" customHeight="1">
      <c r="A2879" s="13"/>
      <c r="B2879" s="13"/>
      <c r="C2879" s="13"/>
      <c r="D2879" s="13"/>
      <c r="E2879" s="13"/>
      <c r="F2879" s="227"/>
      <c r="G2879" s="13"/>
      <c r="H2879" s="107"/>
      <c r="I2879" s="13"/>
      <c r="J2879" s="107"/>
      <c r="K2879" s="107"/>
      <c r="L2879" s="13"/>
    </row>
    <row r="2880" ht="15.75" customHeight="1">
      <c r="A2880" s="13"/>
      <c r="B2880" s="13"/>
      <c r="C2880" s="13"/>
      <c r="D2880" s="13"/>
      <c r="E2880" s="13"/>
      <c r="F2880" s="227"/>
      <c r="G2880" s="13"/>
      <c r="H2880" s="107"/>
      <c r="I2880" s="13"/>
      <c r="J2880" s="107"/>
      <c r="K2880" s="107"/>
      <c r="L2880" s="13"/>
    </row>
    <row r="2881" ht="15.75" customHeight="1">
      <c r="A2881" s="13"/>
      <c r="B2881" s="13"/>
      <c r="C2881" s="13"/>
      <c r="D2881" s="13"/>
      <c r="E2881" s="13"/>
      <c r="F2881" s="227"/>
      <c r="G2881" s="13"/>
      <c r="H2881" s="107"/>
      <c r="I2881" s="13"/>
      <c r="J2881" s="107"/>
      <c r="K2881" s="107"/>
      <c r="L2881" s="13"/>
    </row>
    <row r="2882" ht="15.75" customHeight="1">
      <c r="A2882" s="13"/>
      <c r="B2882" s="13"/>
      <c r="C2882" s="13"/>
      <c r="D2882" s="13"/>
      <c r="E2882" s="13"/>
      <c r="F2882" s="227"/>
      <c r="G2882" s="13"/>
      <c r="H2882" s="107"/>
      <c r="I2882" s="13"/>
      <c r="J2882" s="107"/>
      <c r="K2882" s="107"/>
      <c r="L2882" s="13"/>
    </row>
    <row r="2883" ht="15.75" customHeight="1">
      <c r="A2883" s="13"/>
      <c r="B2883" s="13"/>
      <c r="C2883" s="13"/>
      <c r="D2883" s="13"/>
      <c r="E2883" s="13"/>
      <c r="F2883" s="227"/>
      <c r="G2883" s="13"/>
      <c r="H2883" s="107"/>
      <c r="I2883" s="13"/>
      <c r="J2883" s="107"/>
      <c r="K2883" s="107"/>
      <c r="L2883" s="13"/>
    </row>
    <row r="2884" ht="15.75" customHeight="1">
      <c r="A2884" s="13"/>
      <c r="B2884" s="13"/>
      <c r="C2884" s="13"/>
      <c r="D2884" s="13"/>
      <c r="E2884" s="13"/>
      <c r="F2884" s="227"/>
      <c r="G2884" s="13"/>
      <c r="H2884" s="107"/>
      <c r="I2884" s="13"/>
      <c r="J2884" s="107"/>
      <c r="K2884" s="107"/>
      <c r="L2884" s="13"/>
    </row>
    <row r="2885" ht="15.75" customHeight="1">
      <c r="A2885" s="13"/>
      <c r="B2885" s="13"/>
      <c r="C2885" s="13"/>
      <c r="D2885" s="13"/>
      <c r="E2885" s="13"/>
      <c r="F2885" s="227"/>
      <c r="G2885" s="13"/>
      <c r="H2885" s="107"/>
      <c r="I2885" s="13"/>
      <c r="J2885" s="107"/>
      <c r="K2885" s="107"/>
      <c r="L2885" s="13"/>
    </row>
    <row r="2886" ht="15.75" customHeight="1">
      <c r="A2886" s="13"/>
      <c r="B2886" s="13"/>
      <c r="C2886" s="13"/>
      <c r="D2886" s="13"/>
      <c r="E2886" s="13"/>
      <c r="F2886" s="227"/>
      <c r="G2886" s="13"/>
      <c r="H2886" s="107"/>
      <c r="I2886" s="13"/>
      <c r="J2886" s="107"/>
      <c r="K2886" s="107"/>
      <c r="L2886" s="13"/>
    </row>
    <row r="2887" ht="15.75" customHeight="1">
      <c r="A2887" s="13"/>
      <c r="B2887" s="13"/>
      <c r="C2887" s="13"/>
      <c r="D2887" s="13"/>
      <c r="E2887" s="13"/>
      <c r="F2887" s="227"/>
      <c r="G2887" s="13"/>
      <c r="H2887" s="107"/>
      <c r="I2887" s="13"/>
      <c r="J2887" s="107"/>
      <c r="K2887" s="107"/>
      <c r="L2887" s="13"/>
    </row>
    <row r="2888" ht="15.75" customHeight="1">
      <c r="A2888" s="13"/>
      <c r="B2888" s="13"/>
      <c r="C2888" s="13"/>
      <c r="D2888" s="13"/>
      <c r="E2888" s="13"/>
      <c r="F2888" s="227"/>
      <c r="G2888" s="13"/>
      <c r="H2888" s="107"/>
      <c r="I2888" s="13"/>
      <c r="J2888" s="107"/>
      <c r="K2888" s="107"/>
      <c r="L2888" s="13"/>
    </row>
    <row r="2889" ht="15.75" customHeight="1">
      <c r="A2889" s="13"/>
      <c r="B2889" s="13"/>
      <c r="C2889" s="13"/>
      <c r="D2889" s="13"/>
      <c r="E2889" s="13"/>
      <c r="F2889" s="227"/>
      <c r="G2889" s="13"/>
      <c r="H2889" s="107"/>
      <c r="I2889" s="13"/>
      <c r="J2889" s="107"/>
      <c r="K2889" s="107"/>
      <c r="L2889" s="13"/>
    </row>
    <row r="2890" ht="15.75" customHeight="1">
      <c r="A2890" s="13"/>
      <c r="B2890" s="13"/>
      <c r="C2890" s="13"/>
      <c r="D2890" s="13"/>
      <c r="E2890" s="13"/>
      <c r="F2890" s="227"/>
      <c r="G2890" s="13"/>
      <c r="H2890" s="107"/>
      <c r="I2890" s="13"/>
      <c r="J2890" s="107"/>
      <c r="K2890" s="107"/>
      <c r="L2890" s="13"/>
    </row>
    <row r="2891" ht="15.75" customHeight="1">
      <c r="A2891" s="13"/>
      <c r="B2891" s="13"/>
      <c r="C2891" s="13"/>
      <c r="D2891" s="13"/>
      <c r="E2891" s="13"/>
      <c r="F2891" s="227"/>
      <c r="G2891" s="13"/>
      <c r="H2891" s="107"/>
      <c r="I2891" s="13"/>
      <c r="J2891" s="107"/>
      <c r="K2891" s="107"/>
      <c r="L2891" s="13"/>
    </row>
    <row r="2892" ht="15.75" customHeight="1">
      <c r="A2892" s="13"/>
      <c r="B2892" s="13"/>
      <c r="C2892" s="13"/>
      <c r="D2892" s="13"/>
      <c r="E2892" s="13"/>
      <c r="F2892" s="227"/>
      <c r="G2892" s="13"/>
      <c r="H2892" s="107"/>
      <c r="I2892" s="13"/>
      <c r="J2892" s="107"/>
      <c r="K2892" s="107"/>
      <c r="L2892" s="13"/>
    </row>
    <row r="2893" ht="15.75" customHeight="1">
      <c r="A2893" s="13"/>
      <c r="B2893" s="13"/>
      <c r="C2893" s="13"/>
      <c r="D2893" s="13"/>
      <c r="E2893" s="13"/>
      <c r="F2893" s="227"/>
      <c r="G2893" s="13"/>
      <c r="H2893" s="107"/>
      <c r="I2893" s="13"/>
      <c r="J2893" s="107"/>
      <c r="K2893" s="107"/>
      <c r="L2893" s="13"/>
    </row>
    <row r="2894" ht="15.75" customHeight="1">
      <c r="A2894" s="13"/>
      <c r="B2894" s="13"/>
      <c r="C2894" s="13"/>
      <c r="D2894" s="13"/>
      <c r="E2894" s="13"/>
      <c r="F2894" s="227"/>
      <c r="G2894" s="13"/>
      <c r="H2894" s="107"/>
      <c r="I2894" s="13"/>
      <c r="J2894" s="107"/>
      <c r="K2894" s="107"/>
      <c r="L2894" s="13"/>
    </row>
    <row r="2895" ht="15.75" customHeight="1">
      <c r="A2895" s="13"/>
      <c r="B2895" s="13"/>
      <c r="C2895" s="13"/>
      <c r="D2895" s="13"/>
      <c r="E2895" s="13"/>
      <c r="F2895" s="227"/>
      <c r="G2895" s="13"/>
      <c r="H2895" s="107"/>
      <c r="I2895" s="13"/>
      <c r="J2895" s="107"/>
      <c r="K2895" s="107"/>
      <c r="L2895" s="13"/>
    </row>
    <row r="2896" ht="15.75" customHeight="1">
      <c r="A2896" s="13"/>
      <c r="B2896" s="13"/>
      <c r="C2896" s="13"/>
      <c r="D2896" s="13"/>
      <c r="E2896" s="13"/>
      <c r="F2896" s="227"/>
      <c r="G2896" s="13"/>
      <c r="H2896" s="107"/>
      <c r="I2896" s="13"/>
      <c r="J2896" s="107"/>
      <c r="K2896" s="107"/>
      <c r="L2896" s="13"/>
    </row>
    <row r="2897" ht="15.75" customHeight="1">
      <c r="A2897" s="13"/>
      <c r="B2897" s="13"/>
      <c r="C2897" s="13"/>
      <c r="D2897" s="13"/>
      <c r="E2897" s="13"/>
      <c r="F2897" s="227"/>
      <c r="G2897" s="13"/>
      <c r="H2897" s="107"/>
      <c r="I2897" s="13"/>
      <c r="J2897" s="107"/>
      <c r="K2897" s="107"/>
      <c r="L2897" s="13"/>
    </row>
    <row r="2898" ht="15.75" customHeight="1">
      <c r="A2898" s="13"/>
      <c r="B2898" s="13"/>
      <c r="C2898" s="13"/>
      <c r="D2898" s="13"/>
      <c r="E2898" s="13"/>
      <c r="F2898" s="227"/>
      <c r="G2898" s="13"/>
      <c r="H2898" s="107"/>
      <c r="I2898" s="13"/>
      <c r="J2898" s="107"/>
      <c r="K2898" s="107"/>
      <c r="L2898" s="13"/>
    </row>
    <row r="2899" ht="15.75" customHeight="1">
      <c r="A2899" s="13"/>
      <c r="B2899" s="13"/>
      <c r="C2899" s="13"/>
      <c r="D2899" s="13"/>
      <c r="E2899" s="13"/>
      <c r="F2899" s="227"/>
      <c r="G2899" s="13"/>
      <c r="H2899" s="107"/>
      <c r="I2899" s="13"/>
      <c r="J2899" s="107"/>
      <c r="K2899" s="107"/>
      <c r="L2899" s="13"/>
    </row>
    <row r="2900" ht="15.75" customHeight="1">
      <c r="A2900" s="13"/>
      <c r="B2900" s="13"/>
      <c r="C2900" s="13"/>
      <c r="D2900" s="13"/>
      <c r="E2900" s="13"/>
      <c r="F2900" s="227"/>
      <c r="G2900" s="13"/>
      <c r="H2900" s="107"/>
      <c r="I2900" s="13"/>
      <c r="J2900" s="107"/>
      <c r="K2900" s="107"/>
      <c r="L2900" s="13"/>
    </row>
    <row r="2901" ht="15.75" customHeight="1">
      <c r="A2901" s="13"/>
      <c r="B2901" s="13"/>
      <c r="C2901" s="13"/>
      <c r="D2901" s="13"/>
      <c r="E2901" s="13"/>
      <c r="F2901" s="227"/>
      <c r="G2901" s="13"/>
      <c r="H2901" s="107"/>
      <c r="I2901" s="13"/>
      <c r="J2901" s="107"/>
      <c r="K2901" s="107"/>
      <c r="L2901" s="13"/>
    </row>
    <row r="2902" ht="15.75" customHeight="1">
      <c r="A2902" s="13"/>
      <c r="B2902" s="13"/>
      <c r="C2902" s="13"/>
      <c r="D2902" s="13"/>
      <c r="E2902" s="13"/>
      <c r="F2902" s="227"/>
      <c r="G2902" s="13"/>
      <c r="H2902" s="107"/>
      <c r="I2902" s="13"/>
      <c r="J2902" s="107"/>
      <c r="K2902" s="107"/>
      <c r="L2902" s="13"/>
    </row>
    <row r="2903" ht="15.75" customHeight="1">
      <c r="A2903" s="13"/>
      <c r="B2903" s="13"/>
      <c r="C2903" s="13"/>
      <c r="D2903" s="13"/>
      <c r="E2903" s="13"/>
      <c r="F2903" s="227"/>
      <c r="G2903" s="13"/>
      <c r="H2903" s="107"/>
      <c r="I2903" s="13"/>
      <c r="J2903" s="107"/>
      <c r="K2903" s="107"/>
      <c r="L2903" s="13"/>
    </row>
    <row r="2904" ht="15.75" customHeight="1">
      <c r="A2904" s="13"/>
      <c r="B2904" s="13"/>
      <c r="C2904" s="13"/>
      <c r="D2904" s="13"/>
      <c r="E2904" s="13"/>
      <c r="F2904" s="227"/>
      <c r="G2904" s="13"/>
      <c r="H2904" s="107"/>
      <c r="I2904" s="13"/>
      <c r="J2904" s="107"/>
      <c r="K2904" s="107"/>
      <c r="L2904" s="13"/>
    </row>
    <row r="2905" ht="15.75" customHeight="1">
      <c r="A2905" s="13"/>
      <c r="B2905" s="13"/>
      <c r="C2905" s="13"/>
      <c r="D2905" s="13"/>
      <c r="E2905" s="13"/>
      <c r="F2905" s="227"/>
      <c r="G2905" s="13"/>
      <c r="H2905" s="107"/>
      <c r="I2905" s="13"/>
      <c r="J2905" s="107"/>
      <c r="K2905" s="107"/>
      <c r="L2905" s="13"/>
    </row>
    <row r="2906" ht="15.75" customHeight="1">
      <c r="A2906" s="13"/>
      <c r="B2906" s="13"/>
      <c r="C2906" s="13"/>
      <c r="D2906" s="13"/>
      <c r="E2906" s="13"/>
      <c r="F2906" s="227"/>
      <c r="G2906" s="13"/>
      <c r="H2906" s="107"/>
      <c r="I2906" s="13"/>
      <c r="J2906" s="107"/>
      <c r="K2906" s="107"/>
      <c r="L2906" s="13"/>
    </row>
    <row r="2907" ht="15.75" customHeight="1">
      <c r="A2907" s="13"/>
      <c r="B2907" s="13"/>
      <c r="C2907" s="13"/>
      <c r="D2907" s="13"/>
      <c r="E2907" s="13"/>
      <c r="F2907" s="227"/>
      <c r="G2907" s="13"/>
      <c r="H2907" s="107"/>
      <c r="I2907" s="13"/>
      <c r="J2907" s="107"/>
      <c r="K2907" s="107"/>
      <c r="L2907" s="13"/>
    </row>
    <row r="2908" ht="15.75" customHeight="1">
      <c r="A2908" s="13"/>
      <c r="B2908" s="13"/>
      <c r="C2908" s="13"/>
      <c r="D2908" s="13"/>
      <c r="E2908" s="13"/>
      <c r="F2908" s="227"/>
      <c r="G2908" s="13"/>
      <c r="H2908" s="107"/>
      <c r="I2908" s="13"/>
      <c r="J2908" s="107"/>
      <c r="K2908" s="107"/>
      <c r="L2908" s="13"/>
    </row>
    <row r="2909" ht="15.75" customHeight="1">
      <c r="A2909" s="13"/>
      <c r="B2909" s="13"/>
      <c r="C2909" s="13"/>
      <c r="D2909" s="13"/>
      <c r="E2909" s="13"/>
      <c r="F2909" s="227"/>
      <c r="G2909" s="13"/>
      <c r="H2909" s="107"/>
      <c r="I2909" s="13"/>
      <c r="J2909" s="107"/>
      <c r="K2909" s="107"/>
      <c r="L2909" s="13"/>
    </row>
    <row r="2910" ht="15.75" customHeight="1">
      <c r="A2910" s="13"/>
      <c r="B2910" s="13"/>
      <c r="C2910" s="13"/>
      <c r="D2910" s="13"/>
      <c r="E2910" s="13"/>
      <c r="F2910" s="227"/>
      <c r="G2910" s="13"/>
      <c r="H2910" s="107"/>
      <c r="I2910" s="13"/>
      <c r="J2910" s="107"/>
      <c r="K2910" s="107"/>
      <c r="L2910" s="13"/>
    </row>
    <row r="2911" ht="15.75" customHeight="1">
      <c r="A2911" s="13"/>
      <c r="B2911" s="13"/>
      <c r="C2911" s="13"/>
      <c r="D2911" s="13"/>
      <c r="E2911" s="13"/>
      <c r="F2911" s="227"/>
      <c r="G2911" s="13"/>
      <c r="H2911" s="107"/>
      <c r="I2911" s="13"/>
      <c r="J2911" s="107"/>
      <c r="K2911" s="107"/>
      <c r="L2911" s="13"/>
    </row>
    <row r="2912" ht="15.75" customHeight="1">
      <c r="A2912" s="13"/>
      <c r="B2912" s="13"/>
      <c r="C2912" s="13"/>
      <c r="D2912" s="13"/>
      <c r="E2912" s="13"/>
      <c r="F2912" s="227"/>
      <c r="G2912" s="13"/>
      <c r="H2912" s="107"/>
      <c r="I2912" s="13"/>
      <c r="J2912" s="107"/>
      <c r="K2912" s="107"/>
      <c r="L2912" s="13"/>
    </row>
    <row r="2913" ht="15.75" customHeight="1">
      <c r="A2913" s="13"/>
      <c r="B2913" s="13"/>
      <c r="C2913" s="13"/>
      <c r="D2913" s="13"/>
      <c r="E2913" s="13"/>
      <c r="F2913" s="227"/>
      <c r="G2913" s="13"/>
      <c r="H2913" s="107"/>
      <c r="I2913" s="13"/>
      <c r="J2913" s="107"/>
      <c r="K2913" s="107"/>
      <c r="L2913" s="13"/>
    </row>
    <row r="2914" ht="15.75" customHeight="1">
      <c r="A2914" s="13"/>
      <c r="B2914" s="13"/>
      <c r="C2914" s="13"/>
      <c r="D2914" s="13"/>
      <c r="E2914" s="13"/>
      <c r="F2914" s="227"/>
      <c r="G2914" s="13"/>
      <c r="H2914" s="107"/>
      <c r="I2914" s="13"/>
      <c r="J2914" s="107"/>
      <c r="K2914" s="107"/>
      <c r="L2914" s="13"/>
    </row>
    <row r="2915" ht="15.75" customHeight="1">
      <c r="A2915" s="13"/>
      <c r="B2915" s="13"/>
      <c r="C2915" s="13"/>
      <c r="D2915" s="13"/>
      <c r="E2915" s="13"/>
      <c r="F2915" s="227"/>
      <c r="G2915" s="13"/>
      <c r="H2915" s="107"/>
      <c r="I2915" s="13"/>
      <c r="J2915" s="107"/>
      <c r="K2915" s="107"/>
      <c r="L2915" s="13"/>
    </row>
    <row r="2916" ht="15.75" customHeight="1">
      <c r="A2916" s="13"/>
      <c r="B2916" s="13"/>
      <c r="C2916" s="13"/>
      <c r="D2916" s="13"/>
      <c r="E2916" s="13"/>
      <c r="F2916" s="227"/>
      <c r="G2916" s="13"/>
      <c r="H2916" s="107"/>
      <c r="I2916" s="13"/>
      <c r="J2916" s="107"/>
      <c r="K2916" s="107"/>
      <c r="L2916" s="13"/>
    </row>
    <row r="2917" ht="15.75" customHeight="1">
      <c r="A2917" s="13"/>
      <c r="B2917" s="13"/>
      <c r="C2917" s="13"/>
      <c r="D2917" s="13"/>
      <c r="E2917" s="13"/>
      <c r="F2917" s="227"/>
      <c r="G2917" s="13"/>
      <c r="H2917" s="107"/>
      <c r="I2917" s="13"/>
      <c r="J2917" s="107"/>
      <c r="K2917" s="107"/>
      <c r="L2917" s="13"/>
    </row>
    <row r="2918" ht="15.75" customHeight="1">
      <c r="A2918" s="13"/>
      <c r="B2918" s="13"/>
      <c r="C2918" s="13"/>
      <c r="D2918" s="13"/>
      <c r="E2918" s="13"/>
      <c r="F2918" s="227"/>
      <c r="G2918" s="13"/>
      <c r="H2918" s="107"/>
      <c r="I2918" s="13"/>
      <c r="J2918" s="107"/>
      <c r="K2918" s="107"/>
      <c r="L2918" s="13"/>
    </row>
    <row r="2919" ht="15.75" customHeight="1">
      <c r="A2919" s="13"/>
      <c r="B2919" s="13"/>
      <c r="C2919" s="13"/>
      <c r="D2919" s="13"/>
      <c r="E2919" s="13"/>
      <c r="F2919" s="227"/>
      <c r="G2919" s="13"/>
      <c r="H2919" s="107"/>
      <c r="I2919" s="13"/>
      <c r="J2919" s="107"/>
      <c r="K2919" s="107"/>
      <c r="L2919" s="13"/>
    </row>
    <row r="2920" ht="15.75" customHeight="1">
      <c r="A2920" s="13"/>
      <c r="B2920" s="13"/>
      <c r="C2920" s="13"/>
      <c r="D2920" s="13"/>
      <c r="E2920" s="13"/>
      <c r="F2920" s="227"/>
      <c r="G2920" s="13"/>
      <c r="H2920" s="107"/>
      <c r="I2920" s="13"/>
      <c r="J2920" s="107"/>
      <c r="K2920" s="107"/>
      <c r="L2920" s="13"/>
    </row>
    <row r="2921" ht="15.75" customHeight="1">
      <c r="A2921" s="13"/>
      <c r="B2921" s="13"/>
      <c r="C2921" s="13"/>
      <c r="D2921" s="13"/>
      <c r="E2921" s="13"/>
      <c r="F2921" s="227"/>
      <c r="G2921" s="13"/>
      <c r="H2921" s="107"/>
      <c r="I2921" s="13"/>
      <c r="J2921" s="107"/>
      <c r="K2921" s="107"/>
      <c r="L2921" s="13"/>
    </row>
    <row r="2922" ht="15.75" customHeight="1">
      <c r="A2922" s="13"/>
      <c r="B2922" s="13"/>
      <c r="C2922" s="13"/>
      <c r="D2922" s="13"/>
      <c r="E2922" s="13"/>
      <c r="F2922" s="227"/>
      <c r="G2922" s="13"/>
      <c r="H2922" s="107"/>
      <c r="I2922" s="13"/>
      <c r="J2922" s="107"/>
      <c r="K2922" s="107"/>
      <c r="L2922" s="13"/>
    </row>
    <row r="2923" ht="15.75" customHeight="1">
      <c r="A2923" s="13"/>
      <c r="B2923" s="13"/>
      <c r="C2923" s="13"/>
      <c r="D2923" s="13"/>
      <c r="E2923" s="13"/>
      <c r="F2923" s="227"/>
      <c r="G2923" s="13"/>
      <c r="H2923" s="107"/>
      <c r="I2923" s="13"/>
      <c r="J2923" s="107"/>
      <c r="K2923" s="107"/>
      <c r="L2923" s="13"/>
    </row>
    <row r="2924" ht="15.75" customHeight="1">
      <c r="A2924" s="13"/>
      <c r="B2924" s="13"/>
      <c r="C2924" s="13"/>
      <c r="D2924" s="13"/>
      <c r="E2924" s="13"/>
      <c r="F2924" s="227"/>
      <c r="G2924" s="13"/>
      <c r="H2924" s="107"/>
      <c r="I2924" s="13"/>
      <c r="J2924" s="107"/>
      <c r="K2924" s="107"/>
      <c r="L2924" s="13"/>
    </row>
    <row r="2925" ht="15.75" customHeight="1">
      <c r="A2925" s="13"/>
      <c r="B2925" s="13"/>
      <c r="C2925" s="13"/>
      <c r="D2925" s="13"/>
      <c r="E2925" s="13"/>
      <c r="F2925" s="227"/>
      <c r="G2925" s="13"/>
      <c r="H2925" s="107"/>
      <c r="I2925" s="13"/>
      <c r="J2925" s="107"/>
      <c r="K2925" s="107"/>
      <c r="L2925" s="13"/>
    </row>
    <row r="2926" ht="15.75" customHeight="1">
      <c r="A2926" s="13"/>
      <c r="B2926" s="13"/>
      <c r="C2926" s="13"/>
      <c r="D2926" s="13"/>
      <c r="E2926" s="13"/>
      <c r="F2926" s="227"/>
      <c r="G2926" s="13"/>
      <c r="H2926" s="107"/>
      <c r="I2926" s="13"/>
      <c r="J2926" s="107"/>
      <c r="K2926" s="107"/>
      <c r="L2926" s="13"/>
    </row>
    <row r="2927" ht="15.75" customHeight="1">
      <c r="A2927" s="13"/>
      <c r="B2927" s="13"/>
      <c r="C2927" s="13"/>
      <c r="D2927" s="13"/>
      <c r="E2927" s="13"/>
      <c r="F2927" s="227"/>
      <c r="G2927" s="13"/>
      <c r="H2927" s="107"/>
      <c r="I2927" s="13"/>
      <c r="J2927" s="107"/>
      <c r="K2927" s="107"/>
      <c r="L2927" s="13"/>
    </row>
    <row r="2928" ht="15.75" customHeight="1">
      <c r="A2928" s="13"/>
      <c r="B2928" s="13"/>
      <c r="C2928" s="13"/>
      <c r="D2928" s="13"/>
      <c r="E2928" s="13"/>
      <c r="F2928" s="227"/>
      <c r="G2928" s="13"/>
      <c r="H2928" s="107"/>
      <c r="I2928" s="13"/>
      <c r="J2928" s="107"/>
      <c r="K2928" s="107"/>
      <c r="L2928" s="13"/>
    </row>
    <row r="2929" ht="15.75" customHeight="1">
      <c r="A2929" s="13"/>
      <c r="B2929" s="13"/>
      <c r="C2929" s="13"/>
      <c r="D2929" s="13"/>
      <c r="E2929" s="13"/>
      <c r="F2929" s="227"/>
      <c r="G2929" s="13"/>
      <c r="H2929" s="107"/>
      <c r="I2929" s="13"/>
      <c r="J2929" s="107"/>
      <c r="K2929" s="107"/>
      <c r="L2929" s="13"/>
    </row>
    <row r="2930" ht="15.75" customHeight="1">
      <c r="A2930" s="13"/>
      <c r="B2930" s="13"/>
      <c r="C2930" s="13"/>
      <c r="D2930" s="13"/>
      <c r="E2930" s="13"/>
      <c r="F2930" s="227"/>
      <c r="G2930" s="13"/>
      <c r="H2930" s="107"/>
      <c r="I2930" s="13"/>
      <c r="J2930" s="107"/>
      <c r="K2930" s="107"/>
      <c r="L2930" s="13"/>
    </row>
    <row r="2931" ht="15.75" customHeight="1">
      <c r="A2931" s="13"/>
      <c r="B2931" s="13"/>
      <c r="C2931" s="13"/>
      <c r="D2931" s="13"/>
      <c r="E2931" s="13"/>
      <c r="F2931" s="227"/>
      <c r="G2931" s="13"/>
      <c r="H2931" s="107"/>
      <c r="I2931" s="13"/>
      <c r="J2931" s="107"/>
      <c r="K2931" s="107"/>
      <c r="L2931" s="13"/>
    </row>
    <row r="2932" ht="15.75" customHeight="1">
      <c r="A2932" s="13"/>
      <c r="B2932" s="13"/>
      <c r="C2932" s="13"/>
      <c r="D2932" s="13"/>
      <c r="E2932" s="13"/>
      <c r="F2932" s="227"/>
      <c r="G2932" s="13"/>
      <c r="H2932" s="107"/>
      <c r="I2932" s="13"/>
      <c r="J2932" s="107"/>
      <c r="K2932" s="107"/>
      <c r="L2932" s="13"/>
    </row>
    <row r="2933" ht="15.75" customHeight="1">
      <c r="A2933" s="13"/>
      <c r="B2933" s="13"/>
      <c r="C2933" s="13"/>
      <c r="D2933" s="13"/>
      <c r="E2933" s="13"/>
      <c r="F2933" s="227"/>
      <c r="G2933" s="13"/>
      <c r="H2933" s="107"/>
      <c r="I2933" s="13"/>
      <c r="J2933" s="107"/>
      <c r="K2933" s="107"/>
      <c r="L2933" s="13"/>
    </row>
    <row r="2934" ht="15.75" customHeight="1">
      <c r="A2934" s="13"/>
      <c r="B2934" s="13"/>
      <c r="C2934" s="13"/>
      <c r="D2934" s="13"/>
      <c r="E2934" s="13"/>
      <c r="F2934" s="227"/>
      <c r="G2934" s="13"/>
      <c r="H2934" s="107"/>
      <c r="I2934" s="13"/>
      <c r="J2934" s="107"/>
      <c r="K2934" s="107"/>
      <c r="L2934" s="13"/>
    </row>
    <row r="2935" ht="15.75" customHeight="1">
      <c r="A2935" s="13"/>
      <c r="B2935" s="13"/>
      <c r="C2935" s="13"/>
      <c r="D2935" s="13"/>
      <c r="E2935" s="13"/>
      <c r="F2935" s="227"/>
      <c r="G2935" s="13"/>
      <c r="H2935" s="107"/>
      <c r="I2935" s="13"/>
      <c r="J2935" s="107"/>
      <c r="K2935" s="107"/>
      <c r="L2935" s="13"/>
    </row>
    <row r="2936" ht="15.75" customHeight="1">
      <c r="A2936" s="13"/>
      <c r="B2936" s="13"/>
      <c r="C2936" s="13"/>
      <c r="D2936" s="13"/>
      <c r="E2936" s="13"/>
      <c r="F2936" s="227"/>
      <c r="G2936" s="13"/>
      <c r="H2936" s="107"/>
      <c r="I2936" s="13"/>
      <c r="J2936" s="107"/>
      <c r="K2936" s="107"/>
      <c r="L2936" s="13"/>
    </row>
    <row r="2937" ht="15.75" customHeight="1">
      <c r="A2937" s="13"/>
      <c r="B2937" s="13"/>
      <c r="C2937" s="13"/>
      <c r="D2937" s="13"/>
      <c r="E2937" s="13"/>
      <c r="F2937" s="227"/>
      <c r="G2937" s="13"/>
      <c r="H2937" s="107"/>
      <c r="I2937" s="13"/>
      <c r="J2937" s="107"/>
      <c r="K2937" s="107"/>
      <c r="L2937" s="13"/>
    </row>
    <row r="2938" ht="15.75" customHeight="1">
      <c r="A2938" s="13"/>
      <c r="B2938" s="13"/>
      <c r="C2938" s="13"/>
      <c r="D2938" s="13"/>
      <c r="E2938" s="13"/>
      <c r="F2938" s="227"/>
      <c r="G2938" s="13"/>
      <c r="H2938" s="107"/>
      <c r="I2938" s="13"/>
      <c r="J2938" s="107"/>
      <c r="K2938" s="107"/>
      <c r="L2938" s="13"/>
    </row>
    <row r="2939" ht="15.75" customHeight="1">
      <c r="A2939" s="13"/>
      <c r="B2939" s="13"/>
      <c r="C2939" s="13"/>
      <c r="D2939" s="13"/>
      <c r="E2939" s="13"/>
      <c r="F2939" s="227"/>
      <c r="G2939" s="13"/>
      <c r="H2939" s="107"/>
      <c r="I2939" s="13"/>
      <c r="J2939" s="107"/>
      <c r="K2939" s="107"/>
      <c r="L2939" s="13"/>
    </row>
    <row r="2940" ht="15.75" customHeight="1">
      <c r="A2940" s="13"/>
      <c r="B2940" s="13"/>
      <c r="C2940" s="13"/>
      <c r="D2940" s="13"/>
      <c r="E2940" s="13"/>
      <c r="F2940" s="227"/>
      <c r="G2940" s="13"/>
      <c r="H2940" s="107"/>
      <c r="I2940" s="13"/>
      <c r="J2940" s="107"/>
      <c r="K2940" s="107"/>
      <c r="L2940" s="13"/>
    </row>
    <row r="2941" ht="15.75" customHeight="1">
      <c r="A2941" s="13"/>
      <c r="B2941" s="13"/>
      <c r="C2941" s="13"/>
      <c r="D2941" s="13"/>
      <c r="E2941" s="13"/>
      <c r="F2941" s="227"/>
      <c r="G2941" s="13"/>
      <c r="H2941" s="107"/>
      <c r="I2941" s="13"/>
      <c r="J2941" s="107"/>
      <c r="K2941" s="107"/>
      <c r="L2941" s="13"/>
    </row>
    <row r="2942" ht="15.75" customHeight="1">
      <c r="A2942" s="13"/>
      <c r="B2942" s="13"/>
      <c r="C2942" s="13"/>
      <c r="D2942" s="13"/>
      <c r="E2942" s="13"/>
      <c r="F2942" s="227"/>
      <c r="G2942" s="13"/>
      <c r="H2942" s="107"/>
      <c r="I2942" s="13"/>
      <c r="J2942" s="107"/>
      <c r="K2942" s="107"/>
      <c r="L2942" s="13"/>
    </row>
    <row r="2943" ht="15.75" customHeight="1">
      <c r="A2943" s="13"/>
      <c r="B2943" s="13"/>
      <c r="C2943" s="13"/>
      <c r="D2943" s="13"/>
      <c r="E2943" s="13"/>
      <c r="F2943" s="227"/>
      <c r="G2943" s="13"/>
      <c r="H2943" s="107"/>
      <c r="I2943" s="13"/>
      <c r="J2943" s="107"/>
      <c r="K2943" s="107"/>
      <c r="L2943" s="13"/>
    </row>
    <row r="2944" ht="15.75" customHeight="1">
      <c r="A2944" s="13"/>
      <c r="B2944" s="13"/>
      <c r="C2944" s="13"/>
      <c r="D2944" s="13"/>
      <c r="E2944" s="13"/>
      <c r="F2944" s="227"/>
      <c r="G2944" s="13"/>
      <c r="H2944" s="107"/>
      <c r="I2944" s="13"/>
      <c r="J2944" s="107"/>
      <c r="K2944" s="107"/>
      <c r="L2944" s="13"/>
    </row>
    <row r="2945" ht="15.75" customHeight="1">
      <c r="A2945" s="13"/>
      <c r="B2945" s="13"/>
      <c r="C2945" s="13"/>
      <c r="D2945" s="13"/>
      <c r="E2945" s="13"/>
      <c r="F2945" s="227"/>
      <c r="G2945" s="13"/>
      <c r="H2945" s="107"/>
      <c r="I2945" s="13"/>
      <c r="J2945" s="107"/>
      <c r="K2945" s="107"/>
      <c r="L2945" s="13"/>
    </row>
    <row r="2946" ht="15.75" customHeight="1">
      <c r="A2946" s="13"/>
      <c r="B2946" s="13"/>
      <c r="C2946" s="13"/>
      <c r="D2946" s="13"/>
      <c r="E2946" s="13"/>
      <c r="F2946" s="227"/>
      <c r="G2946" s="13"/>
      <c r="H2946" s="107"/>
      <c r="I2946" s="13"/>
      <c r="J2946" s="107"/>
      <c r="K2946" s="107"/>
      <c r="L2946" s="13"/>
    </row>
    <row r="2947" ht="15.75" customHeight="1">
      <c r="A2947" s="13"/>
      <c r="B2947" s="13"/>
      <c r="C2947" s="13"/>
      <c r="D2947" s="13"/>
      <c r="E2947" s="13"/>
      <c r="F2947" s="227"/>
      <c r="G2947" s="13"/>
      <c r="H2947" s="107"/>
      <c r="I2947" s="13"/>
      <c r="J2947" s="107"/>
      <c r="K2947" s="107"/>
      <c r="L2947" s="13"/>
    </row>
    <row r="2948" ht="15.75" customHeight="1">
      <c r="A2948" s="13"/>
      <c r="B2948" s="13"/>
      <c r="C2948" s="13"/>
      <c r="D2948" s="13"/>
      <c r="E2948" s="13"/>
      <c r="F2948" s="227"/>
      <c r="G2948" s="13"/>
      <c r="H2948" s="107"/>
      <c r="I2948" s="13"/>
      <c r="J2948" s="107"/>
      <c r="K2948" s="107"/>
      <c r="L2948" s="13"/>
    </row>
    <row r="2949" ht="15.75" customHeight="1">
      <c r="A2949" s="13"/>
      <c r="B2949" s="13"/>
      <c r="C2949" s="13"/>
      <c r="D2949" s="13"/>
      <c r="E2949" s="13"/>
      <c r="F2949" s="227"/>
      <c r="G2949" s="13"/>
      <c r="H2949" s="107"/>
      <c r="I2949" s="13"/>
      <c r="J2949" s="107"/>
      <c r="K2949" s="107"/>
      <c r="L2949" s="13"/>
    </row>
    <row r="2950" ht="15.75" customHeight="1">
      <c r="A2950" s="13"/>
      <c r="B2950" s="13"/>
      <c r="C2950" s="13"/>
      <c r="D2950" s="13"/>
      <c r="E2950" s="13"/>
      <c r="F2950" s="227"/>
      <c r="G2950" s="13"/>
      <c r="H2950" s="107"/>
      <c r="I2950" s="13"/>
      <c r="J2950" s="107"/>
      <c r="K2950" s="107"/>
      <c r="L2950" s="13"/>
    </row>
    <row r="2951" ht="15.75" customHeight="1">
      <c r="A2951" s="13"/>
      <c r="B2951" s="13"/>
      <c r="C2951" s="13"/>
      <c r="D2951" s="13"/>
      <c r="E2951" s="13"/>
      <c r="F2951" s="227"/>
      <c r="G2951" s="13"/>
      <c r="H2951" s="107"/>
      <c r="I2951" s="13"/>
      <c r="J2951" s="107"/>
      <c r="K2951" s="107"/>
      <c r="L2951" s="13"/>
    </row>
    <row r="2952" ht="15.75" customHeight="1">
      <c r="A2952" s="13"/>
      <c r="B2952" s="13"/>
      <c r="C2952" s="13"/>
      <c r="D2952" s="13"/>
      <c r="E2952" s="13"/>
      <c r="F2952" s="227"/>
      <c r="G2952" s="13"/>
      <c r="H2952" s="107"/>
      <c r="I2952" s="13"/>
      <c r="J2952" s="107"/>
      <c r="K2952" s="107"/>
      <c r="L2952" s="13"/>
    </row>
    <row r="2953" ht="15.75" customHeight="1">
      <c r="A2953" s="13"/>
      <c r="B2953" s="13"/>
      <c r="C2953" s="13"/>
      <c r="D2953" s="13"/>
      <c r="E2953" s="13"/>
      <c r="F2953" s="227"/>
      <c r="G2953" s="13"/>
      <c r="H2953" s="107"/>
      <c r="I2953" s="13"/>
      <c r="J2953" s="107"/>
      <c r="K2953" s="107"/>
      <c r="L2953" s="13"/>
    </row>
    <row r="2954" ht="15.75" customHeight="1">
      <c r="A2954" s="13"/>
      <c r="B2954" s="13"/>
      <c r="C2954" s="13"/>
      <c r="D2954" s="13"/>
      <c r="E2954" s="13"/>
      <c r="F2954" s="227"/>
      <c r="G2954" s="13"/>
      <c r="H2954" s="107"/>
      <c r="I2954" s="13"/>
      <c r="J2954" s="107"/>
      <c r="K2954" s="107"/>
      <c r="L2954" s="13"/>
    </row>
    <row r="2955" ht="15.75" customHeight="1">
      <c r="A2955" s="13"/>
      <c r="B2955" s="13"/>
      <c r="C2955" s="13"/>
      <c r="D2955" s="13"/>
      <c r="E2955" s="13"/>
      <c r="F2955" s="227"/>
      <c r="G2955" s="13"/>
      <c r="H2955" s="107"/>
      <c r="I2955" s="13"/>
      <c r="J2955" s="107"/>
      <c r="K2955" s="107"/>
      <c r="L2955" s="13"/>
    </row>
    <row r="2956" ht="15.75" customHeight="1">
      <c r="A2956" s="13"/>
      <c r="B2956" s="13"/>
      <c r="C2956" s="13"/>
      <c r="D2956" s="13"/>
      <c r="E2956" s="13"/>
      <c r="F2956" s="227"/>
      <c r="G2956" s="13"/>
      <c r="H2956" s="107"/>
      <c r="I2956" s="13"/>
      <c r="J2956" s="107"/>
      <c r="K2956" s="107"/>
      <c r="L2956" s="13"/>
    </row>
    <row r="2957" ht="15.75" customHeight="1">
      <c r="A2957" s="13"/>
      <c r="B2957" s="13"/>
      <c r="C2957" s="13"/>
      <c r="D2957" s="13"/>
      <c r="E2957" s="13"/>
      <c r="F2957" s="227"/>
      <c r="G2957" s="13"/>
      <c r="H2957" s="107"/>
      <c r="I2957" s="13"/>
      <c r="J2957" s="107"/>
      <c r="K2957" s="107"/>
      <c r="L2957" s="13"/>
    </row>
    <row r="2958" ht="15.75" customHeight="1">
      <c r="A2958" s="13"/>
      <c r="B2958" s="13"/>
      <c r="C2958" s="13"/>
      <c r="D2958" s="13"/>
      <c r="E2958" s="13"/>
      <c r="F2958" s="227"/>
      <c r="G2958" s="13"/>
      <c r="H2958" s="107"/>
      <c r="I2958" s="13"/>
      <c r="J2958" s="107"/>
      <c r="K2958" s="107"/>
      <c r="L2958" s="13"/>
    </row>
    <row r="2959" ht="15.75" customHeight="1">
      <c r="A2959" s="13"/>
      <c r="B2959" s="13"/>
      <c r="C2959" s="13"/>
      <c r="D2959" s="13"/>
      <c r="E2959" s="13"/>
      <c r="F2959" s="227"/>
      <c r="G2959" s="13"/>
      <c r="H2959" s="107"/>
      <c r="I2959" s="13"/>
      <c r="J2959" s="107"/>
      <c r="K2959" s="107"/>
      <c r="L2959" s="13"/>
    </row>
    <row r="2960" ht="15.75" customHeight="1">
      <c r="A2960" s="13"/>
      <c r="B2960" s="13"/>
      <c r="C2960" s="13"/>
      <c r="D2960" s="13"/>
      <c r="E2960" s="13"/>
      <c r="F2960" s="227"/>
      <c r="G2960" s="13"/>
      <c r="H2960" s="107"/>
      <c r="I2960" s="13"/>
      <c r="J2960" s="107"/>
      <c r="K2960" s="107"/>
      <c r="L2960" s="13"/>
    </row>
    <row r="2961" ht="15.75" customHeight="1">
      <c r="A2961" s="13"/>
      <c r="B2961" s="13"/>
      <c r="C2961" s="13"/>
      <c r="D2961" s="13"/>
      <c r="E2961" s="13"/>
      <c r="F2961" s="227"/>
      <c r="G2961" s="13"/>
      <c r="H2961" s="107"/>
      <c r="I2961" s="13"/>
      <c r="J2961" s="107"/>
      <c r="K2961" s="107"/>
      <c r="L2961" s="13"/>
    </row>
    <row r="2962" ht="15.75" customHeight="1">
      <c r="A2962" s="13"/>
      <c r="B2962" s="13"/>
      <c r="C2962" s="13"/>
      <c r="D2962" s="13"/>
      <c r="E2962" s="13"/>
      <c r="F2962" s="227"/>
      <c r="G2962" s="13"/>
      <c r="H2962" s="107"/>
      <c r="I2962" s="13"/>
      <c r="J2962" s="107"/>
      <c r="K2962" s="107"/>
      <c r="L2962" s="13"/>
    </row>
    <row r="2963" ht="15.75" customHeight="1">
      <c r="A2963" s="13"/>
      <c r="B2963" s="13"/>
      <c r="C2963" s="13"/>
      <c r="D2963" s="13"/>
      <c r="E2963" s="13"/>
      <c r="F2963" s="227"/>
      <c r="G2963" s="13"/>
      <c r="H2963" s="107"/>
      <c r="I2963" s="13"/>
      <c r="J2963" s="107"/>
      <c r="K2963" s="107"/>
      <c r="L2963" s="13"/>
    </row>
    <row r="2964" ht="15.75" customHeight="1">
      <c r="A2964" s="13"/>
      <c r="B2964" s="13"/>
      <c r="C2964" s="13"/>
      <c r="D2964" s="13"/>
      <c r="E2964" s="13"/>
      <c r="F2964" s="227"/>
      <c r="G2964" s="13"/>
      <c r="H2964" s="107"/>
      <c r="I2964" s="13"/>
      <c r="J2964" s="107"/>
      <c r="K2964" s="107"/>
      <c r="L2964" s="13"/>
    </row>
    <row r="2965" ht="15.75" customHeight="1">
      <c r="A2965" s="13"/>
      <c r="B2965" s="13"/>
      <c r="C2965" s="13"/>
      <c r="D2965" s="13"/>
      <c r="E2965" s="13"/>
      <c r="F2965" s="227"/>
      <c r="G2965" s="13"/>
      <c r="H2965" s="107"/>
      <c r="I2965" s="13"/>
      <c r="J2965" s="107"/>
      <c r="K2965" s="107"/>
      <c r="L2965" s="13"/>
    </row>
    <row r="2966" ht="15.75" customHeight="1">
      <c r="A2966" s="13"/>
      <c r="B2966" s="13"/>
      <c r="C2966" s="13"/>
      <c r="D2966" s="13"/>
      <c r="E2966" s="13"/>
      <c r="F2966" s="227"/>
      <c r="G2966" s="13"/>
      <c r="H2966" s="107"/>
      <c r="I2966" s="13"/>
      <c r="J2966" s="107"/>
      <c r="K2966" s="107"/>
      <c r="L2966" s="13"/>
    </row>
    <row r="2967" ht="15.75" customHeight="1">
      <c r="A2967" s="13"/>
      <c r="B2967" s="13"/>
      <c r="C2967" s="13"/>
      <c r="D2967" s="13"/>
      <c r="E2967" s="13"/>
      <c r="F2967" s="227"/>
      <c r="G2967" s="13"/>
      <c r="H2967" s="107"/>
      <c r="I2967" s="13"/>
      <c r="J2967" s="107"/>
      <c r="K2967" s="107"/>
      <c r="L2967" s="13"/>
    </row>
    <row r="2968" ht="15.75" customHeight="1">
      <c r="A2968" s="13"/>
      <c r="B2968" s="13"/>
      <c r="C2968" s="13"/>
      <c r="D2968" s="13"/>
      <c r="E2968" s="13"/>
      <c r="F2968" s="227"/>
      <c r="G2968" s="13"/>
      <c r="H2968" s="107"/>
      <c r="I2968" s="13"/>
      <c r="J2968" s="107"/>
      <c r="K2968" s="107"/>
      <c r="L2968" s="13"/>
    </row>
    <row r="2969" ht="15.75" customHeight="1">
      <c r="A2969" s="13"/>
      <c r="B2969" s="13"/>
      <c r="C2969" s="13"/>
      <c r="D2969" s="13"/>
      <c r="E2969" s="13"/>
      <c r="F2969" s="227"/>
      <c r="G2969" s="13"/>
      <c r="H2969" s="107"/>
      <c r="I2969" s="13"/>
      <c r="J2969" s="107"/>
      <c r="K2969" s="107"/>
      <c r="L2969" s="13"/>
    </row>
    <row r="2970" ht="15.75" customHeight="1">
      <c r="A2970" s="13"/>
      <c r="B2970" s="13"/>
      <c r="C2970" s="13"/>
      <c r="D2970" s="13"/>
      <c r="E2970" s="13"/>
      <c r="F2970" s="227"/>
      <c r="G2970" s="13"/>
      <c r="H2970" s="107"/>
      <c r="I2970" s="13"/>
      <c r="J2970" s="107"/>
      <c r="K2970" s="107"/>
      <c r="L2970" s="13"/>
    </row>
    <row r="2971" ht="15.75" customHeight="1">
      <c r="A2971" s="13"/>
      <c r="B2971" s="13"/>
      <c r="C2971" s="13"/>
      <c r="D2971" s="13"/>
      <c r="E2971" s="13"/>
      <c r="F2971" s="227"/>
      <c r="G2971" s="13"/>
      <c r="H2971" s="107"/>
      <c r="I2971" s="13"/>
      <c r="J2971" s="107"/>
      <c r="K2971" s="107"/>
      <c r="L2971" s="13"/>
    </row>
    <row r="2972" ht="15.75" customHeight="1">
      <c r="A2972" s="13"/>
      <c r="B2972" s="13"/>
      <c r="C2972" s="13"/>
      <c r="D2972" s="13"/>
      <c r="E2972" s="13"/>
      <c r="F2972" s="227"/>
      <c r="G2972" s="13"/>
      <c r="H2972" s="107"/>
      <c r="I2972" s="13"/>
      <c r="J2972" s="107"/>
      <c r="K2972" s="107"/>
      <c r="L2972" s="13"/>
    </row>
    <row r="2973" ht="15.75" customHeight="1">
      <c r="A2973" s="13"/>
      <c r="B2973" s="13"/>
      <c r="C2973" s="13"/>
      <c r="D2973" s="13"/>
      <c r="E2973" s="13"/>
      <c r="F2973" s="227"/>
      <c r="G2973" s="13"/>
      <c r="H2973" s="107"/>
      <c r="I2973" s="13"/>
      <c r="J2973" s="107"/>
      <c r="K2973" s="107"/>
      <c r="L2973" s="13"/>
    </row>
    <row r="2974" ht="15.75" customHeight="1">
      <c r="A2974" s="13"/>
      <c r="B2974" s="13"/>
      <c r="C2974" s="13"/>
      <c r="D2974" s="13"/>
      <c r="E2974" s="13"/>
      <c r="F2974" s="227"/>
      <c r="G2974" s="13"/>
      <c r="H2974" s="107"/>
      <c r="I2974" s="13"/>
      <c r="J2974" s="107"/>
      <c r="K2974" s="107"/>
      <c r="L2974" s="13"/>
    </row>
    <row r="2975" ht="15.75" customHeight="1">
      <c r="A2975" s="13"/>
      <c r="B2975" s="13"/>
      <c r="C2975" s="13"/>
      <c r="D2975" s="13"/>
      <c r="E2975" s="13"/>
      <c r="F2975" s="227"/>
      <c r="G2975" s="13"/>
      <c r="H2975" s="107"/>
      <c r="I2975" s="13"/>
      <c r="J2975" s="107"/>
      <c r="K2975" s="107"/>
      <c r="L2975" s="13"/>
    </row>
    <row r="2976" ht="15.75" customHeight="1">
      <c r="A2976" s="13"/>
      <c r="B2976" s="13"/>
      <c r="C2976" s="13"/>
      <c r="D2976" s="13"/>
      <c r="E2976" s="13"/>
      <c r="F2976" s="227"/>
      <c r="G2976" s="13"/>
      <c r="H2976" s="107"/>
      <c r="I2976" s="13"/>
      <c r="J2976" s="107"/>
      <c r="K2976" s="107"/>
      <c r="L2976" s="13"/>
    </row>
    <row r="2977" ht="15.75" customHeight="1">
      <c r="A2977" s="13"/>
      <c r="B2977" s="13"/>
      <c r="C2977" s="13"/>
      <c r="D2977" s="13"/>
      <c r="E2977" s="13"/>
      <c r="F2977" s="227"/>
      <c r="G2977" s="13"/>
      <c r="H2977" s="107"/>
      <c r="I2977" s="13"/>
      <c r="J2977" s="107"/>
      <c r="K2977" s="107"/>
      <c r="L2977" s="13"/>
    </row>
    <row r="2978" ht="15.75" customHeight="1">
      <c r="A2978" s="13"/>
      <c r="B2978" s="13"/>
      <c r="C2978" s="13"/>
      <c r="D2978" s="13"/>
      <c r="E2978" s="13"/>
      <c r="F2978" s="227"/>
      <c r="G2978" s="13"/>
      <c r="H2978" s="107"/>
      <c r="I2978" s="13"/>
      <c r="J2978" s="107"/>
      <c r="K2978" s="107"/>
      <c r="L2978" s="13"/>
    </row>
    <row r="2979" ht="15.75" customHeight="1">
      <c r="A2979" s="13"/>
      <c r="B2979" s="13"/>
      <c r="C2979" s="13"/>
      <c r="D2979" s="13"/>
      <c r="E2979" s="13"/>
      <c r="F2979" s="227"/>
      <c r="G2979" s="13"/>
      <c r="H2979" s="107"/>
      <c r="I2979" s="13"/>
      <c r="J2979" s="107"/>
      <c r="K2979" s="107"/>
      <c r="L2979" s="13"/>
    </row>
    <row r="2980" ht="15.75" customHeight="1">
      <c r="A2980" s="13"/>
      <c r="B2980" s="13"/>
      <c r="C2980" s="13"/>
      <c r="D2980" s="13"/>
      <c r="E2980" s="13"/>
      <c r="F2980" s="227"/>
      <c r="G2980" s="13"/>
      <c r="H2980" s="107"/>
      <c r="I2980" s="13"/>
      <c r="J2980" s="107"/>
      <c r="K2980" s="107"/>
      <c r="L2980" s="13"/>
    </row>
    <row r="2981" ht="15.75" customHeight="1">
      <c r="A2981" s="13"/>
      <c r="B2981" s="13"/>
      <c r="C2981" s="13"/>
      <c r="D2981" s="13"/>
      <c r="E2981" s="13"/>
      <c r="F2981" s="227"/>
      <c r="G2981" s="13"/>
      <c r="H2981" s="107"/>
      <c r="I2981" s="13"/>
      <c r="J2981" s="107"/>
      <c r="K2981" s="107"/>
      <c r="L2981" s="13"/>
    </row>
    <row r="2982" ht="15.75" customHeight="1">
      <c r="A2982" s="13"/>
      <c r="B2982" s="13"/>
      <c r="C2982" s="13"/>
      <c r="D2982" s="13"/>
      <c r="E2982" s="13"/>
      <c r="F2982" s="227"/>
      <c r="G2982" s="13"/>
      <c r="H2982" s="107"/>
      <c r="I2982" s="13"/>
      <c r="J2982" s="107"/>
      <c r="K2982" s="107"/>
      <c r="L2982" s="13"/>
    </row>
    <row r="2983" ht="15.75" customHeight="1">
      <c r="A2983" s="13"/>
      <c r="B2983" s="13"/>
      <c r="C2983" s="13"/>
      <c r="D2983" s="13"/>
      <c r="E2983" s="13"/>
      <c r="F2983" s="227"/>
      <c r="G2983" s="13"/>
      <c r="H2983" s="107"/>
      <c r="I2983" s="13"/>
      <c r="J2983" s="107"/>
      <c r="K2983" s="107"/>
      <c r="L2983" s="13"/>
    </row>
    <row r="2984" ht="15.75" customHeight="1">
      <c r="A2984" s="13"/>
      <c r="B2984" s="13"/>
      <c r="C2984" s="13"/>
      <c r="D2984" s="13"/>
      <c r="E2984" s="13"/>
      <c r="F2984" s="227"/>
      <c r="G2984" s="13"/>
      <c r="H2984" s="107"/>
      <c r="I2984" s="13"/>
      <c r="J2984" s="107"/>
      <c r="K2984" s="107"/>
      <c r="L2984" s="13"/>
    </row>
    <row r="2985" ht="15.75" customHeight="1">
      <c r="A2985" s="13"/>
      <c r="B2985" s="13"/>
      <c r="C2985" s="13"/>
      <c r="D2985" s="13"/>
      <c r="E2985" s="13"/>
      <c r="F2985" s="227"/>
      <c r="G2985" s="13"/>
      <c r="H2985" s="107"/>
      <c r="I2985" s="13"/>
      <c r="J2985" s="107"/>
      <c r="K2985" s="107"/>
      <c r="L2985" s="13"/>
    </row>
    <row r="2986" ht="15.75" customHeight="1">
      <c r="A2986" s="13"/>
      <c r="B2986" s="13"/>
      <c r="C2986" s="13"/>
      <c r="D2986" s="13"/>
      <c r="E2986" s="13"/>
      <c r="F2986" s="227"/>
      <c r="G2986" s="13"/>
      <c r="H2986" s="107"/>
      <c r="I2986" s="13"/>
      <c r="J2986" s="107"/>
      <c r="K2986" s="107"/>
      <c r="L2986" s="13"/>
    </row>
    <row r="2987" ht="15.75" customHeight="1">
      <c r="A2987" s="13"/>
      <c r="B2987" s="13"/>
      <c r="C2987" s="13"/>
      <c r="D2987" s="13"/>
      <c r="E2987" s="13"/>
      <c r="F2987" s="227"/>
      <c r="G2987" s="13"/>
      <c r="H2987" s="107"/>
      <c r="I2987" s="13"/>
      <c r="J2987" s="107"/>
      <c r="K2987" s="107"/>
      <c r="L2987" s="13"/>
    </row>
    <row r="2988" ht="15.75" customHeight="1">
      <c r="A2988" s="13"/>
      <c r="B2988" s="13"/>
      <c r="C2988" s="13"/>
      <c r="D2988" s="13"/>
      <c r="E2988" s="13"/>
      <c r="F2988" s="227"/>
      <c r="G2988" s="13"/>
      <c r="H2988" s="107"/>
      <c r="I2988" s="13"/>
      <c r="J2988" s="107"/>
      <c r="K2988" s="107"/>
      <c r="L2988" s="13"/>
    </row>
    <row r="2989" ht="15.75" customHeight="1">
      <c r="A2989" s="13"/>
      <c r="B2989" s="13"/>
      <c r="C2989" s="13"/>
      <c r="D2989" s="13"/>
      <c r="E2989" s="13"/>
      <c r="F2989" s="227"/>
      <c r="G2989" s="13"/>
      <c r="H2989" s="107"/>
      <c r="I2989" s="13"/>
      <c r="J2989" s="107"/>
      <c r="K2989" s="107"/>
      <c r="L2989" s="13"/>
    </row>
    <row r="2990" ht="15.75" customHeight="1">
      <c r="A2990" s="13"/>
      <c r="B2990" s="13"/>
      <c r="C2990" s="13"/>
      <c r="D2990" s="13"/>
      <c r="E2990" s="13"/>
      <c r="F2990" s="227"/>
      <c r="G2990" s="13"/>
      <c r="H2990" s="107"/>
      <c r="I2990" s="13"/>
      <c r="J2990" s="107"/>
      <c r="K2990" s="107"/>
      <c r="L2990" s="13"/>
    </row>
    <row r="2991" ht="15.75" customHeight="1">
      <c r="A2991" s="13"/>
      <c r="B2991" s="13"/>
      <c r="C2991" s="13"/>
      <c r="D2991" s="13"/>
      <c r="E2991" s="13"/>
      <c r="F2991" s="227"/>
      <c r="G2991" s="13"/>
      <c r="H2991" s="107"/>
      <c r="I2991" s="13"/>
      <c r="J2991" s="107"/>
      <c r="K2991" s="107"/>
      <c r="L2991" s="13"/>
    </row>
    <row r="2992" ht="15.75" customHeight="1">
      <c r="A2992" s="13"/>
      <c r="B2992" s="13"/>
      <c r="C2992" s="13"/>
      <c r="D2992" s="13"/>
      <c r="E2992" s="13"/>
      <c r="F2992" s="227"/>
      <c r="G2992" s="13"/>
      <c r="H2992" s="107"/>
      <c r="I2992" s="13"/>
      <c r="J2992" s="107"/>
      <c r="K2992" s="107"/>
      <c r="L2992" s="13"/>
    </row>
    <row r="2993" ht="15.75" customHeight="1">
      <c r="A2993" s="13"/>
      <c r="B2993" s="13"/>
      <c r="C2993" s="13"/>
      <c r="D2993" s="13"/>
      <c r="E2993" s="13"/>
      <c r="F2993" s="227"/>
      <c r="G2993" s="13"/>
      <c r="H2993" s="107"/>
      <c r="I2993" s="13"/>
      <c r="J2993" s="107"/>
      <c r="K2993" s="107"/>
      <c r="L2993" s="13"/>
    </row>
    <row r="2994" ht="15.75" customHeight="1">
      <c r="A2994" s="13"/>
      <c r="B2994" s="13"/>
      <c r="C2994" s="13"/>
      <c r="D2994" s="13"/>
      <c r="E2994" s="13"/>
      <c r="F2994" s="227"/>
      <c r="G2994" s="13"/>
      <c r="H2994" s="107"/>
      <c r="I2994" s="13"/>
      <c r="J2994" s="107"/>
      <c r="K2994" s="107"/>
      <c r="L2994" s="13"/>
    </row>
    <row r="2995" ht="15.75" customHeight="1">
      <c r="A2995" s="13"/>
      <c r="B2995" s="13"/>
      <c r="C2995" s="13"/>
      <c r="D2995" s="13"/>
      <c r="E2995" s="13"/>
      <c r="F2995" s="227"/>
      <c r="G2995" s="13"/>
      <c r="H2995" s="107"/>
      <c r="I2995" s="13"/>
      <c r="J2995" s="107"/>
      <c r="K2995" s="107"/>
      <c r="L2995" s="13"/>
    </row>
    <row r="2996" ht="15.75" customHeight="1">
      <c r="A2996" s="13"/>
      <c r="B2996" s="13"/>
      <c r="C2996" s="13"/>
      <c r="D2996" s="13"/>
      <c r="E2996" s="13"/>
      <c r="F2996" s="227"/>
      <c r="G2996" s="13"/>
      <c r="H2996" s="107"/>
      <c r="I2996" s="13"/>
      <c r="J2996" s="107"/>
      <c r="K2996" s="107"/>
      <c r="L2996" s="13"/>
    </row>
    <row r="2997" ht="15.75" customHeight="1">
      <c r="A2997" s="13"/>
      <c r="B2997" s="13"/>
      <c r="C2997" s="13"/>
      <c r="D2997" s="13"/>
      <c r="E2997" s="13"/>
      <c r="F2997" s="227"/>
      <c r="G2997" s="13"/>
      <c r="H2997" s="107"/>
      <c r="I2997" s="13"/>
      <c r="J2997" s="107"/>
      <c r="K2997" s="107"/>
      <c r="L2997" s="13"/>
    </row>
    <row r="2998" ht="15.75" customHeight="1">
      <c r="A2998" s="13"/>
      <c r="B2998" s="13"/>
      <c r="C2998" s="13"/>
      <c r="D2998" s="13"/>
      <c r="E2998" s="13"/>
      <c r="F2998" s="227"/>
      <c r="G2998" s="13"/>
      <c r="H2998" s="107"/>
      <c r="I2998" s="13"/>
      <c r="J2998" s="107"/>
      <c r="K2998" s="107"/>
      <c r="L2998" s="13"/>
    </row>
    <row r="2999" ht="15.75" customHeight="1">
      <c r="A2999" s="13"/>
      <c r="B2999" s="13"/>
      <c r="C2999" s="13"/>
      <c r="D2999" s="13"/>
      <c r="E2999" s="13"/>
      <c r="F2999" s="227"/>
      <c r="G2999" s="13"/>
      <c r="H2999" s="107"/>
      <c r="I2999" s="13"/>
      <c r="J2999" s="107"/>
      <c r="K2999" s="107"/>
      <c r="L2999" s="13"/>
    </row>
    <row r="3000" ht="15.75" customHeight="1">
      <c r="A3000" s="13"/>
      <c r="B3000" s="13"/>
      <c r="C3000" s="13"/>
      <c r="D3000" s="13"/>
      <c r="E3000" s="13"/>
      <c r="F3000" s="227"/>
      <c r="G3000" s="13"/>
      <c r="H3000" s="107"/>
      <c r="I3000" s="13"/>
      <c r="J3000" s="107"/>
      <c r="K3000" s="107"/>
      <c r="L3000" s="13"/>
    </row>
    <row r="3001" ht="15.75" customHeight="1">
      <c r="A3001" s="13"/>
      <c r="B3001" s="13"/>
      <c r="C3001" s="13"/>
      <c r="D3001" s="13"/>
      <c r="E3001" s="13"/>
      <c r="F3001" s="227"/>
      <c r="G3001" s="13"/>
      <c r="H3001" s="107"/>
      <c r="I3001" s="13"/>
      <c r="J3001" s="107"/>
      <c r="K3001" s="107"/>
      <c r="L3001" s="13"/>
    </row>
    <row r="3002" ht="15.75" customHeight="1">
      <c r="A3002" s="13"/>
      <c r="B3002" s="13"/>
      <c r="C3002" s="13"/>
      <c r="D3002" s="13"/>
      <c r="E3002" s="13"/>
      <c r="F3002" s="227"/>
      <c r="G3002" s="13"/>
      <c r="H3002" s="107"/>
      <c r="I3002" s="13"/>
      <c r="J3002" s="107"/>
      <c r="K3002" s="107"/>
      <c r="L3002" s="13"/>
    </row>
    <row r="3003" ht="15.75" customHeight="1">
      <c r="A3003" s="13"/>
      <c r="B3003" s="13"/>
      <c r="C3003" s="13"/>
      <c r="D3003" s="13"/>
      <c r="E3003" s="13"/>
      <c r="F3003" s="227"/>
      <c r="G3003" s="13"/>
      <c r="H3003" s="107"/>
      <c r="I3003" s="13"/>
      <c r="J3003" s="107"/>
      <c r="K3003" s="107"/>
      <c r="L3003" s="13"/>
    </row>
    <row r="3004" ht="15.75" customHeight="1">
      <c r="A3004" s="13"/>
      <c r="B3004" s="13"/>
      <c r="C3004" s="13"/>
      <c r="D3004" s="13"/>
      <c r="E3004" s="13"/>
      <c r="F3004" s="227"/>
      <c r="G3004" s="13"/>
      <c r="H3004" s="107"/>
      <c r="I3004" s="13"/>
      <c r="J3004" s="107"/>
      <c r="K3004" s="107"/>
      <c r="L3004" s="13"/>
    </row>
  </sheetData>
  <mergeCells count="2">
    <mergeCell ref="A1:J1"/>
    <mergeCell ref="A2:J2"/>
  </mergeCells>
  <conditionalFormatting sqref="L4:L1134 K649:K653">
    <cfRule type="expression" dxfId="4" priority="1">
      <formula>L4="🟢 No Evento"</formula>
    </cfRule>
  </conditionalFormatting>
  <conditionalFormatting sqref="L4:L1134 K649:K653">
    <cfRule type="expression" dxfId="5" priority="2">
      <formula>L4="✅ Finalizado"</formula>
    </cfRule>
  </conditionalFormatting>
  <conditionalFormatting sqref="L4:L1134 K649:K653">
    <cfRule type="expression" dxfId="6" priority="3">
      <formula>L4="⏳ Não entrou"</formula>
    </cfRule>
  </conditionalFormatting>
  <conditionalFormatting sqref="E4:E525">
    <cfRule type="cellIs" dxfId="7" priority="4" operator="equal">
      <formula>"SIM"</formula>
    </cfRule>
  </conditionalFormatting>
  <dataValidations>
    <dataValidation type="list" allowBlank="1" showInputMessage="1" showErrorMessage="1" prompt="Funcionário inválido - Selecione da lista de funcionários cadastrados." sqref="B4:B8 B34:B144 B156:B249 B251:B634 B638:B781 B783:B1134">
      <formula1>ListaFuncionarios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14"/>
    <col customWidth="1" min="2" max="2" width="22.0"/>
    <col customWidth="1" min="3" max="6" width="18.0"/>
    <col customWidth="1" min="7" max="7" width="20.0"/>
    <col customWidth="1" min="8" max="8" width="36.86"/>
    <col customWidth="1" min="9" max="9" width="41.43"/>
    <col customWidth="1" min="10" max="26" width="8.71"/>
  </cols>
  <sheetData>
    <row r="1" ht="37.5" customHeight="1">
      <c r="A1" s="106" t="s">
        <v>1980</v>
      </c>
      <c r="B1" s="2"/>
      <c r="C1" s="2"/>
      <c r="D1" s="2"/>
      <c r="E1" s="2"/>
      <c r="F1" s="2"/>
      <c r="G1" s="3"/>
      <c r="H1" s="110"/>
      <c r="I1" s="13"/>
    </row>
    <row r="2" ht="6.0" customHeight="1">
      <c r="A2" s="228"/>
      <c r="B2" s="2"/>
      <c r="C2" s="2"/>
      <c r="D2" s="2"/>
      <c r="E2" s="2"/>
      <c r="F2" s="2"/>
      <c r="G2" s="3"/>
      <c r="H2" s="110"/>
      <c r="I2" s="13"/>
    </row>
    <row r="3" ht="25.5" customHeight="1">
      <c r="A3" s="229" t="s">
        <v>1981</v>
      </c>
      <c r="B3" s="2"/>
      <c r="C3" s="2"/>
      <c r="D3" s="2"/>
      <c r="E3" s="2"/>
      <c r="F3" s="2"/>
      <c r="G3" s="3"/>
      <c r="H3" s="230" t="s">
        <v>1982</v>
      </c>
      <c r="I3" s="231" t="s">
        <v>1983</v>
      </c>
    </row>
    <row r="4" ht="18.0" customHeight="1">
      <c r="A4" s="110"/>
      <c r="B4" s="110"/>
      <c r="C4" s="110"/>
      <c r="D4" s="110"/>
      <c r="E4" s="110"/>
      <c r="F4" s="110"/>
      <c r="G4" s="110"/>
      <c r="H4" s="232">
        <v>46160.0</v>
      </c>
      <c r="I4" s="233" t="s">
        <v>1984</v>
      </c>
    </row>
    <row r="5" ht="18.0" customHeight="1">
      <c r="A5" s="110"/>
      <c r="B5" s="110"/>
      <c r="C5" s="110"/>
      <c r="D5" s="110"/>
      <c r="E5" s="110"/>
      <c r="F5" s="110"/>
      <c r="G5" s="110"/>
      <c r="H5" s="234" t="s">
        <v>1985</v>
      </c>
      <c r="I5" s="13"/>
    </row>
    <row r="6" ht="12.0" customHeight="1">
      <c r="A6" s="110"/>
      <c r="B6" s="110"/>
      <c r="C6" s="110"/>
      <c r="D6" s="110"/>
      <c r="E6" s="110"/>
      <c r="F6" s="110"/>
      <c r="G6" s="110"/>
      <c r="H6" s="110"/>
      <c r="I6" s="13"/>
    </row>
    <row r="7" ht="31.5" customHeight="1">
      <c r="A7" s="235" t="s">
        <v>1986</v>
      </c>
      <c r="B7" s="2"/>
      <c r="C7" s="2"/>
      <c r="D7" s="2"/>
      <c r="E7" s="2"/>
      <c r="F7" s="2"/>
      <c r="G7" s="3"/>
      <c r="H7" s="110"/>
      <c r="I7" s="13"/>
    </row>
    <row r="8" ht="25.5" customHeight="1">
      <c r="A8" s="236" t="s">
        <v>1987</v>
      </c>
      <c r="B8" s="237" t="s">
        <v>1988</v>
      </c>
      <c r="C8" s="238" t="s">
        <v>1989</v>
      </c>
      <c r="D8" s="239" t="s">
        <v>1990</v>
      </c>
      <c r="E8" s="240" t="s">
        <v>1991</v>
      </c>
      <c r="F8" s="241" t="s">
        <v>1992</v>
      </c>
      <c r="G8" s="110"/>
      <c r="H8" s="110"/>
      <c r="I8" s="13"/>
    </row>
    <row r="9" ht="48.0" customHeight="1">
      <c r="A9" s="242">
        <f>SUMPRODUCT(('⏱️ Entrada e Saída'!$B$4:$B$507&lt;&gt;"")*('⏱️ Entrada e Saída'!$H$4:$H$507&lt;&gt;"")*('⏱️ Entrada e Saída'!$J$4:$J$507="")*(IF($H$4="",1,TEXT('⏱️ Entrada e Saída'!$F$4:$F$507,"DD/MM")=TEXT($H$4,"DD/MM"))))</f>
        <v>0</v>
      </c>
      <c r="B9" s="243">
        <f>SUMPRODUCT(('⏱️ Entrada e Saída'!$B$4:$B$507&lt;&gt;"")*('⏱️ Entrada e Saída'!$H$4:$H$507&lt;&gt;"")*('⏱️ Entrada e Saída'!$J$4:$J$507&lt;&gt;"")*(IF($H$4="",1,TEXT('⏱️ Entrada e Saída'!$F$4:$F$507,"DD/MM")=TEXT($H$4,"DD/MM"))))</f>
        <v>31</v>
      </c>
      <c r="C9" s="244">
        <f>SUMPRODUCT(('⏱️ Entrada e Saída'!$B$4:$B$507&lt;&gt;"")*('⏱️ Entrada e Saída'!$H$4:$H$507="")*(IF($H$4="",1,TEXT('⏱️ Entrada e Saída'!$F$4:$F$507,"DD/MM")=TEXT($H$4,"DD/MM"))))</f>
        <v>0</v>
      </c>
      <c r="D9" s="245">
        <f>SUMPRODUCT(('⏱️ Entrada e Saída'!$B$4:$B$507&lt;&gt;"")*(IF($H$4="",1,TEXT('⏱️ Entrada e Saída'!$F$4:$F$507,"DD/MM")=TEXT($H$4,"DD/MM"))))</f>
        <v>31</v>
      </c>
      <c r="E9" s="246">
        <f>SUMPRODUCT(('⏱️ Entrada e Saída'!$E$4:$E$507="SIM")*(IF($H$4="",1,TEXT('⏱️ Entrada e Saída'!$F$4:$F$507,"DD/MM")=TEXT($H$4,"DD/MM"))))</f>
        <v>2</v>
      </c>
      <c r="F9" s="247">
        <f>COUNTA('📋 Empresas'!$B$4:$B$103)</f>
        <v>68</v>
      </c>
      <c r="G9" s="110"/>
      <c r="H9" s="110"/>
      <c r="I9" s="13"/>
    </row>
    <row r="10" ht="18.0" customHeight="1">
      <c r="A10" s="110"/>
      <c r="B10" s="110"/>
      <c r="C10" s="110"/>
      <c r="D10" s="110"/>
      <c r="E10" s="110"/>
      <c r="F10" s="110"/>
      <c r="G10" s="110"/>
      <c r="H10" s="110"/>
      <c r="I10" s="13"/>
    </row>
    <row r="11" ht="12.0" customHeight="1">
      <c r="A11" s="110"/>
      <c r="B11" s="110"/>
      <c r="C11" s="110"/>
      <c r="D11" s="110"/>
      <c r="E11" s="110"/>
      <c r="F11" s="110"/>
      <c r="G11" s="110"/>
      <c r="H11" s="110"/>
      <c r="I11" s="13"/>
    </row>
    <row r="12" ht="27.75" customHeight="1">
      <c r="A12" s="248" t="s">
        <v>1993</v>
      </c>
      <c r="B12" s="2"/>
      <c r="C12" s="2"/>
      <c r="D12" s="2"/>
      <c r="E12" s="2"/>
      <c r="F12" s="2"/>
      <c r="G12" s="3"/>
      <c r="H12" s="110"/>
      <c r="I12" s="13"/>
    </row>
    <row r="13" ht="24.0" customHeight="1">
      <c r="A13" s="239" t="s">
        <v>1994</v>
      </c>
      <c r="B13" s="110"/>
      <c r="C13" s="110"/>
      <c r="D13" s="110"/>
      <c r="E13" s="110"/>
      <c r="F13" s="110"/>
      <c r="G13" s="110"/>
      <c r="H13" s="110"/>
      <c r="I13" s="13"/>
    </row>
    <row r="14" ht="43.5" customHeight="1">
      <c r="A14" s="249">
        <f>SUMPRODUCT((IF($H$4="",1,TEXT('⏱️ Entrada e Saída'!$F$4:$F$507,"DD/MM")=TEXT($H$4,"DD/MM")))*(IF(ISNUMBER('⏱️ Entrada e Saída'!$K$4:$K$507),'⏱️ Entrada e Saída'!$K$4:$K$507,0)))</f>
        <v>11.43402778</v>
      </c>
      <c r="B14" s="110"/>
      <c r="C14" s="110"/>
      <c r="D14" s="110"/>
      <c r="E14" s="110"/>
      <c r="F14" s="110"/>
      <c r="G14" s="110"/>
      <c r="H14" s="110"/>
      <c r="I14" s="13"/>
    </row>
    <row r="15" ht="12.0" customHeight="1">
      <c r="A15" s="110"/>
      <c r="B15" s="110"/>
      <c r="C15" s="110"/>
      <c r="D15" s="110"/>
      <c r="E15" s="110"/>
      <c r="F15" s="110"/>
      <c r="G15" s="110"/>
      <c r="H15" s="110"/>
      <c r="I15" s="13"/>
    </row>
    <row r="16" ht="27.75" customHeight="1">
      <c r="A16" s="248" t="s">
        <v>1995</v>
      </c>
      <c r="B16" s="2"/>
      <c r="C16" s="2"/>
      <c r="D16" s="2"/>
      <c r="E16" s="2"/>
      <c r="F16" s="2"/>
      <c r="G16" s="3"/>
      <c r="H16" s="110"/>
      <c r="I16" s="13"/>
    </row>
    <row r="17" ht="27.75" customHeight="1">
      <c r="A17" s="250" t="s">
        <v>2</v>
      </c>
      <c r="B17" s="250" t="s">
        <v>1996</v>
      </c>
      <c r="C17" s="236" t="s">
        <v>1997</v>
      </c>
      <c r="D17" s="237" t="s">
        <v>1998</v>
      </c>
      <c r="E17" s="238" t="s">
        <v>1999</v>
      </c>
      <c r="F17" s="240" t="s">
        <v>2000</v>
      </c>
      <c r="G17" s="251" t="s">
        <v>2001</v>
      </c>
      <c r="H17" s="110"/>
      <c r="I17" s="13"/>
    </row>
    <row r="18" ht="21.75" customHeight="1">
      <c r="A18" s="252" t="str">
        <f>'📋 Empresas'!B4</f>
        <v>PONCIANO SOLUÇÕES </v>
      </c>
      <c r="B18" s="253">
        <f>IF(OR(A18="",A18=0),"",SUMPRODUCT(('⏱️ Entrada e Saída'!$C$4:$C$507=A18)*IF($H$4="",1,TEXT('⏱️ Entrada e Saída'!$F$4:$F$507,"DD/MM")=TEXT($H$4,"DD/MM"))))</f>
        <v>1</v>
      </c>
      <c r="C18" s="254">
        <f>IF(OR(A18="",A18=0),"",SUMPRODUCT(('⏱️ Entrada e Saída'!$C$4:$C$507=A18)*('⏱️ Entrada e Saída'!$H$4:$H$507&lt;&gt;"")*('⏱️ Entrada e Saída'!$J$4:$J$507="")*IF($H$4="",1,TEXT('⏱️ Entrada e Saída'!$F$4:$F$507,"DD/MM")=TEXT($H$4,"DD/MM"))))</f>
        <v>0</v>
      </c>
      <c r="D18" s="255">
        <f>IF(OR(A18="",A18=0),"",SUMPRODUCT(('⏱️ Entrada e Saída'!$C$4:$C$507=A18)*('⏱️ Entrada e Saída'!$H$4:$H$507&lt;&gt;"")*('⏱️ Entrada e Saída'!$J$4:$J$507&lt;&gt;"")*IF($H$4="",1,TEXT('⏱️ Entrada e Saída'!$F$4:$F$507,"DD/MM")=TEXT($H$4,"DD/MM"))))</f>
        <v>1</v>
      </c>
      <c r="E18" s="256">
        <f t="shared" ref="E18:E70" si="1">IF(OR(A18="",A18=0,B18=""),"",B18-C18-D18)</f>
        <v>0</v>
      </c>
      <c r="F18" s="257">
        <f t="shared" ref="F18:F70" si="2">IF(OR(A18="",A18=0,B18=0,B18=""),"",(C18+D18)/B18)</f>
        <v>1</v>
      </c>
      <c r="G18" s="258">
        <f>IF(OR(A18="",A18=0),"",SUMPRODUCT(('⏱️ Entrada e Saída'!$C$4:$C$507=A18)*('⏱️ Entrada e Saída'!$L$4:$L$507="✅ Finalizado")*IF($H$4="",1,TEXT('⏱️ Entrada e Saída'!$F$4:$F$507,"dd/mm")=TEXT($H$4,"dd/mm"))*IFERROR(VALUE('⏱️ Entrada e Saída'!$K$4:$K$507),0)))</f>
        <v>0.4256944444</v>
      </c>
      <c r="H18" s="110"/>
      <c r="I18" s="13"/>
    </row>
    <row r="19" ht="21.75" customHeight="1">
      <c r="A19" s="259" t="str">
        <f>'📋 Empresas'!B5</f>
        <v>MONTE EVENTOS </v>
      </c>
      <c r="B19" s="260">
        <f>IF(OR(A19="",A19=0),"",SUMPRODUCT(('⏱️ Entrada e Saída'!$C$4:$C$507=A19)*IF($H$4="",1,TEXT('⏱️ Entrada e Saída'!$F$4:$F$507,"DD/MM")=TEXT($H$4,"DD/MM"))))</f>
        <v>20</v>
      </c>
      <c r="C19" s="261">
        <f>IF(OR(A19="",A19=0),"",SUMPRODUCT(('⏱️ Entrada e Saída'!$C$4:$C$507=A19)*('⏱️ Entrada e Saída'!$H$4:$H$507&lt;&gt;"")*('⏱️ Entrada e Saída'!$J$4:$J$507="")*IF($H$4="",1,TEXT('⏱️ Entrada e Saída'!$F$4:$F$507,"DD/MM")=TEXT($H$4,"DD/MM"))))</f>
        <v>0</v>
      </c>
      <c r="D19" s="262">
        <f>IF(OR(A19="",A19=0),"",SUMPRODUCT(('⏱️ Entrada e Saída'!$C$4:$C$507=A19)*('⏱️ Entrada e Saída'!$H$4:$H$507&lt;&gt;"")*('⏱️ Entrada e Saída'!$J$4:$J$507&lt;&gt;"")*IF($H$4="",1,TEXT('⏱️ Entrada e Saída'!$F$4:$F$507,"DD/MM")=TEXT($H$4,"DD/MM"))))</f>
        <v>20</v>
      </c>
      <c r="E19" s="263">
        <f t="shared" si="1"/>
        <v>0</v>
      </c>
      <c r="F19" s="264">
        <f t="shared" si="2"/>
        <v>1</v>
      </c>
      <c r="G19" s="258">
        <f>IF(OR(A19="",A19=0),"",SUMPRODUCT(('⏱️ Entrada e Saída'!$C$4:$C$507=A19)*('⏱️ Entrada e Saída'!$L$4:$L$507="✅ Finalizado")*IF($H$4="",1,TEXT('⏱️ Entrada e Saída'!$F$4:$F$507,"dd/mm")=TEXT($H$4,"dd/mm"))*IFERROR(VALUE('⏱️ Entrada e Saída'!$K$4:$K$507),0)))</f>
        <v>7.604166667</v>
      </c>
      <c r="H19" s="110"/>
      <c r="I19" s="13"/>
    </row>
    <row r="20" ht="21.75" customHeight="1">
      <c r="A20" s="252" t="str">
        <f>'📋 Empresas'!B6</f>
        <v>UP MUSIC </v>
      </c>
      <c r="B20" s="253">
        <f>IF(OR(A20="",A20=0),"",SUMPRODUCT(('⏱️ Entrada e Saída'!$C$4:$C$507=A20)*IF($H$4="",1,TEXT('⏱️ Entrada e Saída'!$F$4:$F$507,"DD/MM")=TEXT($H$4,"DD/MM"))))</f>
        <v>0</v>
      </c>
      <c r="C20" s="254">
        <f>IF(OR(A20="",A20=0),"",SUMPRODUCT(('⏱️ Entrada e Saída'!$C$4:$C$507=A20)*('⏱️ Entrada e Saída'!$H$4:$H$507&lt;&gt;"")*('⏱️ Entrada e Saída'!$J$4:$J$507="")*IF($H$4="",1,TEXT('⏱️ Entrada e Saída'!$F$4:$F$507,"DD/MM")=TEXT($H$4,"DD/MM"))))</f>
        <v>0</v>
      </c>
      <c r="D20" s="255">
        <f>IF(OR(A20="",A20=0),"",SUMPRODUCT(('⏱️ Entrada e Saída'!$C$4:$C$507=A20)*('⏱️ Entrada e Saída'!$H$4:$H$507&lt;&gt;"")*('⏱️ Entrada e Saída'!$J$4:$J$507&lt;&gt;"")*IF($H$4="",1,TEXT('⏱️ Entrada e Saída'!$F$4:$F$507,"DD/MM")=TEXT($H$4,"DD/MM"))))</f>
        <v>0</v>
      </c>
      <c r="E20" s="256">
        <f t="shared" si="1"/>
        <v>0</v>
      </c>
      <c r="F20" s="257" t="str">
        <f t="shared" si="2"/>
        <v/>
      </c>
      <c r="G20" s="258">
        <f>IF(OR(A20="",A20=0),"",SUMPRODUCT(('⏱️ Entrada e Saída'!$C$4:$C$507=A20)*('⏱️ Entrada e Saída'!$L$4:$L$507="✅ Finalizado")*IF($H$4="",1,TEXT('⏱️ Entrada e Saída'!$F$4:$F$507,"dd/mm")=TEXT($H$4,"dd/mm"))*IFERROR(VALUE('⏱️ Entrada e Saída'!$K$4:$K$507),0)))</f>
        <v>0</v>
      </c>
      <c r="H20" s="110"/>
      <c r="I20" s="13"/>
    </row>
    <row r="21" ht="21.75" customHeight="1">
      <c r="A21" s="259" t="str">
        <f>'📋 Empresas'!B7</f>
        <v>TJ SERVIÇOS</v>
      </c>
      <c r="B21" s="260">
        <f>IF(OR(A21="",A21=0),"",SUMPRODUCT(('⏱️ Entrada e Saída'!$C$4:$C$507=A21)*IF($H$4="",1,TEXT('⏱️ Entrada e Saída'!$F$4:$F$507,"DD/MM")=TEXT($H$4,"DD/MM"))))</f>
        <v>3</v>
      </c>
      <c r="C21" s="261">
        <f>IF(OR(A21="",A21=0),"",SUMPRODUCT(('⏱️ Entrada e Saída'!$C$4:$C$507=A21)*('⏱️ Entrada e Saída'!$H$4:$H$507&lt;&gt;"")*('⏱️ Entrada e Saída'!$J$4:$J$507="")*IF($H$4="",1,TEXT('⏱️ Entrada e Saída'!$F$4:$F$507,"DD/MM")=TEXT($H$4,"DD/MM"))))</f>
        <v>0</v>
      </c>
      <c r="D21" s="262">
        <f>IF(OR(A21="",A21=0),"",SUMPRODUCT(('⏱️ Entrada e Saída'!$C$4:$C$507=A21)*('⏱️ Entrada e Saída'!$H$4:$H$507&lt;&gt;"")*('⏱️ Entrada e Saída'!$J$4:$J$507&lt;&gt;"")*IF($H$4="",1,TEXT('⏱️ Entrada e Saída'!$F$4:$F$507,"DD/MM")=TEXT($H$4,"DD/MM"))))</f>
        <v>3</v>
      </c>
      <c r="E21" s="263">
        <f t="shared" si="1"/>
        <v>0</v>
      </c>
      <c r="F21" s="264">
        <f t="shared" si="2"/>
        <v>1</v>
      </c>
      <c r="G21" s="258">
        <f>IF(OR(A21="",A21=0),"",SUMPRODUCT(('⏱️ Entrada e Saída'!$C$4:$C$507=A21)*('⏱️ Entrada e Saída'!$L$4:$L$507="✅ Finalizado")*IF($H$4="",1,TEXT('⏱️ Entrada e Saída'!$F$4:$F$507,"dd/mm")=TEXT($H$4,"dd/mm"))*IFERROR(VALUE('⏱️ Entrada e Saída'!$K$4:$K$507),0)))</f>
        <v>1.129861111</v>
      </c>
      <c r="H21" s="110"/>
      <c r="I21" s="13"/>
    </row>
    <row r="22" ht="21.75" customHeight="1">
      <c r="A22" s="252" t="str">
        <f>'📋 Empresas'!B8</f>
        <v>FLASH MED</v>
      </c>
      <c r="B22" s="253">
        <f>IF(OR(A22="",A22=0),"",SUMPRODUCT(('⏱️ Entrada e Saída'!$C$4:$C$507=A22)*IF($H$4="",1,TEXT('⏱️ Entrada e Saída'!$F$4:$F$507,"DD/MM")=TEXT($H$4,"DD/MM"))))</f>
        <v>2</v>
      </c>
      <c r="C22" s="254">
        <f>IF(OR(A22="",A22=0),"",SUMPRODUCT(('⏱️ Entrada e Saída'!$C$4:$C$507=A22)*('⏱️ Entrada e Saída'!$H$4:$H$507&lt;&gt;"")*('⏱️ Entrada e Saída'!$J$4:$J$507="")*IF($H$4="",1,TEXT('⏱️ Entrada e Saída'!$F$4:$F$507,"DD/MM")=TEXT($H$4,"DD/MM"))))</f>
        <v>0</v>
      </c>
      <c r="D22" s="255">
        <f>IF(OR(A22="",A22=0),"",SUMPRODUCT(('⏱️ Entrada e Saída'!$C$4:$C$507=A22)*('⏱️ Entrada e Saída'!$H$4:$H$507&lt;&gt;"")*('⏱️ Entrada e Saída'!$J$4:$J$507&lt;&gt;"")*IF($H$4="",1,TEXT('⏱️ Entrada e Saída'!$F$4:$F$507,"DD/MM")=TEXT($H$4,"DD/MM"))))</f>
        <v>2</v>
      </c>
      <c r="E22" s="256">
        <f t="shared" si="1"/>
        <v>0</v>
      </c>
      <c r="F22" s="257">
        <f t="shared" si="2"/>
        <v>1</v>
      </c>
      <c r="G22" s="258">
        <f>IF(OR(A22="",A22=0),"",SUMPRODUCT(('⏱️ Entrada e Saída'!$C$4:$C$507=A22)*('⏱️ Entrada e Saída'!$L$4:$L$507="✅ Finalizado")*IF($H$4="",1,TEXT('⏱️ Entrada e Saída'!$F$4:$F$507,"dd/mm")=TEXT($H$4,"dd/mm"))*IFERROR(VALUE('⏱️ Entrada e Saída'!$K$4:$K$507),0)))</f>
        <v>0.7763888889</v>
      </c>
      <c r="H22" s="110"/>
      <c r="I22" s="13"/>
    </row>
    <row r="23" ht="21.75" customHeight="1">
      <c r="A23" s="259" t="str">
        <f>'📋 Empresas'!B9</f>
        <v>YES </v>
      </c>
      <c r="B23" s="260">
        <f>IF(OR(A23="",A23=0),"",SUMPRODUCT(('⏱️ Entrada e Saída'!$C$4:$C$507=A23)*IF($H$4="",1,TEXT('⏱️ Entrada e Saída'!$F$4:$F$507,"DD/MM")=TEXT($H$4,"DD/MM"))))</f>
        <v>1</v>
      </c>
      <c r="C23" s="261">
        <f>IF(OR(A23="",A23=0),"",SUMPRODUCT(('⏱️ Entrada e Saída'!$C$4:$C$507=A23)*('⏱️ Entrada e Saída'!$H$4:$H$507&lt;&gt;"")*('⏱️ Entrada e Saída'!$J$4:$J$507="")*IF($H$4="",1,TEXT('⏱️ Entrada e Saída'!$F$4:$F$507,"DD/MM")=TEXT($H$4,"DD/MM"))))</f>
        <v>0</v>
      </c>
      <c r="D23" s="262">
        <f>IF(OR(A23="",A23=0),"",SUMPRODUCT(('⏱️ Entrada e Saída'!$C$4:$C$507=A23)*('⏱️ Entrada e Saída'!$H$4:$H$507&lt;&gt;"")*('⏱️ Entrada e Saída'!$J$4:$J$507&lt;&gt;"")*IF($H$4="",1,TEXT('⏱️ Entrada e Saída'!$F$4:$F$507,"DD/MM")=TEXT($H$4,"DD/MM"))))</f>
        <v>1</v>
      </c>
      <c r="E23" s="263">
        <f t="shared" si="1"/>
        <v>0</v>
      </c>
      <c r="F23" s="264">
        <f t="shared" si="2"/>
        <v>1</v>
      </c>
      <c r="G23" s="258">
        <f>IF(OR(A23="",A23=0),"",SUMPRODUCT(('⏱️ Entrada e Saída'!$C$4:$C$507=A23)*('⏱️ Entrada e Saída'!$L$4:$L$507="✅ Finalizado")*IF($H$4="",1,TEXT('⏱️ Entrada e Saída'!$F$4:$F$507,"dd/mm")=TEXT($H$4,"dd/mm"))*IFERROR(VALUE('⏱️ Entrada e Saída'!$K$4:$K$507),0)))</f>
        <v>0.2652777778</v>
      </c>
      <c r="H23" s="110"/>
      <c r="I23" s="13"/>
    </row>
    <row r="24" ht="21.75" customHeight="1">
      <c r="A24" s="252" t="str">
        <f>'📋 Empresas'!B10</f>
        <v>BIGODE </v>
      </c>
      <c r="B24" s="253">
        <f>IF(OR(A24="",A24=0),"",SUMPRODUCT(('⏱️ Entrada e Saída'!$C$4:$C$507=A24)*IF($H$4="",1,TEXT('⏱️ Entrada e Saída'!$F$4:$F$507,"DD/MM")=TEXT($H$4,"DD/MM"))))</f>
        <v>2</v>
      </c>
      <c r="C24" s="254">
        <f>IF(OR(A24="",A24=0),"",SUMPRODUCT(('⏱️ Entrada e Saída'!$C$4:$C$507=A24)*('⏱️ Entrada e Saída'!$H$4:$H$507&lt;&gt;"")*('⏱️ Entrada e Saída'!$J$4:$J$507="")*IF($H$4="",1,TEXT('⏱️ Entrada e Saída'!$F$4:$F$507,"DD/MM")=TEXT($H$4,"DD/MM"))))</f>
        <v>0</v>
      </c>
      <c r="D24" s="255">
        <f>IF(OR(A24="",A24=0),"",SUMPRODUCT(('⏱️ Entrada e Saída'!$C$4:$C$507=A24)*('⏱️ Entrada e Saída'!$H$4:$H$507&lt;&gt;"")*('⏱️ Entrada e Saída'!$J$4:$J$507&lt;&gt;"")*IF($H$4="",1,TEXT('⏱️ Entrada e Saída'!$F$4:$F$507,"DD/MM")=TEXT($H$4,"DD/MM"))))</f>
        <v>2</v>
      </c>
      <c r="E24" s="256">
        <f t="shared" si="1"/>
        <v>0</v>
      </c>
      <c r="F24" s="257">
        <f t="shared" si="2"/>
        <v>1</v>
      </c>
      <c r="G24" s="258">
        <f>IF(OR(A24="",A24=0),"",SUMPRODUCT(('⏱️ Entrada e Saída'!$C$4:$C$507=A24)*('⏱️ Entrada e Saída'!$L$4:$L$507="✅ Finalizado")*IF($H$4="",1,TEXT('⏱️ Entrada e Saída'!$F$4:$F$507,"dd/mm")=TEXT($H$4,"dd/mm"))*IFERROR(VALUE('⏱️ Entrada e Saída'!$K$4:$K$507),0)))</f>
        <v>0.575</v>
      </c>
      <c r="H24" s="110"/>
      <c r="I24" s="13"/>
    </row>
    <row r="25" ht="21.75" customHeight="1">
      <c r="A25" s="259" t="str">
        <f>'📋 Empresas'!B11</f>
        <v>NLEDS LOCAÇÃO - PAINEIS DE LED </v>
      </c>
      <c r="B25" s="260">
        <f>IF(OR(A25="",A25=0),"",SUMPRODUCT(('⏱️ Entrada e Saída'!$C$4:$C$507=A25)*IF($H$4="",1,TEXT('⏱️ Entrada e Saída'!$F$4:$F$507,"DD/MM")=TEXT($H$4,"DD/MM"))))</f>
        <v>0</v>
      </c>
      <c r="C25" s="261">
        <f>IF(OR(A25="",A25=0),"",SUMPRODUCT(('⏱️ Entrada e Saída'!$C$4:$C$507=A25)*('⏱️ Entrada e Saída'!$H$4:$H$507&lt;&gt;"")*('⏱️ Entrada e Saída'!$J$4:$J$507="")*IF($H$4="",1,TEXT('⏱️ Entrada e Saída'!$F$4:$F$507,"DD/MM")=TEXT($H$4,"DD/MM"))))</f>
        <v>0</v>
      </c>
      <c r="D25" s="262">
        <f>IF(OR(A25="",A25=0),"",SUMPRODUCT(('⏱️ Entrada e Saída'!$C$4:$C$507=A25)*('⏱️ Entrada e Saída'!$H$4:$H$507&lt;&gt;"")*('⏱️ Entrada e Saída'!$J$4:$J$507&lt;&gt;"")*IF($H$4="",1,TEXT('⏱️ Entrada e Saída'!$F$4:$F$507,"DD/MM")=TEXT($H$4,"DD/MM"))))</f>
        <v>0</v>
      </c>
      <c r="E25" s="263">
        <f t="shared" si="1"/>
        <v>0</v>
      </c>
      <c r="F25" s="264" t="str">
        <f t="shared" si="2"/>
        <v/>
      </c>
      <c r="G25" s="258">
        <f>IF(OR(A25="",A25=0),"",SUMPRODUCT(('⏱️ Entrada e Saída'!$C$4:$C$507=A25)*('⏱️ Entrada e Saída'!$L$4:$L$507="✅ Finalizado")*IF($H$4="",1,TEXT('⏱️ Entrada e Saída'!$F$4:$F$507,"dd/mm")=TEXT($H$4,"dd/mm"))*IFERROR(VALUE('⏱️ Entrada e Saída'!$K$4:$K$507),0)))</f>
        <v>0</v>
      </c>
      <c r="H25" s="110"/>
      <c r="I25" s="13"/>
    </row>
    <row r="26" ht="21.75" customHeight="1">
      <c r="A26" s="252" t="str">
        <f>'📋 Empresas'!B12</f>
        <v>ASSOCIAÇÃO ASSUNÇÃO </v>
      </c>
      <c r="B26" s="253">
        <f>IF(OR(A26="",A26=0),"",SUMPRODUCT(('⏱️ Entrada e Saída'!$C$4:$C$507=A26)*IF($H$4="",1,TEXT('⏱️ Entrada e Saída'!$F$4:$F$507,"DD/MM")=TEXT($H$4,"DD/MM"))))</f>
        <v>0</v>
      </c>
      <c r="C26" s="254">
        <f>IF(OR(A26="",A26=0),"",SUMPRODUCT(('⏱️ Entrada e Saída'!$C$4:$C$507=A26)*('⏱️ Entrada e Saída'!$H$4:$H$507&lt;&gt;"")*('⏱️ Entrada e Saída'!$J$4:$J$507="")*IF($H$4="",1,TEXT('⏱️ Entrada e Saída'!$F$4:$F$507,"DD/MM")=TEXT($H$4,"DD/MM"))))</f>
        <v>0</v>
      </c>
      <c r="D26" s="255">
        <f>IF(OR(A26="",A26=0),"",SUMPRODUCT(('⏱️ Entrada e Saída'!$C$4:$C$507=A26)*('⏱️ Entrada e Saída'!$H$4:$H$507&lt;&gt;"")*('⏱️ Entrada e Saída'!$J$4:$J$507&lt;&gt;"")*IF($H$4="",1,TEXT('⏱️ Entrada e Saída'!$F$4:$F$507,"DD/MM")=TEXT($H$4,"DD/MM"))))</f>
        <v>0</v>
      </c>
      <c r="E26" s="256">
        <f t="shared" si="1"/>
        <v>0</v>
      </c>
      <c r="F26" s="257" t="str">
        <f t="shared" si="2"/>
        <v/>
      </c>
      <c r="G26" s="258">
        <f>IF(OR(A26="",A26=0),"",SUMPRODUCT(('⏱️ Entrada e Saída'!$C$4:$C$507=A26)*('⏱️ Entrada e Saída'!$L$4:$L$507="✅ Finalizado")*IF($H$4="",1,TEXT('⏱️ Entrada e Saída'!$F$4:$F$507,"dd/mm")=TEXT($H$4,"dd/mm"))*IFERROR(VALUE('⏱️ Entrada e Saída'!$K$4:$K$507),0)))</f>
        <v>0</v>
      </c>
      <c r="H26" s="110"/>
      <c r="I26" s="13"/>
    </row>
    <row r="27" ht="21.75" customHeight="1">
      <c r="A27" s="259" t="str">
        <f>'📋 Empresas'!B13</f>
        <v>FABINHO EVENTOS </v>
      </c>
      <c r="B27" s="260">
        <f>IF(OR(A27="",A27=0),"",SUMPRODUCT(('⏱️ Entrada e Saída'!$C$4:$C$507=A27)*IF($H$4="",1,TEXT('⏱️ Entrada e Saída'!$F$4:$F$507,"DD/MM")=TEXT($H$4,"DD/MM"))))</f>
        <v>0</v>
      </c>
      <c r="C27" s="261">
        <f>IF(OR(A27="",A27=0),"",SUMPRODUCT(('⏱️ Entrada e Saída'!$C$4:$C$507=A27)*('⏱️ Entrada e Saída'!$H$4:$H$507&lt;&gt;"")*('⏱️ Entrada e Saída'!$J$4:$J$507="")*IF($H$4="",1,TEXT('⏱️ Entrada e Saída'!$F$4:$F$507,"DD/MM")=TEXT($H$4,"DD/MM"))))</f>
        <v>0</v>
      </c>
      <c r="D27" s="262">
        <f>IF(OR(A27="",A27=0),"",SUMPRODUCT(('⏱️ Entrada e Saída'!$C$4:$C$507=A27)*('⏱️ Entrada e Saída'!$H$4:$H$507&lt;&gt;"")*('⏱️ Entrada e Saída'!$J$4:$J$507&lt;&gt;"")*IF($H$4="",1,TEXT('⏱️ Entrada e Saída'!$F$4:$F$507,"DD/MM")=TEXT($H$4,"DD/MM"))))</f>
        <v>0</v>
      </c>
      <c r="E27" s="263">
        <f t="shared" si="1"/>
        <v>0</v>
      </c>
      <c r="F27" s="264" t="str">
        <f t="shared" si="2"/>
        <v/>
      </c>
      <c r="G27" s="258">
        <f>IF(OR(A27="",A27=0),"",SUMPRODUCT(('⏱️ Entrada e Saída'!$C$4:$C$507=A27)*('⏱️ Entrada e Saída'!$L$4:$L$507="✅ Finalizado")*IF($H$4="",1,TEXT('⏱️ Entrada e Saída'!$F$4:$F$507,"dd/mm")=TEXT($H$4,"dd/mm"))*IFERROR(VALUE('⏱️ Entrada e Saída'!$K$4:$K$507),0)))</f>
        <v>0</v>
      </c>
      <c r="H27" s="110"/>
      <c r="I27" s="13"/>
    </row>
    <row r="28" ht="21.75" customHeight="1">
      <c r="A28" s="252" t="str">
        <f>'📋 Empresas'!B14</f>
        <v>LINQ </v>
      </c>
      <c r="B28" s="253">
        <f>IF(OR(A28="",A28=0),"",SUMPRODUCT(('⏱️ Entrada e Saída'!$C$4:$C$507=A28)*IF($H$4="",1,TEXT('⏱️ Entrada e Saída'!$F$4:$F$507,"DD/MM")=TEXT($H$4,"DD/MM"))))</f>
        <v>0</v>
      </c>
      <c r="C28" s="254">
        <f>IF(OR(A28="",A28=0),"",SUMPRODUCT(('⏱️ Entrada e Saída'!$C$4:$C$507=A28)*('⏱️ Entrada e Saída'!$H$4:$H$507&lt;&gt;"")*('⏱️ Entrada e Saída'!$J$4:$J$507="")*IF($H$4="",1,TEXT('⏱️ Entrada e Saída'!$F$4:$F$507,"DD/MM")=TEXT($H$4,"DD/MM"))))</f>
        <v>0</v>
      </c>
      <c r="D28" s="255">
        <f>IF(OR(A28="",A28=0),"",SUMPRODUCT(('⏱️ Entrada e Saída'!$C$4:$C$507=A28)*('⏱️ Entrada e Saída'!$H$4:$H$507&lt;&gt;"")*('⏱️ Entrada e Saída'!$J$4:$J$507&lt;&gt;"")*IF($H$4="",1,TEXT('⏱️ Entrada e Saída'!$F$4:$F$507,"DD/MM")=TEXT($H$4,"DD/MM"))))</f>
        <v>0</v>
      </c>
      <c r="E28" s="256">
        <f t="shared" si="1"/>
        <v>0</v>
      </c>
      <c r="F28" s="257" t="str">
        <f t="shared" si="2"/>
        <v/>
      </c>
      <c r="G28" s="258">
        <f>IF(OR(A28="",A28=0),"",SUMPRODUCT(('⏱️ Entrada e Saída'!$C$4:$C$507=A28)*('⏱️ Entrada e Saída'!$L$4:$L$507="✅ Finalizado")*IF($H$4="",1,TEXT('⏱️ Entrada e Saída'!$F$4:$F$507,"dd/mm")=TEXT($H$4,"dd/mm"))*IFERROR(VALUE('⏱️ Entrada e Saída'!$K$4:$K$507),0)))</f>
        <v>0</v>
      </c>
      <c r="H28" s="110"/>
      <c r="I28" s="13"/>
    </row>
    <row r="29" ht="21.75" customHeight="1">
      <c r="A29" s="259" t="str">
        <f>'📋 Empresas'!B15</f>
        <v>ELEMENT </v>
      </c>
      <c r="B29" s="260">
        <f>IF(OR(A29="",A29=0),"",SUMPRODUCT(('⏱️ Entrada e Saída'!$C$4:$C$507=A29)*IF($H$4="",1,TEXT('⏱️ Entrada e Saída'!$F$4:$F$507,"DD/MM")=TEXT($H$4,"DD/MM"))))</f>
        <v>0</v>
      </c>
      <c r="C29" s="261">
        <f>IF(OR(A29="",A29=0),"",SUMPRODUCT(('⏱️ Entrada e Saída'!$C$4:$C$507=A29)*('⏱️ Entrada e Saída'!$H$4:$H$507&lt;&gt;"")*('⏱️ Entrada e Saída'!$J$4:$J$507="")*IF($H$4="",1,TEXT('⏱️ Entrada e Saída'!$F$4:$F$507,"DD/MM")=TEXT($H$4,"DD/MM"))))</f>
        <v>0</v>
      </c>
      <c r="D29" s="262">
        <f>IF(OR(A29="",A29=0),"",SUMPRODUCT(('⏱️ Entrada e Saída'!$C$4:$C$507=A29)*('⏱️ Entrada e Saída'!$H$4:$H$507&lt;&gt;"")*('⏱️ Entrada e Saída'!$J$4:$J$507&lt;&gt;"")*IF($H$4="",1,TEXT('⏱️ Entrada e Saída'!$F$4:$F$507,"DD/MM")=TEXT($H$4,"DD/MM"))))</f>
        <v>0</v>
      </c>
      <c r="E29" s="263">
        <f t="shared" si="1"/>
        <v>0</v>
      </c>
      <c r="F29" s="264" t="str">
        <f t="shared" si="2"/>
        <v/>
      </c>
      <c r="G29" s="258">
        <f>IF(OR(A29="",A29=0),"",SUMPRODUCT(('⏱️ Entrada e Saída'!$C$4:$C$507=A29)*('⏱️ Entrada e Saída'!$L$4:$L$507="✅ Finalizado")*IF($H$4="",1,TEXT('⏱️ Entrada e Saída'!$F$4:$F$507,"dd/mm")=TEXT($H$4,"dd/mm"))*IFERROR(VALUE('⏱️ Entrada e Saída'!$K$4:$K$507),0)))</f>
        <v>0</v>
      </c>
      <c r="H29" s="110"/>
      <c r="I29" s="13"/>
    </row>
    <row r="30" ht="21.75" customHeight="1">
      <c r="A30" s="252" t="str">
        <f>'📋 Empresas'!B16</f>
        <v>MIX GERADORES</v>
      </c>
      <c r="B30" s="253">
        <f>IF(OR(A30="",A30=0),"",SUMPRODUCT(('⏱️ Entrada e Saída'!$C$4:$C$507=A30)*IF($H$4="",1,TEXT('⏱️ Entrada e Saída'!$F$4:$F$507,"DD/MM")=TEXT($H$4,"DD/MM"))))</f>
        <v>0</v>
      </c>
      <c r="C30" s="254">
        <f>IF(OR(A30="",A30=0),"",SUMPRODUCT(('⏱️ Entrada e Saída'!$C$4:$C$507=A30)*('⏱️ Entrada e Saída'!$H$4:$H$507&lt;&gt;"")*('⏱️ Entrada e Saída'!$J$4:$J$507="")*IF($H$4="",1,TEXT('⏱️ Entrada e Saída'!$F$4:$F$507,"DD/MM")=TEXT($H$4,"DD/MM"))))</f>
        <v>0</v>
      </c>
      <c r="D30" s="255">
        <f>IF(OR(A30="",A30=0),"",SUMPRODUCT(('⏱️ Entrada e Saída'!$C$4:$C$507=A30)*('⏱️ Entrada e Saída'!$H$4:$H$507&lt;&gt;"")*('⏱️ Entrada e Saída'!$J$4:$J$507&lt;&gt;"")*IF($H$4="",1,TEXT('⏱️ Entrada e Saída'!$F$4:$F$507,"DD/MM")=TEXT($H$4,"DD/MM"))))</f>
        <v>0</v>
      </c>
      <c r="E30" s="256">
        <f t="shared" si="1"/>
        <v>0</v>
      </c>
      <c r="F30" s="257" t="str">
        <f t="shared" si="2"/>
        <v/>
      </c>
      <c r="G30" s="258">
        <f>IF(OR(A30="",A30=0),"",SUMPRODUCT(('⏱️ Entrada e Saída'!$C$4:$C$507=A30)*('⏱️ Entrada e Saída'!$L$4:$L$507="✅ Finalizado")*IF($H$4="",1,TEXT('⏱️ Entrada e Saída'!$F$4:$F$507,"dd/mm")=TEXT($H$4,"dd/mm"))*IFERROR(VALUE('⏱️ Entrada e Saída'!$K$4:$K$507),0)))</f>
        <v>0</v>
      </c>
      <c r="H30" s="110"/>
      <c r="I30" s="13"/>
    </row>
    <row r="31" ht="21.75" customHeight="1">
      <c r="A31" s="259" t="str">
        <f>'📋 Empresas'!B17</f>
        <v>REISFORT</v>
      </c>
      <c r="B31" s="260">
        <f>IF(OR(A31="",A31=0),"",SUMPRODUCT(('⏱️ Entrada e Saída'!$C$4:$C$507=A31)*IF($H$4="",1,TEXT('⏱️ Entrada e Saída'!$F$4:$F$507,"DD/MM")=TEXT($H$4,"DD/MM"))))</f>
        <v>0</v>
      </c>
      <c r="C31" s="261">
        <f>IF(OR(A31="",A31=0),"",SUMPRODUCT(('⏱️ Entrada e Saída'!$C$4:$C$507=A31)*('⏱️ Entrada e Saída'!$H$4:$H$507&lt;&gt;"")*('⏱️ Entrada e Saída'!$J$4:$J$507="")*IF($H$4="",1,TEXT('⏱️ Entrada e Saída'!$F$4:$F$507,"DD/MM")=TEXT($H$4,"DD/MM"))))</f>
        <v>0</v>
      </c>
      <c r="D31" s="262">
        <f>IF(OR(A31="",A31=0),"",SUMPRODUCT(('⏱️ Entrada e Saída'!$C$4:$C$507=A31)*('⏱️ Entrada e Saída'!$H$4:$H$507&lt;&gt;"")*('⏱️ Entrada e Saída'!$J$4:$J$507&lt;&gt;"")*IF($H$4="",1,TEXT('⏱️ Entrada e Saída'!$F$4:$F$507,"DD/MM")=TEXT($H$4,"DD/MM"))))</f>
        <v>0</v>
      </c>
      <c r="E31" s="263">
        <f t="shared" si="1"/>
        <v>0</v>
      </c>
      <c r="F31" s="264" t="str">
        <f t="shared" si="2"/>
        <v/>
      </c>
      <c r="G31" s="258">
        <f>IF(OR(A31="",A31=0),"",SUMPRODUCT(('⏱️ Entrada e Saída'!$C$4:$C$507=A31)*('⏱️ Entrada e Saída'!$L$4:$L$507="✅ Finalizado")*IF($H$4="",1,TEXT('⏱️ Entrada e Saída'!$F$4:$F$507,"dd/mm")=TEXT($H$4,"dd/mm"))*IFERROR(VALUE('⏱️ Entrada e Saída'!$K$4:$K$507),0)))</f>
        <v>0</v>
      </c>
      <c r="H31" s="110"/>
      <c r="I31" s="13"/>
    </row>
    <row r="32" ht="21.75" customHeight="1">
      <c r="A32" s="252" t="str">
        <f>'📋 Empresas'!B18</f>
        <v>EL SHADDAI</v>
      </c>
      <c r="B32" s="253">
        <f>IF(OR(A32="",A32=0),"",SUMPRODUCT(('⏱️ Entrada e Saída'!$C$4:$C$507=A32)*IF($H$4="",1,TEXT('⏱️ Entrada e Saída'!$F$4:$F$507,"DD/MM")=TEXT($H$4,"DD/MM"))))</f>
        <v>0</v>
      </c>
      <c r="C32" s="254">
        <f>IF(OR(A32="",A32=0),"",SUMPRODUCT(('⏱️ Entrada e Saída'!$C$4:$C$507=A32)*('⏱️ Entrada e Saída'!$H$4:$H$507&lt;&gt;"")*('⏱️ Entrada e Saída'!$J$4:$J$507="")*IF($H$4="",1,TEXT('⏱️ Entrada e Saída'!$F$4:$F$507,"DD/MM")=TEXT($H$4,"DD/MM"))))</f>
        <v>0</v>
      </c>
      <c r="D32" s="255">
        <f>IF(OR(A32="",A32=0),"",SUMPRODUCT(('⏱️ Entrada e Saída'!$C$4:$C$507=A32)*('⏱️ Entrada e Saída'!$H$4:$H$507&lt;&gt;"")*('⏱️ Entrada e Saída'!$J$4:$J$507&lt;&gt;"")*IF($H$4="",1,TEXT('⏱️ Entrada e Saída'!$F$4:$F$507,"DD/MM")=TEXT($H$4,"DD/MM"))))</f>
        <v>0</v>
      </c>
      <c r="E32" s="256">
        <f t="shared" si="1"/>
        <v>0</v>
      </c>
      <c r="F32" s="257" t="str">
        <f t="shared" si="2"/>
        <v/>
      </c>
      <c r="G32" s="258">
        <f>IF(OR(A32="",A32=0),"",SUMPRODUCT(('⏱️ Entrada e Saída'!$C$4:$C$507=A32)*('⏱️ Entrada e Saída'!$L$4:$L$507="✅ Finalizado")*IF($H$4="",1,TEXT('⏱️ Entrada e Saída'!$F$4:$F$507,"dd/mm")=TEXT($H$4,"dd/mm"))*IFERROR(VALUE('⏱️ Entrada e Saída'!$K$4:$K$507),0)))</f>
        <v>0</v>
      </c>
      <c r="H32" s="110"/>
      <c r="I32" s="13"/>
    </row>
    <row r="33" ht="21.75" customHeight="1">
      <c r="A33" s="259" t="str">
        <f>'📋 Empresas'!B19</f>
        <v>GO TO </v>
      </c>
      <c r="B33" s="260">
        <f>IF(OR(A33="",A33=0),"",SUMPRODUCT(('⏱️ Entrada e Saída'!$C$4:$C$507=A33)*IF($H$4="",1,TEXT('⏱️ Entrada e Saída'!$F$4:$F$507,"DD/MM")=TEXT($H$4,"DD/MM"))))</f>
        <v>0</v>
      </c>
      <c r="C33" s="261">
        <f>IF(OR(A33="",A33=0),"",SUMPRODUCT(('⏱️ Entrada e Saída'!$C$4:$C$507=A33)*('⏱️ Entrada e Saída'!$H$4:$H$507&lt;&gt;"")*('⏱️ Entrada e Saída'!$J$4:$J$507="")*IF($H$4="",1,TEXT('⏱️ Entrada e Saída'!$F$4:$F$507,"DD/MM")=TEXT($H$4,"DD/MM"))))</f>
        <v>0</v>
      </c>
      <c r="D33" s="262">
        <f>IF(OR(A33="",A33=0),"",SUMPRODUCT(('⏱️ Entrada e Saída'!$C$4:$C$507=A33)*('⏱️ Entrada e Saída'!$H$4:$H$507&lt;&gt;"")*('⏱️ Entrada e Saída'!$J$4:$J$507&lt;&gt;"")*IF($H$4="",1,TEXT('⏱️ Entrada e Saída'!$F$4:$F$507,"DD/MM")=TEXT($H$4,"DD/MM"))))</f>
        <v>0</v>
      </c>
      <c r="E33" s="263">
        <f t="shared" si="1"/>
        <v>0</v>
      </c>
      <c r="F33" s="264" t="str">
        <f t="shared" si="2"/>
        <v/>
      </c>
      <c r="G33" s="258">
        <f>IF(OR(A33="",A33=0),"",SUMPRODUCT(('⏱️ Entrada e Saída'!$C$4:$C$507=A33)*('⏱️ Entrada e Saída'!$L$4:$L$507="✅ Finalizado")*IF($H$4="",1,TEXT('⏱️ Entrada e Saída'!$F$4:$F$507,"dd/mm")=TEXT($H$4,"dd/mm"))*IFERROR(VALUE('⏱️ Entrada e Saída'!$K$4:$K$507),0)))</f>
        <v>0</v>
      </c>
      <c r="H33" s="110"/>
      <c r="I33" s="13"/>
    </row>
    <row r="34" ht="21.75" customHeight="1">
      <c r="A34" s="252" t="str">
        <f>'📋 Empresas'!B20</f>
        <v>LINE TAPE </v>
      </c>
      <c r="B34" s="253">
        <f>IF(OR(A34="",A34=0),"",SUMPRODUCT(('⏱️ Entrada e Saída'!$C$4:$C$507=A34)*IF($H$4="",1,TEXT('⏱️ Entrada e Saída'!$F$4:$F$507,"DD/MM")=TEXT($H$4,"DD/MM"))))</f>
        <v>0</v>
      </c>
      <c r="C34" s="254">
        <f>IF(OR(A34="",A34=0),"",SUMPRODUCT(('⏱️ Entrada e Saída'!$C$4:$C$507=A34)*('⏱️ Entrada e Saída'!$H$4:$H$507&lt;&gt;"")*('⏱️ Entrada e Saída'!$J$4:$J$507="")*IF($H$4="",1,TEXT('⏱️ Entrada e Saída'!$F$4:$F$507,"DD/MM")=TEXT($H$4,"DD/MM"))))</f>
        <v>0</v>
      </c>
      <c r="D34" s="255">
        <f>IF(OR(A34="",A34=0),"",SUMPRODUCT(('⏱️ Entrada e Saída'!$C$4:$C$507=A34)*('⏱️ Entrada e Saída'!$H$4:$H$507&lt;&gt;"")*('⏱️ Entrada e Saída'!$J$4:$J$507&lt;&gt;"")*IF($H$4="",1,TEXT('⏱️ Entrada e Saída'!$F$4:$F$507,"DD/MM")=TEXT($H$4,"DD/MM"))))</f>
        <v>0</v>
      </c>
      <c r="E34" s="256">
        <f t="shared" si="1"/>
        <v>0</v>
      </c>
      <c r="F34" s="257" t="str">
        <f t="shared" si="2"/>
        <v/>
      </c>
      <c r="G34" s="258">
        <f>IF(OR(A34="",A34=0),"",SUMPRODUCT(('⏱️ Entrada e Saída'!$C$4:$C$507=A34)*('⏱️ Entrada e Saída'!$L$4:$L$507="✅ Finalizado")*IF($H$4="",1,TEXT('⏱️ Entrada e Saída'!$F$4:$F$507,"dd/mm")=TEXT($H$4,"dd/mm"))*IFERROR(VALUE('⏱️ Entrada e Saída'!$K$4:$K$507),0)))</f>
        <v>0</v>
      </c>
      <c r="H34" s="110"/>
      <c r="I34" s="13"/>
    </row>
    <row r="35" ht="21.75" customHeight="1">
      <c r="A35" s="259" t="str">
        <f>'📋 Empresas'!B21</f>
        <v>GYNLIGHT</v>
      </c>
      <c r="B35" s="260">
        <f>IF(OR(A35="",A35=0),"",SUMPRODUCT(('⏱️ Entrada e Saída'!$C$4:$C$507=A35)*IF($H$4="",1,TEXT('⏱️ Entrada e Saída'!$F$4:$F$507,"DD/MM")=TEXT($H$4,"DD/MM"))))</f>
        <v>0</v>
      </c>
      <c r="C35" s="261">
        <f>IF(OR(A35="",A35=0),"",SUMPRODUCT(('⏱️ Entrada e Saída'!$C$4:$C$507=A35)*('⏱️ Entrada e Saída'!$H$4:$H$507&lt;&gt;"")*('⏱️ Entrada e Saída'!$J$4:$J$507="")*IF($H$4="",1,TEXT('⏱️ Entrada e Saída'!$F$4:$F$507,"DD/MM")=TEXT($H$4,"DD/MM"))))</f>
        <v>0</v>
      </c>
      <c r="D35" s="262">
        <f>IF(OR(A35="",A35=0),"",SUMPRODUCT(('⏱️ Entrada e Saída'!$C$4:$C$507=A35)*('⏱️ Entrada e Saída'!$H$4:$H$507&lt;&gt;"")*('⏱️ Entrada e Saída'!$J$4:$J$507&lt;&gt;"")*IF($H$4="",1,TEXT('⏱️ Entrada e Saída'!$F$4:$F$507,"DD/MM")=TEXT($H$4,"DD/MM"))))</f>
        <v>0</v>
      </c>
      <c r="E35" s="263">
        <f t="shared" si="1"/>
        <v>0</v>
      </c>
      <c r="F35" s="264" t="str">
        <f t="shared" si="2"/>
        <v/>
      </c>
      <c r="G35" s="258">
        <f>IF(OR(A35="",A35=0),"",SUMPRODUCT(('⏱️ Entrada e Saída'!$C$4:$C$507=A35)*('⏱️ Entrada e Saída'!$L$4:$L$507="✅ Finalizado")*IF($H$4="",1,TEXT('⏱️ Entrada e Saída'!$F$4:$F$507,"dd/mm")=TEXT($H$4,"dd/mm"))*IFERROR(VALUE('⏱️ Entrada e Saída'!$K$4:$K$507),0)))</f>
        <v>0</v>
      </c>
      <c r="H35" s="110"/>
      <c r="I35" s="13"/>
    </row>
    <row r="36" ht="21.75" customHeight="1">
      <c r="A36" s="252" t="str">
        <f>'📋 Empresas'!B22</f>
        <v>DB ESTRUTURA</v>
      </c>
      <c r="B36" s="253">
        <f>IF(OR(A36="",A36=0),"",SUMPRODUCT(('⏱️ Entrada e Saída'!$C$4:$C$507=A36)*IF($H$4="",1,TEXT('⏱️ Entrada e Saída'!$F$4:$F$507,"DD/MM")=TEXT($H$4,"DD/MM"))))</f>
        <v>0</v>
      </c>
      <c r="C36" s="254">
        <f>IF(OR(A36="",A36=0),"",SUMPRODUCT(('⏱️ Entrada e Saída'!$C$4:$C$507=A36)*('⏱️ Entrada e Saída'!$H$4:$H$507&lt;&gt;"")*('⏱️ Entrada e Saída'!$J$4:$J$507="")*IF($H$4="",1,TEXT('⏱️ Entrada e Saída'!$F$4:$F$507,"DD/MM")=TEXT($H$4,"DD/MM"))))</f>
        <v>0</v>
      </c>
      <c r="D36" s="255">
        <f>IF(OR(A36="",A36=0),"",SUMPRODUCT(('⏱️ Entrada e Saída'!$C$4:$C$507=A36)*('⏱️ Entrada e Saída'!$H$4:$H$507&lt;&gt;"")*('⏱️ Entrada e Saída'!$J$4:$J$507&lt;&gt;"")*IF($H$4="",1,TEXT('⏱️ Entrada e Saída'!$F$4:$F$507,"DD/MM")=TEXT($H$4,"DD/MM"))))</f>
        <v>0</v>
      </c>
      <c r="E36" s="256">
        <f t="shared" si="1"/>
        <v>0</v>
      </c>
      <c r="F36" s="257" t="str">
        <f t="shared" si="2"/>
        <v/>
      </c>
      <c r="G36" s="258">
        <f>IF(OR(A36="",A36=0),"",SUMPRODUCT(('⏱️ Entrada e Saída'!$C$4:$C$507=A36)*('⏱️ Entrada e Saída'!$L$4:$L$507="✅ Finalizado")*IF($H$4="",1,TEXT('⏱️ Entrada e Saída'!$F$4:$F$507,"dd/mm")=TEXT($H$4,"dd/mm"))*IFERROR(VALUE('⏱️ Entrada e Saída'!$K$4:$K$507),0)))</f>
        <v>0</v>
      </c>
      <c r="H36" s="110"/>
      <c r="I36" s="13"/>
    </row>
    <row r="37" ht="21.75" customHeight="1">
      <c r="A37" s="259" t="str">
        <f>'📋 Empresas'!B23</f>
        <v>BIG LIMP</v>
      </c>
      <c r="B37" s="260">
        <f>IF(OR(A37="",A37=0),"",SUMPRODUCT(('⏱️ Entrada e Saída'!$C$4:$C$507=A37)*IF($H$4="",1,TEXT('⏱️ Entrada e Saída'!$F$4:$F$507,"DD/MM")=TEXT($H$4,"DD/MM"))))</f>
        <v>0</v>
      </c>
      <c r="C37" s="261">
        <f>IF(OR(A37="",A37=0),"",SUMPRODUCT(('⏱️ Entrada e Saída'!$C$4:$C$507=A37)*('⏱️ Entrada e Saída'!$H$4:$H$507&lt;&gt;"")*('⏱️ Entrada e Saída'!$J$4:$J$507="")*IF($H$4="",1,TEXT('⏱️ Entrada e Saída'!$F$4:$F$507,"DD/MM")=TEXT($H$4,"DD/MM"))))</f>
        <v>0</v>
      </c>
      <c r="D37" s="262">
        <f>IF(OR(A37="",A37=0),"",SUMPRODUCT(('⏱️ Entrada e Saída'!$C$4:$C$507=A37)*('⏱️ Entrada e Saída'!$H$4:$H$507&lt;&gt;"")*('⏱️ Entrada e Saída'!$J$4:$J$507&lt;&gt;"")*IF($H$4="",1,TEXT('⏱️ Entrada e Saída'!$F$4:$F$507,"DD/MM")=TEXT($H$4,"DD/MM"))))</f>
        <v>0</v>
      </c>
      <c r="E37" s="263">
        <f t="shared" si="1"/>
        <v>0</v>
      </c>
      <c r="F37" s="264" t="str">
        <f t="shared" si="2"/>
        <v/>
      </c>
      <c r="G37" s="258">
        <f>IF(OR(A37="",A37=0),"",SUMPRODUCT(('⏱️ Entrada e Saída'!$C$4:$C$507=A37)*('⏱️ Entrada e Saída'!$L$4:$L$507="✅ Finalizado")*IF($H$4="",1,TEXT('⏱️ Entrada e Saída'!$F$4:$F$507,"dd/mm")=TEXT($H$4,"dd/mm"))*IFERROR(VALUE('⏱️ Entrada e Saída'!$K$4:$K$507),0)))</f>
        <v>0</v>
      </c>
      <c r="H37" s="110"/>
      <c r="I37" s="13"/>
    </row>
    <row r="38" ht="21.75" customHeight="1">
      <c r="A38" s="259" t="str">
        <f>'📋 Empresas'!B24</f>
        <v>SHOWNEWS</v>
      </c>
      <c r="B38" s="260">
        <f>IF(OR(A38="",A38=0),"",SUMPRODUCT(('⏱️ Entrada e Saída'!$C$4:$C$507=A38)*IF($H$4="",1,TEXT('⏱️ Entrada e Saída'!$F$4:$F$507,"DD/MM")=TEXT($H$4,"DD/MM"))))</f>
        <v>0</v>
      </c>
      <c r="C38" s="261">
        <f>IF(OR(A38="",A38=0),"",SUMPRODUCT(('⏱️ Entrada e Saída'!$C$4:$C$507=A38)*('⏱️ Entrada e Saída'!$H$4:$H$507&lt;&gt;"")*('⏱️ Entrada e Saída'!$J$4:$J$507="")*IF($H$4="",1,TEXT('⏱️ Entrada e Saída'!$F$4:$F$507,"DD/MM")=TEXT($H$4,"DD/MM"))))</f>
        <v>0</v>
      </c>
      <c r="D38" s="262">
        <f>IF(OR(A38="",A38=0),"",SUMPRODUCT(('⏱️ Entrada e Saída'!$C$4:$C$507=A38)*('⏱️ Entrada e Saída'!$H$4:$H$507&lt;&gt;"")*('⏱️ Entrada e Saída'!$J$4:$J$507&lt;&gt;"")*IF($H$4="",1,TEXT('⏱️ Entrada e Saída'!$F$4:$F$507,"DD/MM")=TEXT($H$4,"DD/MM"))))</f>
        <v>0</v>
      </c>
      <c r="E38" s="263">
        <f t="shared" si="1"/>
        <v>0</v>
      </c>
      <c r="F38" s="264" t="str">
        <f t="shared" si="2"/>
        <v/>
      </c>
      <c r="G38" s="258">
        <f>IF(OR(A38="",A38=0),"",SUMPRODUCT(('⏱️ Entrada e Saída'!$C$4:$C$507=A38)*('⏱️ Entrada e Saída'!$L$4:$L$507="✅ Finalizado")*IF($H$4="",1,TEXT('⏱️ Entrada e Saída'!$F$4:$F$507,"dd/mm")=TEXT($H$4,"dd/mm"))*IFERROR(VALUE('⏱️ Entrada e Saída'!$K$4:$K$507),0)))</f>
        <v>0</v>
      </c>
      <c r="H38" s="110"/>
      <c r="I38" s="13"/>
    </row>
    <row r="39" ht="21.75" customHeight="1">
      <c r="A39" s="259" t="str">
        <f>'📋 Empresas'!B25</f>
        <v>GYN EVENTS</v>
      </c>
      <c r="B39" s="260">
        <f>IF(OR(A39="",A39=0),"",SUMPRODUCT(('⏱️ Entrada e Saída'!$C$4:$C$507=A39)*IF($H$4="",1,TEXT('⏱️ Entrada e Saída'!$F$4:$F$507,"DD/MM")=TEXT($H$4,"DD/MM"))))</f>
        <v>0</v>
      </c>
      <c r="C39" s="261">
        <f>IF(OR(A39="",A39=0),"",SUMPRODUCT(('⏱️ Entrada e Saída'!$C$4:$C$507=A39)*('⏱️ Entrada e Saída'!$H$4:$H$507&lt;&gt;"")*('⏱️ Entrada e Saída'!$J$4:$J$507="")*IF($H$4="",1,TEXT('⏱️ Entrada e Saída'!$F$4:$F$507,"DD/MM")=TEXT($H$4,"DD/MM"))))</f>
        <v>0</v>
      </c>
      <c r="D39" s="262">
        <f>IF(OR(A39="",A39=0),"",SUMPRODUCT(('⏱️ Entrada e Saída'!$C$4:$C$507=A39)*('⏱️ Entrada e Saída'!$H$4:$H$507&lt;&gt;"")*('⏱️ Entrada e Saída'!$J$4:$J$507&lt;&gt;"")*IF($H$4="",1,TEXT('⏱️ Entrada e Saída'!$F$4:$F$507,"DD/MM")=TEXT($H$4,"DD/MM"))))</f>
        <v>0</v>
      </c>
      <c r="E39" s="263">
        <f t="shared" si="1"/>
        <v>0</v>
      </c>
      <c r="F39" s="264" t="str">
        <f t="shared" si="2"/>
        <v/>
      </c>
      <c r="G39" s="258">
        <f>IF(OR(A39="",A39=0),"",SUMPRODUCT(('⏱️ Entrada e Saída'!$C$4:$C$507=A39)*('⏱️ Entrada e Saída'!$L$4:$L$507="✅ Finalizado")*IF($H$4="",1,TEXT('⏱️ Entrada e Saída'!$F$4:$F$507,"dd/mm")=TEXT($H$4,"dd/mm"))*IFERROR(VALUE('⏱️ Entrada e Saída'!$K$4:$K$507),0)))</f>
        <v>0</v>
      </c>
      <c r="H39" s="110"/>
      <c r="I39" s="13"/>
    </row>
    <row r="40" ht="21.75" customHeight="1">
      <c r="A40" s="259" t="str">
        <f>'📋 Empresas'!B26</f>
        <v>MARIA COLHER DE PAU</v>
      </c>
      <c r="B40" s="260">
        <f>IF(OR(A40="",A40=0),"",SUMPRODUCT(('⏱️ Entrada e Saída'!$C$4:$C$507=A40)*IF($H$4="",1,TEXT('⏱️ Entrada e Saída'!$F$4:$F$507,"DD/MM")=TEXT($H$4,"DD/MM"))))</f>
        <v>0</v>
      </c>
      <c r="C40" s="261">
        <f>IF(OR(A40="",A40=0),"",SUMPRODUCT(('⏱️ Entrada e Saída'!$C$4:$C$507=A40)*('⏱️ Entrada e Saída'!$H$4:$H$507&lt;&gt;"")*('⏱️ Entrada e Saída'!$J$4:$J$507="")*IF($H$4="",1,TEXT('⏱️ Entrada e Saída'!$F$4:$F$507,"DD/MM")=TEXT($H$4,"DD/MM"))))</f>
        <v>0</v>
      </c>
      <c r="D40" s="262">
        <f>IF(OR(A40="",A40=0),"",SUMPRODUCT(('⏱️ Entrada e Saída'!$C$4:$C$507=A40)*('⏱️ Entrada e Saída'!$H$4:$H$507&lt;&gt;"")*('⏱️ Entrada e Saída'!$J$4:$J$507&lt;&gt;"")*IF($H$4="",1,TEXT('⏱️ Entrada e Saída'!$F$4:$F$507,"DD/MM")=TEXT($H$4,"DD/MM"))))</f>
        <v>0</v>
      </c>
      <c r="E40" s="263">
        <f t="shared" si="1"/>
        <v>0</v>
      </c>
      <c r="F40" s="264" t="str">
        <f t="shared" si="2"/>
        <v/>
      </c>
      <c r="G40" s="258">
        <f>IF(OR(A40="",A40=0),"",SUMPRODUCT(('⏱️ Entrada e Saída'!$C$4:$C$507=A40)*('⏱️ Entrada e Saída'!$L$4:$L$507="✅ Finalizado")*IF($H$4="",1,TEXT('⏱️ Entrada e Saída'!$F$4:$F$507,"dd/mm")=TEXT($H$4,"dd/mm"))*IFERROR(VALUE('⏱️ Entrada e Saída'!$K$4:$K$507),0)))</f>
        <v>0</v>
      </c>
      <c r="H40" s="110"/>
      <c r="I40" s="13"/>
    </row>
    <row r="41" ht="21.75" customHeight="1">
      <c r="A41" s="259" t="str">
        <f>'📋 Empresas'!B27</f>
        <v>VOU DE CHURROS</v>
      </c>
      <c r="B41" s="260">
        <f>IF(OR(A41="",A41=0),"",SUMPRODUCT(('⏱️ Entrada e Saída'!$C$4:$C$507=A41)*IF($H$4="",1,TEXT('⏱️ Entrada e Saída'!$F$4:$F$507,"DD/MM")=TEXT($H$4,"DD/MM"))))</f>
        <v>0</v>
      </c>
      <c r="C41" s="261">
        <f>IF(OR(A41="",A41=0),"",SUMPRODUCT(('⏱️ Entrada e Saída'!$C$4:$C$507=A41)*('⏱️ Entrada e Saída'!$H$4:$H$507&lt;&gt;"")*('⏱️ Entrada e Saída'!$J$4:$J$507="")*IF($H$4="",1,TEXT('⏱️ Entrada e Saída'!$F$4:$F$507,"DD/MM")=TEXT($H$4,"DD/MM"))))</f>
        <v>0</v>
      </c>
      <c r="D41" s="262">
        <f>IF(OR(A41="",A41=0),"",SUMPRODUCT(('⏱️ Entrada e Saída'!$C$4:$C$507=A41)*('⏱️ Entrada e Saída'!$H$4:$H$507&lt;&gt;"")*('⏱️ Entrada e Saída'!$J$4:$J$507&lt;&gt;"")*IF($H$4="",1,TEXT('⏱️ Entrada e Saída'!$F$4:$F$507,"DD/MM")=TEXT($H$4,"DD/MM"))))</f>
        <v>0</v>
      </c>
      <c r="E41" s="263">
        <f t="shared" si="1"/>
        <v>0</v>
      </c>
      <c r="F41" s="264" t="str">
        <f t="shared" si="2"/>
        <v/>
      </c>
      <c r="G41" s="258">
        <f>IF(OR(A41="",A41=0),"",SUMPRODUCT(('⏱️ Entrada e Saída'!$C$4:$C$507=A41)*('⏱️ Entrada e Saída'!$L$4:$L$507="✅ Finalizado")*IF($H$4="",1,TEXT('⏱️ Entrada e Saída'!$F$4:$F$507,"dd/mm")=TEXT($H$4,"dd/mm"))*IFERROR(VALUE('⏱️ Entrada e Saída'!$K$4:$K$507),0)))</f>
        <v>0</v>
      </c>
      <c r="H41" s="110"/>
      <c r="I41" s="13"/>
    </row>
    <row r="42" ht="21.75" customHeight="1">
      <c r="A42" s="259" t="str">
        <f>'📋 Empresas'!B28</f>
        <v>POPCORN E BENDITO MILHO</v>
      </c>
      <c r="B42" s="260">
        <f>IF(OR(A42="",A42=0),"",SUMPRODUCT(('⏱️ Entrada e Saída'!$C$4:$C$507=A42)*IF($H$4="",1,TEXT('⏱️ Entrada e Saída'!$F$4:$F$507,"DD/MM")=TEXT($H$4,"DD/MM"))))</f>
        <v>0</v>
      </c>
      <c r="C42" s="261">
        <f>IF(OR(A42="",A42=0),"",SUMPRODUCT(('⏱️ Entrada e Saída'!$C$4:$C$507=A42)*('⏱️ Entrada e Saída'!$H$4:$H$507&lt;&gt;"")*('⏱️ Entrada e Saída'!$J$4:$J$507="")*IF($H$4="",1,TEXT('⏱️ Entrada e Saída'!$F$4:$F$507,"DD/MM")=TEXT($H$4,"DD/MM"))))</f>
        <v>0</v>
      </c>
      <c r="D42" s="262">
        <f>IF(OR(A42="",A42=0),"",SUMPRODUCT(('⏱️ Entrada e Saída'!$C$4:$C$507=A42)*('⏱️ Entrada e Saída'!$H$4:$H$507&lt;&gt;"")*('⏱️ Entrada e Saída'!$J$4:$J$507&lt;&gt;"")*IF($H$4="",1,TEXT('⏱️ Entrada e Saída'!$F$4:$F$507,"DD/MM")=TEXT($H$4,"DD/MM"))))</f>
        <v>0</v>
      </c>
      <c r="E42" s="263">
        <f t="shared" si="1"/>
        <v>0</v>
      </c>
      <c r="F42" s="264" t="str">
        <f t="shared" si="2"/>
        <v/>
      </c>
      <c r="G42" s="258">
        <f>IF(OR(A42="",A42=0),"",SUMPRODUCT(('⏱️ Entrada e Saída'!$C$4:$C$507=A42)*('⏱️ Entrada e Saída'!$L$4:$L$507="✅ Finalizado")*IF($H$4="",1,TEXT('⏱️ Entrada e Saída'!$F$4:$F$507,"dd/mm")=TEXT($H$4,"dd/mm"))*IFERROR(VALUE('⏱️ Entrada e Saída'!$K$4:$K$507),0)))</f>
        <v>0</v>
      </c>
      <c r="H42" s="110"/>
      <c r="I42" s="13"/>
    </row>
    <row r="43" ht="21.75" customHeight="1">
      <c r="A43" s="259" t="str">
        <f>'📋 Empresas'!B29</f>
        <v>CANA JOY</v>
      </c>
      <c r="B43" s="260">
        <f>IF(OR(A43="",A43=0),"",SUMPRODUCT(('⏱️ Entrada e Saída'!$C$4:$C$507=A43)*IF($H$4="",1,TEXT('⏱️ Entrada e Saída'!$F$4:$F$507,"DD/MM")=TEXT($H$4,"DD/MM"))))</f>
        <v>0</v>
      </c>
      <c r="C43" s="261">
        <f>IF(OR(A43="",A43=0),"",SUMPRODUCT(('⏱️ Entrada e Saída'!$C$4:$C$507=A43)*('⏱️ Entrada e Saída'!$H$4:$H$507&lt;&gt;"")*('⏱️ Entrada e Saída'!$J$4:$J$507="")*IF($H$4="",1,TEXT('⏱️ Entrada e Saída'!$F$4:$F$507,"DD/MM")=TEXT($H$4,"DD/MM"))))</f>
        <v>0</v>
      </c>
      <c r="D43" s="262">
        <f>IF(OR(A43="",A43=0),"",SUMPRODUCT(('⏱️ Entrada e Saída'!$C$4:$C$507=A43)*('⏱️ Entrada e Saída'!$H$4:$H$507&lt;&gt;"")*('⏱️ Entrada e Saída'!$J$4:$J$507&lt;&gt;"")*IF($H$4="",1,TEXT('⏱️ Entrada e Saída'!$F$4:$F$507,"DD/MM")=TEXT($H$4,"DD/MM"))))</f>
        <v>0</v>
      </c>
      <c r="E43" s="263">
        <f t="shared" si="1"/>
        <v>0</v>
      </c>
      <c r="F43" s="264" t="str">
        <f t="shared" si="2"/>
        <v/>
      </c>
      <c r="G43" s="258">
        <f>IF(OR(A43="",A43=0),"",SUMPRODUCT(('⏱️ Entrada e Saída'!$C$4:$C$507=A43)*('⏱️ Entrada e Saída'!$L$4:$L$507="✅ Finalizado")*IF($H$4="",1,TEXT('⏱️ Entrada e Saída'!$F$4:$F$507,"dd/mm")=TEXT($H$4,"dd/mm"))*IFERROR(VALUE('⏱️ Entrada e Saída'!$K$4:$K$507),0)))</f>
        <v>0</v>
      </c>
      <c r="H43" s="110"/>
      <c r="I43" s="13"/>
    </row>
    <row r="44" ht="21.75" customHeight="1">
      <c r="A44" s="259" t="str">
        <f>'📋 Empresas'!B30</f>
        <v>PIZZA GYN</v>
      </c>
      <c r="B44" s="260">
        <f>IF(OR(A44="",A44=0),"",SUMPRODUCT(('⏱️ Entrada e Saída'!$C$4:$C$507=A44)*IF($H$4="",1,TEXT('⏱️ Entrada e Saída'!$F$4:$F$507,"DD/MM")=TEXT($H$4,"DD/MM"))))</f>
        <v>0</v>
      </c>
      <c r="C44" s="261">
        <f>IF(OR(A44="",A44=0),"",SUMPRODUCT(('⏱️ Entrada e Saída'!$C$4:$C$507=A44)*('⏱️ Entrada e Saída'!$H$4:$H$507&lt;&gt;"")*('⏱️ Entrada e Saída'!$J$4:$J$507="")*IF($H$4="",1,TEXT('⏱️ Entrada e Saída'!$F$4:$F$507,"DD/MM")=TEXT($H$4,"DD/MM"))))</f>
        <v>0</v>
      </c>
      <c r="D44" s="262">
        <f>IF(OR(A44="",A44=0),"",SUMPRODUCT(('⏱️ Entrada e Saída'!$C$4:$C$507=A44)*('⏱️ Entrada e Saída'!$H$4:$H$507&lt;&gt;"")*('⏱️ Entrada e Saída'!$J$4:$J$507&lt;&gt;"")*IF($H$4="",1,TEXT('⏱️ Entrada e Saída'!$F$4:$F$507,"DD/MM")=TEXT($H$4,"DD/MM"))))</f>
        <v>0</v>
      </c>
      <c r="E44" s="263">
        <f t="shared" si="1"/>
        <v>0</v>
      </c>
      <c r="F44" s="264" t="str">
        <f t="shared" si="2"/>
        <v/>
      </c>
      <c r="G44" s="258">
        <f>IF(OR(A44="",A44=0),"",SUMPRODUCT(('⏱️ Entrada e Saída'!$C$4:$C$507=A44)*('⏱️ Entrada e Saída'!$L$4:$L$507="✅ Finalizado")*IF($H$4="",1,TEXT('⏱️ Entrada e Saída'!$F$4:$F$507,"dd/mm")=TEXT($H$4,"dd/mm"))*IFERROR(VALUE('⏱️ Entrada e Saída'!$K$4:$K$507),0)))</f>
        <v>0</v>
      </c>
      <c r="H44" s="110"/>
      <c r="I44" s="13"/>
    </row>
    <row r="45" ht="21.75" customHeight="1">
      <c r="A45" s="259" t="str">
        <f>'📋 Empresas'!B31</f>
        <v>BASE PRO EVENTOS</v>
      </c>
      <c r="B45" s="260">
        <f>IF(OR(A45="",A45=0),"",SUMPRODUCT(('⏱️ Entrada e Saída'!$C$4:$C$507=A45)*IF($H$4="",1,TEXT('⏱️ Entrada e Saída'!$F$4:$F$507,"DD/MM")=TEXT($H$4,"DD/MM"))))</f>
        <v>0</v>
      </c>
      <c r="C45" s="261">
        <f>IF(OR(A45="",A45=0),"",SUMPRODUCT(('⏱️ Entrada e Saída'!$C$4:$C$507=A45)*('⏱️ Entrada e Saída'!$H$4:$H$507&lt;&gt;"")*('⏱️ Entrada e Saída'!$J$4:$J$507="")*IF($H$4="",1,TEXT('⏱️ Entrada e Saída'!$F$4:$F$507,"DD/MM")=TEXT($H$4,"DD/MM"))))</f>
        <v>0</v>
      </c>
      <c r="D45" s="262">
        <f>IF(OR(A45="",A45=0),"",SUMPRODUCT(('⏱️ Entrada e Saída'!$C$4:$C$507=A45)*('⏱️ Entrada e Saída'!$H$4:$H$507&lt;&gt;"")*('⏱️ Entrada e Saída'!$J$4:$J$507&lt;&gt;"")*IF($H$4="",1,TEXT('⏱️ Entrada e Saída'!$F$4:$F$507,"DD/MM")=TEXT($H$4,"DD/MM"))))</f>
        <v>0</v>
      </c>
      <c r="E45" s="263">
        <f t="shared" si="1"/>
        <v>0</v>
      </c>
      <c r="F45" s="264" t="str">
        <f t="shared" si="2"/>
        <v/>
      </c>
      <c r="G45" s="258">
        <f>IF(OR(A45="",A45=0),"",SUMPRODUCT(('⏱️ Entrada e Saída'!$C$4:$C$507=A45)*('⏱️ Entrada e Saída'!$L$4:$L$507="✅ Finalizado")*IF($H$4="",1,TEXT('⏱️ Entrada e Saída'!$F$4:$F$507,"dd/mm")=TEXT($H$4,"dd/mm"))*IFERROR(VALUE('⏱️ Entrada e Saída'!$K$4:$K$507),0)))</f>
        <v>0</v>
      </c>
      <c r="H45" s="110"/>
      <c r="I45" s="13"/>
    </row>
    <row r="46" ht="21.75" customHeight="1">
      <c r="A46" s="259" t="str">
        <f>'📋 Empresas'!B32</f>
        <v>KOMIKETO</v>
      </c>
      <c r="B46" s="260">
        <f>IF(OR(A46="",A46=0),"",SUMPRODUCT(('⏱️ Entrada e Saída'!$C$4:$C$507=A46)*IF($H$4="",1,TEXT('⏱️ Entrada e Saída'!$F$4:$F$507,"DD/MM")=TEXT($H$4,"DD/MM"))))</f>
        <v>0</v>
      </c>
      <c r="C46" s="261">
        <f>IF(OR(A46="",A46=0),"",SUMPRODUCT(('⏱️ Entrada e Saída'!$C$4:$C$507=A46)*('⏱️ Entrada e Saída'!$H$4:$H$507&lt;&gt;"")*('⏱️ Entrada e Saída'!$J$4:$J$507="")*IF($H$4="",1,TEXT('⏱️ Entrada e Saída'!$F$4:$F$507,"DD/MM")=TEXT($H$4,"DD/MM"))))</f>
        <v>0</v>
      </c>
      <c r="D46" s="262">
        <f>IF(OR(A46="",A46=0),"",SUMPRODUCT(('⏱️ Entrada e Saída'!$C$4:$C$507=A46)*('⏱️ Entrada e Saída'!$H$4:$H$507&lt;&gt;"")*('⏱️ Entrada e Saída'!$J$4:$J$507&lt;&gt;"")*IF($H$4="",1,TEXT('⏱️ Entrada e Saída'!$F$4:$F$507,"DD/MM")=TEXT($H$4,"DD/MM"))))</f>
        <v>0</v>
      </c>
      <c r="E46" s="263">
        <f t="shared" si="1"/>
        <v>0</v>
      </c>
      <c r="F46" s="264" t="str">
        <f t="shared" si="2"/>
        <v/>
      </c>
      <c r="G46" s="258">
        <f>IF(OR(A46="",A46=0),"",SUMPRODUCT(('⏱️ Entrada e Saída'!$C$4:$C$507=A46)*('⏱️ Entrada e Saída'!$L$4:$L$507="✅ Finalizado")*IF($H$4="",1,TEXT('⏱️ Entrada e Saída'!$F$4:$F$507,"dd/mm")=TEXT($H$4,"dd/mm"))*IFERROR(VALUE('⏱️ Entrada e Saída'!$K$4:$K$507),0)))</f>
        <v>0</v>
      </c>
      <c r="H46" s="110"/>
      <c r="I46" s="13"/>
    </row>
    <row r="47" ht="21.75" customHeight="1">
      <c r="A47" s="259" t="str">
        <f>'📋 Empresas'!B33</f>
        <v>CALAI CHURROS</v>
      </c>
      <c r="B47" s="260">
        <f>IF(OR(A47="",A47=0),"",SUMPRODUCT(('⏱️ Entrada e Saída'!$C$4:$C$507=A47)*IF($H$4="",1,TEXT('⏱️ Entrada e Saída'!$F$4:$F$507,"DD/MM")=TEXT($H$4,"DD/MM"))))</f>
        <v>0</v>
      </c>
      <c r="C47" s="261">
        <f>IF(OR(A47="",A47=0),"",SUMPRODUCT(('⏱️ Entrada e Saída'!$C$4:$C$507=A47)*('⏱️ Entrada e Saída'!$H$4:$H$507&lt;&gt;"")*('⏱️ Entrada e Saída'!$J$4:$J$507="")*IF($H$4="",1,TEXT('⏱️ Entrada e Saída'!$F$4:$F$507,"DD/MM")=TEXT($H$4,"DD/MM"))))</f>
        <v>0</v>
      </c>
      <c r="D47" s="262">
        <f>IF(OR(A47="",A47=0),"",SUMPRODUCT(('⏱️ Entrada e Saída'!$C$4:$C$507=A47)*('⏱️ Entrada e Saída'!$H$4:$H$507&lt;&gt;"")*('⏱️ Entrada e Saída'!$J$4:$J$507&lt;&gt;"")*IF($H$4="",1,TEXT('⏱️ Entrada e Saída'!$F$4:$F$507,"DD/MM")=TEXT($H$4,"DD/MM"))))</f>
        <v>0</v>
      </c>
      <c r="E47" s="263">
        <f t="shared" si="1"/>
        <v>0</v>
      </c>
      <c r="F47" s="264" t="str">
        <f t="shared" si="2"/>
        <v/>
      </c>
      <c r="G47" s="258">
        <f>IF(OR(A47="",A47=0),"",SUMPRODUCT(('⏱️ Entrada e Saída'!$C$4:$C$507=A47)*('⏱️ Entrada e Saída'!$L$4:$L$507="✅ Finalizado")*IF($H$4="",1,TEXT('⏱️ Entrada e Saída'!$F$4:$F$507,"dd/mm")=TEXT($H$4,"dd/mm"))*IFERROR(VALUE('⏱️ Entrada e Saída'!$K$4:$K$507),0)))</f>
        <v>0</v>
      </c>
      <c r="H47" s="110"/>
      <c r="I47" s="13"/>
    </row>
    <row r="48" ht="21.75" customHeight="1">
      <c r="A48" s="259" t="str">
        <f>'📋 Empresas'!B34</f>
        <v>DORORÔ</v>
      </c>
      <c r="B48" s="260">
        <f>IF(OR(A48="",A48=0),"",SUMPRODUCT(('⏱️ Entrada e Saída'!$C$4:$C$507=A48)*IF($H$4="",1,TEXT('⏱️ Entrada e Saída'!$F$4:$F$507,"DD/MM")=TEXT($H$4,"DD/MM"))))</f>
        <v>0</v>
      </c>
      <c r="C48" s="261">
        <f>IF(OR(A48="",A48=0),"",SUMPRODUCT(('⏱️ Entrada e Saída'!$C$4:$C$507=A48)*('⏱️ Entrada e Saída'!$H$4:$H$507&lt;&gt;"")*('⏱️ Entrada e Saída'!$J$4:$J$507="")*IF($H$4="",1,TEXT('⏱️ Entrada e Saída'!$F$4:$F$507,"DD/MM")=TEXT($H$4,"DD/MM"))))</f>
        <v>0</v>
      </c>
      <c r="D48" s="262">
        <f>IF(OR(A48="",A48=0),"",SUMPRODUCT(('⏱️ Entrada e Saída'!$C$4:$C$507=A48)*('⏱️ Entrada e Saída'!$H$4:$H$507&lt;&gt;"")*('⏱️ Entrada e Saída'!$J$4:$J$507&lt;&gt;"")*IF($H$4="",1,TEXT('⏱️ Entrada e Saída'!$F$4:$F$507,"DD/MM")=TEXT($H$4,"DD/MM"))))</f>
        <v>0</v>
      </c>
      <c r="E48" s="263">
        <f t="shared" si="1"/>
        <v>0</v>
      </c>
      <c r="F48" s="264" t="str">
        <f t="shared" si="2"/>
        <v/>
      </c>
      <c r="G48" s="258">
        <f>IF(OR(A48="",A48=0),"",SUMPRODUCT(('⏱️ Entrada e Saída'!$C$4:$C$507=A48)*('⏱️ Entrada e Saída'!$L$4:$L$507="✅ Finalizado")*IF($H$4="",1,TEXT('⏱️ Entrada e Saída'!$F$4:$F$507,"dd/mm")=TEXT($H$4,"dd/mm"))*IFERROR(VALUE('⏱️ Entrada e Saída'!$K$4:$K$507),0)))</f>
        <v>0</v>
      </c>
      <c r="H48" s="110"/>
      <c r="I48" s="13"/>
    </row>
    <row r="49" ht="21.75" customHeight="1">
      <c r="A49" s="259" t="str">
        <f>'📋 Empresas'!B35</f>
        <v>GRUPO IZA</v>
      </c>
      <c r="B49" s="260">
        <f>IF(OR(A49="",A49=0),"",SUMPRODUCT(('⏱️ Entrada e Saída'!$C$4:$C$507=A49)*IF($H$4="",1,TEXT('⏱️ Entrada e Saída'!$F$4:$F$507,"DD/MM")=TEXT($H$4,"DD/MM"))))</f>
        <v>0</v>
      </c>
      <c r="C49" s="261">
        <f>IF(OR(A49="",A49=0),"",SUMPRODUCT(('⏱️ Entrada e Saída'!$C$4:$C$507=A49)*('⏱️ Entrada e Saída'!$H$4:$H$507&lt;&gt;"")*('⏱️ Entrada e Saída'!$J$4:$J$507="")*IF($H$4="",1,TEXT('⏱️ Entrada e Saída'!$F$4:$F$507,"DD/MM")=TEXT($H$4,"DD/MM"))))</f>
        <v>0</v>
      </c>
      <c r="D49" s="262">
        <f>IF(OR(A49="",A49=0),"",SUMPRODUCT(('⏱️ Entrada e Saída'!$C$4:$C$507=A49)*('⏱️ Entrada e Saída'!$H$4:$H$507&lt;&gt;"")*('⏱️ Entrada e Saída'!$J$4:$J$507&lt;&gt;"")*IF($H$4="",1,TEXT('⏱️ Entrada e Saída'!$F$4:$F$507,"DD/MM")=TEXT($H$4,"DD/MM"))))</f>
        <v>0</v>
      </c>
      <c r="E49" s="263">
        <f t="shared" si="1"/>
        <v>0</v>
      </c>
      <c r="F49" s="264" t="str">
        <f t="shared" si="2"/>
        <v/>
      </c>
      <c r="G49" s="258">
        <f>IF(OR(A49="",A49=0),"",SUMPRODUCT(('⏱️ Entrada e Saída'!$C$4:$C$507=A49)*('⏱️ Entrada e Saída'!$L$4:$L$507="✅ Finalizado")*IF($H$4="",1,TEXT('⏱️ Entrada e Saída'!$F$4:$F$507,"dd/mm")=TEXT($H$4,"dd/mm"))*IFERROR(VALUE('⏱️ Entrada e Saída'!$K$4:$K$507),0)))</f>
        <v>0</v>
      </c>
      <c r="H49" s="110"/>
      <c r="I49" s="13"/>
    </row>
    <row r="50" ht="21.75" customHeight="1">
      <c r="A50" s="259" t="str">
        <f>'📋 Empresas'!B36</f>
        <v>LA ESTRUTURA </v>
      </c>
      <c r="B50" s="260">
        <f>IF(OR(A50="",A50=0),"",SUMPRODUCT(('⏱️ Entrada e Saída'!$C$4:$C$507=A50)*IF($H$4="",1,TEXT('⏱️ Entrada e Saída'!$F$4:$F$507,"DD/MM")=TEXT($H$4,"DD/MM"))))</f>
        <v>0</v>
      </c>
      <c r="C50" s="261">
        <f>IF(OR(A50="",A50=0),"",SUMPRODUCT(('⏱️ Entrada e Saída'!$C$4:$C$507=A50)*('⏱️ Entrada e Saída'!$H$4:$H$507&lt;&gt;"")*('⏱️ Entrada e Saída'!$J$4:$J$507="")*IF($H$4="",1,TEXT('⏱️ Entrada e Saída'!$F$4:$F$507,"DD/MM")=TEXT($H$4,"DD/MM"))))</f>
        <v>0</v>
      </c>
      <c r="D50" s="262">
        <f>IF(OR(A50="",A50=0),"",SUMPRODUCT(('⏱️ Entrada e Saída'!$C$4:$C$507=A50)*('⏱️ Entrada e Saída'!$H$4:$H$507&lt;&gt;"")*('⏱️ Entrada e Saída'!$J$4:$J$507&lt;&gt;"")*IF($H$4="",1,TEXT('⏱️ Entrada e Saída'!$F$4:$F$507,"DD/MM")=TEXT($H$4,"DD/MM"))))</f>
        <v>0</v>
      </c>
      <c r="E50" s="263">
        <f t="shared" si="1"/>
        <v>0</v>
      </c>
      <c r="F50" s="264" t="str">
        <f t="shared" si="2"/>
        <v/>
      </c>
      <c r="G50" s="258">
        <f>IF(OR(A50="",A50=0),"",SUMPRODUCT(('⏱️ Entrada e Saída'!$C$4:$C$507=A50)*('⏱️ Entrada e Saída'!$L$4:$L$507="✅ Finalizado")*IF($H$4="",1,TEXT('⏱️ Entrada e Saída'!$F$4:$F$507,"dd/mm")=TEXT($H$4,"dd/mm"))*IFERROR(VALUE('⏱️ Entrada e Saída'!$K$4:$K$507),0)))</f>
        <v>0</v>
      </c>
      <c r="H50" s="110"/>
      <c r="I50" s="13"/>
    </row>
    <row r="51" ht="21.75" customHeight="1">
      <c r="A51" s="259" t="str">
        <f>'📋 Empresas'!B37</f>
        <v>LATINO </v>
      </c>
      <c r="B51" s="260">
        <f>IF(OR(A51="",A51=0),"",SUMPRODUCT(('⏱️ Entrada e Saída'!$C$4:$C$507=A51)*IF($H$4="",1,TEXT('⏱️ Entrada e Saída'!$F$4:$F$507,"DD/MM")=TEXT($H$4,"DD/MM"))))</f>
        <v>0</v>
      </c>
      <c r="C51" s="261">
        <f>IF(OR(A51="",A51=0),"",SUMPRODUCT(('⏱️ Entrada e Saída'!$C$4:$C$507=A51)*('⏱️ Entrada e Saída'!$H$4:$H$507&lt;&gt;"")*('⏱️ Entrada e Saída'!$J$4:$J$507="")*IF($H$4="",1,TEXT('⏱️ Entrada e Saída'!$F$4:$F$507,"DD/MM")=TEXT($H$4,"DD/MM"))))</f>
        <v>0</v>
      </c>
      <c r="D51" s="262">
        <f>IF(OR(A51="",A51=0),"",SUMPRODUCT(('⏱️ Entrada e Saída'!$C$4:$C$507=A51)*('⏱️ Entrada e Saída'!$H$4:$H$507&lt;&gt;"")*('⏱️ Entrada e Saída'!$J$4:$J$507&lt;&gt;"")*IF($H$4="",1,TEXT('⏱️ Entrada e Saída'!$F$4:$F$507,"DD/MM")=TEXT($H$4,"DD/MM"))))</f>
        <v>0</v>
      </c>
      <c r="E51" s="263">
        <f t="shared" si="1"/>
        <v>0</v>
      </c>
      <c r="F51" s="264" t="str">
        <f t="shared" si="2"/>
        <v/>
      </c>
      <c r="G51" s="258">
        <f>IF(OR(A51="",A51=0),"",SUMPRODUCT(('⏱️ Entrada e Saída'!$C$4:$C$507=A51)*('⏱️ Entrada e Saída'!$L$4:$L$507="✅ Finalizado")*IF($H$4="",1,TEXT('⏱️ Entrada e Saída'!$F$4:$F$507,"dd/mm")=TEXT($H$4,"dd/mm"))*IFERROR(VALUE('⏱️ Entrada e Saída'!$K$4:$K$507),0)))</f>
        <v>0</v>
      </c>
      <c r="H51" s="110"/>
      <c r="I51" s="13"/>
    </row>
    <row r="52" ht="21.75" customHeight="1">
      <c r="A52" s="259" t="str">
        <f>'📋 Empresas'!B38</f>
        <v>CARVALHO FORROS </v>
      </c>
      <c r="B52" s="260">
        <f>IF(OR(A52="",A52=0),"",SUMPRODUCT(('⏱️ Entrada e Saída'!$C$4:$C$507=A52)*IF($H$4="",1,TEXT('⏱️ Entrada e Saída'!$F$4:$F$507,"DD/MM")=TEXT($H$4,"DD/MM"))))</f>
        <v>0</v>
      </c>
      <c r="C52" s="261">
        <f>IF(OR(A52="",A52=0),"",SUMPRODUCT(('⏱️ Entrada e Saída'!$C$4:$C$507=A52)*('⏱️ Entrada e Saída'!$H$4:$H$507&lt;&gt;"")*('⏱️ Entrada e Saída'!$J$4:$J$507="")*IF($H$4="",1,TEXT('⏱️ Entrada e Saída'!$F$4:$F$507,"DD/MM")=TEXT($H$4,"DD/MM"))))</f>
        <v>0</v>
      </c>
      <c r="D52" s="262">
        <f>IF(OR(A52="",A52=0),"",SUMPRODUCT(('⏱️ Entrada e Saída'!$C$4:$C$507=A52)*('⏱️ Entrada e Saída'!$H$4:$H$507&lt;&gt;"")*('⏱️ Entrada e Saída'!$J$4:$J$507&lt;&gt;"")*IF($H$4="",1,TEXT('⏱️ Entrada e Saída'!$F$4:$F$507,"DD/MM")=TEXT($H$4,"DD/MM"))))</f>
        <v>0</v>
      </c>
      <c r="E52" s="263">
        <f t="shared" si="1"/>
        <v>0</v>
      </c>
      <c r="F52" s="264" t="str">
        <f t="shared" si="2"/>
        <v/>
      </c>
      <c r="G52" s="258">
        <f>IF(OR(A52="",A52=0),"",SUMPRODUCT(('⏱️ Entrada e Saída'!$C$4:$C$507=A52)*('⏱️ Entrada e Saída'!$L$4:$L$507="✅ Finalizado")*IF($H$4="",1,TEXT('⏱️ Entrada e Saída'!$F$4:$F$507,"dd/mm")=TEXT($H$4,"dd/mm"))*IFERROR(VALUE('⏱️ Entrada e Saída'!$K$4:$K$507),0)))</f>
        <v>0</v>
      </c>
      <c r="H52" s="110"/>
      <c r="I52" s="13"/>
    </row>
    <row r="53" ht="21.75" customHeight="1">
      <c r="A53" s="259" t="str">
        <f>'📋 Empresas'!B39</f>
        <v>VISUAL LIVE </v>
      </c>
      <c r="B53" s="260">
        <f>IF(OR(A53="",A53=0),"",SUMPRODUCT(('⏱️ Entrada e Saída'!$C$4:$C$507=A53)*IF($H$4="",1,TEXT('⏱️ Entrada e Saída'!$F$4:$F$507,"DD/MM")=TEXT($H$4,"DD/MM"))))</f>
        <v>0</v>
      </c>
      <c r="C53" s="261">
        <f>IF(OR(A53="",A53=0),"",SUMPRODUCT(('⏱️ Entrada e Saída'!$C$4:$C$507=A53)*('⏱️ Entrada e Saída'!$H$4:$H$507&lt;&gt;"")*('⏱️ Entrada e Saída'!$J$4:$J$507="")*IF($H$4="",1,TEXT('⏱️ Entrada e Saída'!$F$4:$F$507,"DD/MM")=TEXT($H$4,"DD/MM"))))</f>
        <v>0</v>
      </c>
      <c r="D53" s="262">
        <f>IF(OR(A53="",A53=0),"",SUMPRODUCT(('⏱️ Entrada e Saída'!$C$4:$C$507=A53)*('⏱️ Entrada e Saída'!$H$4:$H$507&lt;&gt;"")*('⏱️ Entrada e Saída'!$J$4:$J$507&lt;&gt;"")*IF($H$4="",1,TEXT('⏱️ Entrada e Saída'!$F$4:$F$507,"DD/MM")=TEXT($H$4,"DD/MM"))))</f>
        <v>0</v>
      </c>
      <c r="E53" s="263">
        <f t="shared" si="1"/>
        <v>0</v>
      </c>
      <c r="F53" s="264" t="str">
        <f t="shared" si="2"/>
        <v/>
      </c>
      <c r="G53" s="258">
        <f>IF(OR(A53="",A53=0),"",SUMPRODUCT(('⏱️ Entrada e Saída'!$C$4:$C$507=A53)*('⏱️ Entrada e Saída'!$L$4:$L$507="✅ Finalizado")*IF($H$4="",1,TEXT('⏱️ Entrada e Saída'!$F$4:$F$507,"dd/mm")=TEXT($H$4,"dd/mm"))*IFERROR(VALUE('⏱️ Entrada e Saída'!$K$4:$K$507),0)))</f>
        <v>0</v>
      </c>
      <c r="H53" s="110"/>
      <c r="I53" s="13"/>
    </row>
    <row r="54" ht="21.75" customHeight="1">
      <c r="A54" s="259" t="str">
        <f>'📋 Empresas'!B40</f>
        <v>STUDIO K </v>
      </c>
      <c r="B54" s="260">
        <f>IF(OR(A54="",A54=0),"",SUMPRODUCT(('⏱️ Entrada e Saída'!$C$4:$C$507=A54)*IF($H$4="",1,TEXT('⏱️ Entrada e Saída'!$F$4:$F$507,"DD/MM")=TEXT($H$4,"DD/MM"))))</f>
        <v>0</v>
      </c>
      <c r="C54" s="261">
        <f>IF(OR(A54="",A54=0),"",SUMPRODUCT(('⏱️ Entrada e Saída'!$C$4:$C$507=A54)*('⏱️ Entrada e Saída'!$H$4:$H$507&lt;&gt;"")*('⏱️ Entrada e Saída'!$J$4:$J$507="")*IF($H$4="",1,TEXT('⏱️ Entrada e Saída'!$F$4:$F$507,"DD/MM")=TEXT($H$4,"DD/MM"))))</f>
        <v>0</v>
      </c>
      <c r="D54" s="262">
        <f>IF(OR(A54="",A54=0),"",SUMPRODUCT(('⏱️ Entrada e Saída'!$C$4:$C$507=A54)*('⏱️ Entrada e Saída'!$H$4:$H$507&lt;&gt;"")*('⏱️ Entrada e Saída'!$J$4:$J$507&lt;&gt;"")*IF($H$4="",1,TEXT('⏱️ Entrada e Saída'!$F$4:$F$507,"DD/MM")=TEXT($H$4,"DD/MM"))))</f>
        <v>0</v>
      </c>
      <c r="E54" s="263">
        <f t="shared" si="1"/>
        <v>0</v>
      </c>
      <c r="F54" s="264" t="str">
        <f t="shared" si="2"/>
        <v/>
      </c>
      <c r="G54" s="258">
        <f>IF(OR(A54="",A54=0),"",SUMPRODUCT(('⏱️ Entrada e Saída'!$C$4:$C$507=A54)*('⏱️ Entrada e Saída'!$L$4:$L$507="✅ Finalizado")*IF($H$4="",1,TEXT('⏱️ Entrada e Saída'!$F$4:$F$507,"dd/mm")=TEXT($H$4,"dd/mm"))*IFERROR(VALUE('⏱️ Entrada e Saída'!$K$4:$K$507),0)))</f>
        <v>0</v>
      </c>
      <c r="H54" s="110"/>
      <c r="I54" s="13"/>
    </row>
    <row r="55" ht="21.75" customHeight="1">
      <c r="A55" s="259" t="str">
        <f>'📋 Empresas'!B41</f>
        <v>CANA JOY</v>
      </c>
      <c r="B55" s="260">
        <f>IF(OR(A55="",A55=0),"",SUMPRODUCT(('⏱️ Entrada e Saída'!$C$4:$C$507=A55)*IF($H$4="",1,TEXT('⏱️ Entrada e Saída'!$F$4:$F$507,"DD/MM")=TEXT($H$4,"DD/MM"))))</f>
        <v>0</v>
      </c>
      <c r="C55" s="261">
        <f>IF(OR(A55="",A55=0),"",SUMPRODUCT(('⏱️ Entrada e Saída'!$C$4:$C$507=A55)*('⏱️ Entrada e Saída'!$H$4:$H$507&lt;&gt;"")*('⏱️ Entrada e Saída'!$J$4:$J$507="")*IF($H$4="",1,TEXT('⏱️ Entrada e Saída'!$F$4:$F$507,"DD/MM")=TEXT($H$4,"DD/MM"))))</f>
        <v>0</v>
      </c>
      <c r="D55" s="262">
        <f>IF(OR(A55="",A55=0),"",SUMPRODUCT(('⏱️ Entrada e Saída'!$C$4:$C$507=A55)*('⏱️ Entrada e Saída'!$H$4:$H$507&lt;&gt;"")*('⏱️ Entrada e Saída'!$J$4:$J$507&lt;&gt;"")*IF($H$4="",1,TEXT('⏱️ Entrada e Saída'!$F$4:$F$507,"DD/MM")=TEXT($H$4,"DD/MM"))))</f>
        <v>0</v>
      </c>
      <c r="E55" s="263">
        <f t="shared" si="1"/>
        <v>0</v>
      </c>
      <c r="F55" s="264" t="str">
        <f t="shared" si="2"/>
        <v/>
      </c>
      <c r="G55" s="258">
        <f>IF(OR(A55="",A55=0),"",SUMPRODUCT(('⏱️ Entrada e Saída'!$C$4:$C$507=A55)*('⏱️ Entrada e Saída'!$L$4:$L$507="✅ Finalizado")*IF($H$4="",1,TEXT('⏱️ Entrada e Saída'!$F$4:$F$507,"dd/mm")=TEXT($H$4,"dd/mm"))*IFERROR(VALUE('⏱️ Entrada e Saída'!$K$4:$K$507),0)))</f>
        <v>0</v>
      </c>
      <c r="H55" s="110"/>
      <c r="I55" s="13"/>
    </row>
    <row r="56" ht="21.75" customHeight="1">
      <c r="A56" s="259" t="str">
        <f>'📋 Empresas'!B42</f>
        <v>ALL ESTRUTURAS </v>
      </c>
      <c r="B56" s="260">
        <f>IF(OR(A56="",A56=0),"",SUMPRODUCT(('⏱️ Entrada e Saída'!$C$4:$C$507=A56)*IF($H$4="",1,TEXT('⏱️ Entrada e Saída'!$F$4:$F$507,"DD/MM")=TEXT($H$4,"DD/MM"))))</f>
        <v>0</v>
      </c>
      <c r="C56" s="261">
        <f>IF(OR(A56="",A56=0),"",SUMPRODUCT(('⏱️ Entrada e Saída'!$C$4:$C$507=A56)*('⏱️ Entrada e Saída'!$H$4:$H$507&lt;&gt;"")*('⏱️ Entrada e Saída'!$J$4:$J$507="")*IF($H$4="",1,TEXT('⏱️ Entrada e Saída'!$F$4:$F$507,"DD/MM")=TEXT($H$4,"DD/MM"))))</f>
        <v>0</v>
      </c>
      <c r="D56" s="262">
        <f>IF(OR(A56="",A56=0),"",SUMPRODUCT(('⏱️ Entrada e Saída'!$C$4:$C$507=A56)*('⏱️ Entrada e Saída'!$H$4:$H$507&lt;&gt;"")*('⏱️ Entrada e Saída'!$J$4:$J$507&lt;&gt;"")*IF($H$4="",1,TEXT('⏱️ Entrada e Saída'!$F$4:$F$507,"DD/MM")=TEXT($H$4,"DD/MM"))))</f>
        <v>0</v>
      </c>
      <c r="E56" s="263">
        <f t="shared" si="1"/>
        <v>0</v>
      </c>
      <c r="F56" s="264" t="str">
        <f t="shared" si="2"/>
        <v/>
      </c>
      <c r="G56" s="258">
        <f>IF(OR(A56="",A56=0),"",SUMPRODUCT(('⏱️ Entrada e Saída'!$C$4:$C$507=A56)*('⏱️ Entrada e Saída'!$L$4:$L$507="✅ Finalizado")*IF($H$4="",1,TEXT('⏱️ Entrada e Saída'!$F$4:$F$507,"dd/mm")=TEXT($H$4,"dd/mm"))*IFERROR(VALUE('⏱️ Entrada e Saída'!$K$4:$K$507),0)))</f>
        <v>0</v>
      </c>
      <c r="H56" s="110"/>
      <c r="I56" s="13"/>
    </row>
    <row r="57" ht="21.75" customHeight="1">
      <c r="A57" s="259" t="str">
        <f>'📋 Empresas'!B43</f>
        <v>PRIVILEGE EVENTOS </v>
      </c>
      <c r="B57" s="260">
        <f>IF(OR(A57="",A57=0),"",SUMPRODUCT(('⏱️ Entrada e Saída'!$C$4:$C$507=A57)*IF($H$4="",1,TEXT('⏱️ Entrada e Saída'!$F$4:$F$507,"DD/MM")=TEXT($H$4,"DD/MM"))))</f>
        <v>0</v>
      </c>
      <c r="C57" s="261">
        <f>IF(OR(A57="",A57=0),"",SUMPRODUCT(('⏱️ Entrada e Saída'!$C$4:$C$507=A57)*('⏱️ Entrada e Saída'!$H$4:$H$507&lt;&gt;"")*('⏱️ Entrada e Saída'!$J$4:$J$507="")*IF($H$4="",1,TEXT('⏱️ Entrada e Saída'!$F$4:$F$507,"DD/MM")=TEXT($H$4,"DD/MM"))))</f>
        <v>0</v>
      </c>
      <c r="D57" s="262">
        <f>IF(OR(A57="",A57=0),"",SUMPRODUCT(('⏱️ Entrada e Saída'!$C$4:$C$507=A57)*('⏱️ Entrada e Saída'!$H$4:$H$507&lt;&gt;"")*('⏱️ Entrada e Saída'!$J$4:$J$507&lt;&gt;"")*IF($H$4="",1,TEXT('⏱️ Entrada e Saída'!$F$4:$F$507,"DD/MM")=TEXT($H$4,"DD/MM"))))</f>
        <v>0</v>
      </c>
      <c r="E57" s="263">
        <f t="shared" si="1"/>
        <v>0</v>
      </c>
      <c r="F57" s="264" t="str">
        <f t="shared" si="2"/>
        <v/>
      </c>
      <c r="G57" s="258">
        <f>IF(OR(A57="",A57=0),"",SUMPRODUCT(('⏱️ Entrada e Saída'!$C$4:$C$507=A57)*('⏱️ Entrada e Saída'!$L$4:$L$507="✅ Finalizado")*IF($H$4="",1,TEXT('⏱️ Entrada e Saída'!$F$4:$F$507,"dd/mm")=TEXT($H$4,"dd/mm"))*IFERROR(VALUE('⏱️ Entrada e Saída'!$K$4:$K$507),0)))</f>
        <v>0</v>
      </c>
      <c r="H57" s="110"/>
      <c r="I57" s="13"/>
    </row>
    <row r="58" ht="21.75" customHeight="1">
      <c r="A58" s="259" t="str">
        <f>'📋 Empresas'!B44</f>
        <v>STUDIO K MULTI EVENTOS LTDA </v>
      </c>
      <c r="B58" s="260">
        <f>IF(OR(A58="",A58=0),"",SUMPRODUCT(('⏱️ Entrada e Saída'!$C$4:$C$507=A58)*IF($H$4="",1,TEXT('⏱️ Entrada e Saída'!$F$4:$F$507,"DD/MM")=TEXT($H$4,"DD/MM"))))</f>
        <v>0</v>
      </c>
      <c r="C58" s="261">
        <f>IF(OR(A58="",A58=0),"",SUMPRODUCT(('⏱️ Entrada e Saída'!$C$4:$C$507=A58)*('⏱️ Entrada e Saída'!$H$4:$H$507&lt;&gt;"")*('⏱️ Entrada e Saída'!$J$4:$J$507="")*IF($H$4="",1,TEXT('⏱️ Entrada e Saída'!$F$4:$F$507,"DD/MM")=TEXT($H$4,"DD/MM"))))</f>
        <v>0</v>
      </c>
      <c r="D58" s="262">
        <f>IF(OR(A58="",A58=0),"",SUMPRODUCT(('⏱️ Entrada e Saída'!$C$4:$C$507=A58)*('⏱️ Entrada e Saída'!$H$4:$H$507&lt;&gt;"")*('⏱️ Entrada e Saída'!$J$4:$J$507&lt;&gt;"")*IF($H$4="",1,TEXT('⏱️ Entrada e Saída'!$F$4:$F$507,"DD/MM")=TEXT($H$4,"DD/MM"))))</f>
        <v>0</v>
      </c>
      <c r="E58" s="263">
        <f t="shared" si="1"/>
        <v>0</v>
      </c>
      <c r="F58" s="264" t="str">
        <f t="shared" si="2"/>
        <v/>
      </c>
      <c r="G58" s="258">
        <f>IF(OR(A58="",A58=0),"",SUMPRODUCT(('⏱️ Entrada e Saída'!$C$4:$C$507=A58)*('⏱️ Entrada e Saída'!$L$4:$L$507="✅ Finalizado")*IF($H$4="",1,TEXT('⏱️ Entrada e Saída'!$F$4:$F$507,"dd/mm")=TEXT($H$4,"dd/mm"))*IFERROR(VALUE('⏱️ Entrada e Saída'!$K$4:$K$507),0)))</f>
        <v>0</v>
      </c>
      <c r="H58" s="110"/>
      <c r="I58" s="13"/>
    </row>
    <row r="59" ht="21.75" customHeight="1">
      <c r="A59" s="259" t="str">
        <f>'📋 Empresas'!B45</f>
        <v>COMPLEXO SERRA DOURADA </v>
      </c>
      <c r="B59" s="260">
        <f>IF(OR(A59="",A59=0),"",SUMPRODUCT(('⏱️ Entrada e Saída'!$C$4:$C$507=A59)*IF($H$4="",1,TEXT('⏱️ Entrada e Saída'!$F$4:$F$507,"DD/MM")=TEXT($H$4,"DD/MM"))))</f>
        <v>0</v>
      </c>
      <c r="C59" s="261">
        <f>IF(OR(A59="",A59=0),"",SUMPRODUCT(('⏱️ Entrada e Saída'!$C$4:$C$507=A59)*('⏱️ Entrada e Saída'!$H$4:$H$507&lt;&gt;"")*('⏱️ Entrada e Saída'!$J$4:$J$507="")*IF($H$4="",1,TEXT('⏱️ Entrada e Saída'!$F$4:$F$507,"DD/MM")=TEXT($H$4,"DD/MM"))))</f>
        <v>0</v>
      </c>
      <c r="D59" s="262">
        <f>IF(OR(A59="",A59=0),"",SUMPRODUCT(('⏱️ Entrada e Saída'!$C$4:$C$507=A59)*('⏱️ Entrada e Saída'!$H$4:$H$507&lt;&gt;"")*('⏱️ Entrada e Saída'!$J$4:$J$507&lt;&gt;"")*IF($H$4="",1,TEXT('⏱️ Entrada e Saída'!$F$4:$F$507,"DD/MM")=TEXT($H$4,"DD/MM"))))</f>
        <v>0</v>
      </c>
      <c r="E59" s="263">
        <f t="shared" si="1"/>
        <v>0</v>
      </c>
      <c r="F59" s="264" t="str">
        <f t="shared" si="2"/>
        <v/>
      </c>
      <c r="G59" s="258">
        <f>IF(OR(A59="",A59=0),"",SUMPRODUCT(('⏱️ Entrada e Saída'!$C$4:$C$507=A59)*('⏱️ Entrada e Saída'!$L$4:$L$507="✅ Finalizado")*IF($H$4="",1,TEXT('⏱️ Entrada e Saída'!$F$4:$F$507,"dd/mm")=TEXT($H$4,"dd/mm"))*IFERROR(VALUE('⏱️ Entrada e Saída'!$K$4:$K$507),0)))</f>
        <v>0</v>
      </c>
      <c r="H59" s="110"/>
      <c r="I59" s="13"/>
    </row>
    <row r="60" ht="21.75" customHeight="1">
      <c r="A60" s="259" t="str">
        <f>'📋 Empresas'!B46</f>
        <v>mobile 2000</v>
      </c>
      <c r="B60" s="260">
        <f>IF(OR(A60="",A60=0),"",SUMPRODUCT(('⏱️ Entrada e Saída'!$C$4:$C$507=A60)*IF($H$4="",1,TEXT('⏱️ Entrada e Saída'!$F$4:$F$507,"DD/MM")=TEXT($H$4,"DD/MM"))))</f>
        <v>0</v>
      </c>
      <c r="C60" s="261">
        <f>IF(OR(A60="",A60=0),"",SUMPRODUCT(('⏱️ Entrada e Saída'!$C$4:$C$507=A60)*('⏱️ Entrada e Saída'!$H$4:$H$507&lt;&gt;"")*('⏱️ Entrada e Saída'!$J$4:$J$507="")*IF($H$4="",1,TEXT('⏱️ Entrada e Saída'!$F$4:$F$507,"DD/MM")=TEXT($H$4,"DD/MM"))))</f>
        <v>0</v>
      </c>
      <c r="D60" s="262">
        <f>IF(OR(A60="",A60=0),"",SUMPRODUCT(('⏱️ Entrada e Saída'!$C$4:$C$507=A60)*('⏱️ Entrada e Saída'!$H$4:$H$507&lt;&gt;"")*('⏱️ Entrada e Saída'!$J$4:$J$507&lt;&gt;"")*IF($H$4="",1,TEXT('⏱️ Entrada e Saída'!$F$4:$F$507,"DD/MM")=TEXT($H$4,"DD/MM"))))</f>
        <v>0</v>
      </c>
      <c r="E60" s="263">
        <f t="shared" si="1"/>
        <v>0</v>
      </c>
      <c r="F60" s="264" t="str">
        <f t="shared" si="2"/>
        <v/>
      </c>
      <c r="G60" s="258">
        <f>IF(OR(A60="",A60=0),"",SUMPRODUCT(('⏱️ Entrada e Saída'!$C$4:$C$507=A60)*('⏱️ Entrada e Saída'!$L$4:$L$507="✅ Finalizado")*IF($H$4="",1,TEXT('⏱️ Entrada e Saída'!$F$4:$F$507,"dd/mm")=TEXT($H$4,"dd/mm"))*IFERROR(VALUE('⏱️ Entrada e Saída'!$K$4:$K$507),0)))</f>
        <v>0</v>
      </c>
      <c r="H60" s="110"/>
      <c r="I60" s="13"/>
    </row>
    <row r="61" ht="21.75" customHeight="1">
      <c r="A61" s="259" t="str">
        <f>'📋 Empresas'!B47</f>
        <v>YES </v>
      </c>
      <c r="B61" s="260">
        <f>IF(OR(A61="",A61=0),"",SUMPRODUCT(('⏱️ Entrada e Saída'!$C$4:$C$507=A61)*IF($H$4="",1,TEXT('⏱️ Entrada e Saída'!$F$4:$F$507,"DD/MM")=TEXT($H$4,"DD/MM"))))</f>
        <v>1</v>
      </c>
      <c r="C61" s="261">
        <f>IF(OR(A61="",A61=0),"",SUMPRODUCT(('⏱️ Entrada e Saída'!$C$4:$C$507=A61)*('⏱️ Entrada e Saída'!$H$4:$H$507&lt;&gt;"")*('⏱️ Entrada e Saída'!$J$4:$J$507="")*IF($H$4="",1,TEXT('⏱️ Entrada e Saída'!$F$4:$F$507,"DD/MM")=TEXT($H$4,"DD/MM"))))</f>
        <v>0</v>
      </c>
      <c r="D61" s="262">
        <f>IF(OR(A61="",A61=0),"",SUMPRODUCT(('⏱️ Entrada e Saída'!$C$4:$C$507=A61)*('⏱️ Entrada e Saída'!$H$4:$H$507&lt;&gt;"")*('⏱️ Entrada e Saída'!$J$4:$J$507&lt;&gt;"")*IF($H$4="",1,TEXT('⏱️ Entrada e Saída'!$F$4:$F$507,"DD/MM")=TEXT($H$4,"DD/MM"))))</f>
        <v>1</v>
      </c>
      <c r="E61" s="263">
        <f t="shared" si="1"/>
        <v>0</v>
      </c>
      <c r="F61" s="264">
        <f t="shared" si="2"/>
        <v>1</v>
      </c>
      <c r="G61" s="258">
        <f>IF(OR(A61="",A61=0),"",SUMPRODUCT(('⏱️ Entrada e Saída'!$C$4:$C$507=A61)*('⏱️ Entrada e Saída'!$L$4:$L$507="✅ Finalizado")*IF($H$4="",1,TEXT('⏱️ Entrada e Saída'!$F$4:$F$507,"dd/mm")=TEXT($H$4,"dd/mm"))*IFERROR(VALUE('⏱️ Entrada e Saída'!$K$4:$K$507),0)))</f>
        <v>0.2652777778</v>
      </c>
      <c r="H61" s="110"/>
      <c r="I61" s="13"/>
    </row>
    <row r="62" ht="21.75" customHeight="1">
      <c r="A62" s="259" t="str">
        <f>'📋 Empresas'!B48</f>
        <v>MINAS PIPOCA </v>
      </c>
      <c r="B62" s="260">
        <f>IF(OR(A62="",A62=0),"",SUMPRODUCT(('⏱️ Entrada e Saída'!$C$4:$C$507=A62)*IF($H$4="",1,TEXT('⏱️ Entrada e Saída'!$F$4:$F$507,"DD/MM")=TEXT($H$4,"DD/MM"))))</f>
        <v>0</v>
      </c>
      <c r="C62" s="261">
        <f>IF(OR(A62="",A62=0),"",SUMPRODUCT(('⏱️ Entrada e Saída'!$C$4:$C$507=A62)*('⏱️ Entrada e Saída'!$H$4:$H$507&lt;&gt;"")*('⏱️ Entrada e Saída'!$J$4:$J$507="")*IF($H$4="",1,TEXT('⏱️ Entrada e Saída'!$F$4:$F$507,"DD/MM")=TEXT($H$4,"DD/MM"))))</f>
        <v>0</v>
      </c>
      <c r="D62" s="262">
        <f>IF(OR(A62="",A62=0),"",SUMPRODUCT(('⏱️ Entrada e Saída'!$C$4:$C$507=A62)*('⏱️ Entrada e Saída'!$H$4:$H$507&lt;&gt;"")*('⏱️ Entrada e Saída'!$J$4:$J$507&lt;&gt;"")*IF($H$4="",1,TEXT('⏱️ Entrada e Saída'!$F$4:$F$507,"DD/MM")=TEXT($H$4,"DD/MM"))))</f>
        <v>0</v>
      </c>
      <c r="E62" s="263">
        <f t="shared" si="1"/>
        <v>0</v>
      </c>
      <c r="F62" s="264" t="str">
        <f t="shared" si="2"/>
        <v/>
      </c>
      <c r="G62" s="258">
        <f>IF(OR(A62="",A62=0),"",SUMPRODUCT(('⏱️ Entrada e Saída'!$C$4:$C$507=A62)*('⏱️ Entrada e Saída'!$L$4:$L$507="✅ Finalizado")*IF($H$4="",1,TEXT('⏱️ Entrada e Saída'!$F$4:$F$507,"dd/mm")=TEXT($H$4,"dd/mm"))*IFERROR(VALUE('⏱️ Entrada e Saída'!$K$4:$K$507),0)))</f>
        <v>0</v>
      </c>
      <c r="H62" s="110"/>
      <c r="I62" s="13"/>
    </row>
    <row r="63" ht="21.75" customHeight="1">
      <c r="A63" s="259" t="str">
        <f>'📋 Empresas'!B49</f>
        <v>GOYA</v>
      </c>
      <c r="B63" s="260">
        <f>IF(OR(A63="",A63=0),"",SUMPRODUCT(('⏱️ Entrada e Saída'!$C$4:$C$507=A63)*IF($H$4="",1,TEXT('⏱️ Entrada e Saída'!$F$4:$F$507,"DD/MM")=TEXT($H$4,"DD/MM"))))</f>
        <v>0</v>
      </c>
      <c r="C63" s="261">
        <f>IF(OR(A63="",A63=0),"",SUMPRODUCT(('⏱️ Entrada e Saída'!$C$4:$C$507=A63)*('⏱️ Entrada e Saída'!$H$4:$H$507&lt;&gt;"")*('⏱️ Entrada e Saída'!$J$4:$J$507="")*IF($H$4="",1,TEXT('⏱️ Entrada e Saída'!$F$4:$F$507,"DD/MM")=TEXT($H$4,"DD/MM"))))</f>
        <v>0</v>
      </c>
      <c r="D63" s="262">
        <f>IF(OR(A63="",A63=0),"",SUMPRODUCT(('⏱️ Entrada e Saída'!$C$4:$C$507=A63)*('⏱️ Entrada e Saída'!$H$4:$H$507&lt;&gt;"")*('⏱️ Entrada e Saída'!$J$4:$J$507&lt;&gt;"")*IF($H$4="",1,TEXT('⏱️ Entrada e Saída'!$F$4:$F$507,"DD/MM")=TEXT($H$4,"DD/MM"))))</f>
        <v>0</v>
      </c>
      <c r="E63" s="263">
        <f t="shared" si="1"/>
        <v>0</v>
      </c>
      <c r="F63" s="264" t="str">
        <f t="shared" si="2"/>
        <v/>
      </c>
      <c r="G63" s="258">
        <f>IF(OR(A63="",A63=0),"",SUMPRODUCT(('⏱️ Entrada e Saída'!$C$4:$C$507=A63)*('⏱️ Entrada e Saída'!$L$4:$L$507="✅ Finalizado")*IF($H$4="",1,TEXT('⏱️ Entrada e Saída'!$F$4:$F$507,"dd/mm")=TEXT($H$4,"dd/mm"))*IFERROR(VALUE('⏱️ Entrada e Saída'!$K$4:$K$507),0)))</f>
        <v>0</v>
      </c>
      <c r="H63" s="110"/>
      <c r="I63" s="13"/>
    </row>
    <row r="64" ht="21.75" customHeight="1">
      <c r="A64" s="259" t="str">
        <f>'📋 Empresas'!B50</f>
        <v>IPRILUX</v>
      </c>
      <c r="B64" s="260">
        <f>IF(OR(A64="",A64=0),"",SUMPRODUCT(('⏱️ Entrada e Saída'!$C$4:$C$507=A64)*IF($H$4="",1,TEXT('⏱️ Entrada e Saída'!$F$4:$F$507,"DD/MM")=TEXT($H$4,"DD/MM"))))</f>
        <v>0</v>
      </c>
      <c r="C64" s="261">
        <f>IF(OR(A64="",A64=0),"",SUMPRODUCT(('⏱️ Entrada e Saída'!$C$4:$C$507=A64)*('⏱️ Entrada e Saída'!$H$4:$H$507&lt;&gt;"")*('⏱️ Entrada e Saída'!$J$4:$J$507="")*IF($H$4="",1,TEXT('⏱️ Entrada e Saída'!$F$4:$F$507,"DD/MM")=TEXT($H$4,"DD/MM"))))</f>
        <v>0</v>
      </c>
      <c r="D64" s="262">
        <f>IF(OR(A64="",A64=0),"",SUMPRODUCT(('⏱️ Entrada e Saída'!$C$4:$C$507=A64)*('⏱️ Entrada e Saída'!$H$4:$H$507&lt;&gt;"")*('⏱️ Entrada e Saída'!$J$4:$J$507&lt;&gt;"")*IF($H$4="",1,TEXT('⏱️ Entrada e Saída'!$F$4:$F$507,"DD/MM")=TEXT($H$4,"DD/MM"))))</f>
        <v>0</v>
      </c>
      <c r="E64" s="263">
        <f t="shared" si="1"/>
        <v>0</v>
      </c>
      <c r="F64" s="264" t="str">
        <f t="shared" si="2"/>
        <v/>
      </c>
      <c r="G64" s="258">
        <f>IF(OR(A64="",A64=0),"",SUMPRODUCT(('⏱️ Entrada e Saída'!$C$4:$C$507=A64)*('⏱️ Entrada e Saída'!$L$4:$L$507="✅ Finalizado")*IF($H$4="",1,TEXT('⏱️ Entrada e Saída'!$F$4:$F$507,"dd/mm")=TEXT($H$4,"dd/mm"))*IFERROR(VALUE('⏱️ Entrada e Saída'!$K$4:$K$507),0)))</f>
        <v>0</v>
      </c>
      <c r="H64" s="110"/>
      <c r="I64" s="13"/>
    </row>
    <row r="65" ht="21.75" customHeight="1">
      <c r="A65" s="259" t="str">
        <f>'📋 Empresas'!B51</f>
        <v>NR CAMINHOES </v>
      </c>
      <c r="B65" s="260">
        <f>IF(OR(A65="",A65=0),"",SUMPRODUCT(('⏱️ Entrada e Saída'!$C$4:$C$507=A65)*IF($H$4="",1,TEXT('⏱️ Entrada e Saída'!$F$4:$F$507,"DD/MM")=TEXT($H$4,"DD/MM"))))</f>
        <v>0</v>
      </c>
      <c r="C65" s="261">
        <f>IF(OR(A65="",A65=0),"",SUMPRODUCT(('⏱️ Entrada e Saída'!$C$4:$C$507=A65)*('⏱️ Entrada e Saída'!$H$4:$H$507&lt;&gt;"")*('⏱️ Entrada e Saída'!$J$4:$J$507="")*IF($H$4="",1,TEXT('⏱️ Entrada e Saída'!$F$4:$F$507,"DD/MM")=TEXT($H$4,"DD/MM"))))</f>
        <v>0</v>
      </c>
      <c r="D65" s="262">
        <f>IF(OR(A65="",A65=0),"",SUMPRODUCT(('⏱️ Entrada e Saída'!$C$4:$C$507=A65)*('⏱️ Entrada e Saída'!$H$4:$H$507&lt;&gt;"")*('⏱️ Entrada e Saída'!$J$4:$J$507&lt;&gt;"")*IF($H$4="",1,TEXT('⏱️ Entrada e Saída'!$F$4:$F$507,"DD/MM")=TEXT($H$4,"DD/MM"))))</f>
        <v>0</v>
      </c>
      <c r="E65" s="263">
        <f t="shared" si="1"/>
        <v>0</v>
      </c>
      <c r="F65" s="264" t="str">
        <f t="shared" si="2"/>
        <v/>
      </c>
      <c r="G65" s="258">
        <f>IF(OR(A65="",A65=0),"",SUMPRODUCT(('⏱️ Entrada e Saída'!$C$4:$C$507=A65)*('⏱️ Entrada e Saída'!$L$4:$L$507="✅ Finalizado")*IF($H$4="",1,TEXT('⏱️ Entrada e Saída'!$F$4:$F$507,"dd/mm")=TEXT($H$4,"dd/mm"))*IFERROR(VALUE('⏱️ Entrada e Saída'!$K$4:$K$507),0)))</f>
        <v>0</v>
      </c>
      <c r="H65" s="110"/>
      <c r="I65" s="13"/>
    </row>
    <row r="66" ht="21.75" customHeight="1">
      <c r="A66" s="259" t="str">
        <f>'📋 Empresas'!B52</f>
        <v>DORORO</v>
      </c>
      <c r="B66" s="260">
        <f>IF(OR(A66="",A66=0),"",SUMPRODUCT(('⏱️ Entrada e Saída'!$C$4:$C$507=A66)*IF($H$4="",1,TEXT('⏱️ Entrada e Saída'!$F$4:$F$507,"DD/MM")=TEXT($H$4,"DD/MM"))))</f>
        <v>0</v>
      </c>
      <c r="C66" s="261">
        <f>IF(OR(A66="",A66=0),"",SUMPRODUCT(('⏱️ Entrada e Saída'!$C$4:$C$507=A66)*('⏱️ Entrada e Saída'!$H$4:$H$507&lt;&gt;"")*('⏱️ Entrada e Saída'!$J$4:$J$507="")*IF($H$4="",1,TEXT('⏱️ Entrada e Saída'!$F$4:$F$507,"DD/MM")=TEXT($H$4,"DD/MM"))))</f>
        <v>0</v>
      </c>
      <c r="D66" s="262">
        <f>IF(OR(A66="",A66=0),"",SUMPRODUCT(('⏱️ Entrada e Saída'!$C$4:$C$507=A66)*('⏱️ Entrada e Saída'!$H$4:$H$507&lt;&gt;"")*('⏱️ Entrada e Saída'!$J$4:$J$507&lt;&gt;"")*IF($H$4="",1,TEXT('⏱️ Entrada e Saída'!$F$4:$F$507,"DD/MM")=TEXT($H$4,"DD/MM"))))</f>
        <v>0</v>
      </c>
      <c r="E66" s="263">
        <f t="shared" si="1"/>
        <v>0</v>
      </c>
      <c r="F66" s="264" t="str">
        <f t="shared" si="2"/>
        <v/>
      </c>
      <c r="G66" s="258">
        <f>IF(OR(A66="",A66=0),"",SUMPRODUCT(('⏱️ Entrada e Saída'!$C$4:$C$507=A66)*('⏱️ Entrada e Saída'!$L$4:$L$507="✅ Finalizado")*IF($H$4="",1,TEXT('⏱️ Entrada e Saída'!$F$4:$F$507,"dd/mm")=TEXT($H$4,"dd/mm"))*IFERROR(VALUE('⏱️ Entrada e Saída'!$K$4:$K$507),0)))</f>
        <v>0</v>
      </c>
      <c r="H66" s="110"/>
      <c r="I66" s="13"/>
    </row>
    <row r="67" ht="21.75" customHeight="1">
      <c r="A67" s="259" t="str">
        <f>'📋 Empresas'!B53</f>
        <v>VOLUNTÁRIO</v>
      </c>
      <c r="B67" s="260">
        <f>IF(OR(A67="",A67=0),"",SUMPRODUCT(('⏱️ Entrada e Saída'!$C$4:$C$507=A67)*IF($H$4="",1,TEXT('⏱️ Entrada e Saída'!$F$4:$F$507,"DD/MM")=TEXT($H$4,"DD/MM"))))</f>
        <v>0</v>
      </c>
      <c r="C67" s="261">
        <f>IF(OR(A67="",A67=0),"",SUMPRODUCT(('⏱️ Entrada e Saída'!$C$4:$C$507=A67)*('⏱️ Entrada e Saída'!$H$4:$H$507&lt;&gt;"")*('⏱️ Entrada e Saída'!$J$4:$J$507="")*IF($H$4="",1,TEXT('⏱️ Entrada e Saída'!$F$4:$F$507,"DD/MM")=TEXT($H$4,"DD/MM"))))</f>
        <v>0</v>
      </c>
      <c r="D67" s="262">
        <f>IF(OR(A67="",A67=0),"",SUMPRODUCT(('⏱️ Entrada e Saída'!$C$4:$C$507=A67)*('⏱️ Entrada e Saída'!$H$4:$H$507&lt;&gt;"")*('⏱️ Entrada e Saída'!$J$4:$J$507&lt;&gt;"")*IF($H$4="",1,TEXT('⏱️ Entrada e Saída'!$F$4:$F$507,"DD/MM")=TEXT($H$4,"DD/MM"))))</f>
        <v>0</v>
      </c>
      <c r="E67" s="263">
        <f t="shared" si="1"/>
        <v>0</v>
      </c>
      <c r="F67" s="264" t="str">
        <f t="shared" si="2"/>
        <v/>
      </c>
      <c r="G67" s="258">
        <f>IF(OR(A67="",A67=0),"",SUMPRODUCT(('⏱️ Entrada e Saída'!$C$4:$C$507=A67)*('⏱️ Entrada e Saída'!$L$4:$L$507="✅ Finalizado")*IF($H$4="",1,TEXT('⏱️ Entrada e Saída'!$F$4:$F$507,"dd/mm")=TEXT($H$4,"dd/mm"))*IFERROR(VALUE('⏱️ Entrada e Saída'!$K$4:$K$507),0)))</f>
        <v>0</v>
      </c>
      <c r="H67" s="110"/>
      <c r="I67" s="13"/>
    </row>
    <row r="68" ht="21.75" customHeight="1">
      <c r="A68" s="259" t="str">
        <f>'📋 Empresas'!B54</f>
        <v>ASSESSORIA DE IMPRENSA</v>
      </c>
      <c r="B68" s="260">
        <f>IF(OR(A68="",A68=0),"",SUMPRODUCT(('⏱️ Entrada e Saída'!$C$4:$C$507=A68)*IF($H$4="",1,TEXT('⏱️ Entrada e Saída'!$F$4:$F$507,"DD/MM")=TEXT($H$4,"DD/MM"))))</f>
        <v>0</v>
      </c>
      <c r="C68" s="261">
        <f>IF(OR(A68="",A68=0),"",SUMPRODUCT(('⏱️ Entrada e Saída'!$C$4:$C$507=A68)*('⏱️ Entrada e Saída'!$H$4:$H$507&lt;&gt;"")*('⏱️ Entrada e Saída'!$J$4:$J$507="")*IF($H$4="",1,TEXT('⏱️ Entrada e Saída'!$F$4:$F$507,"DD/MM")=TEXT($H$4,"DD/MM"))))</f>
        <v>0</v>
      </c>
      <c r="D68" s="262">
        <f>IF(OR(A68="",A68=0),"",SUMPRODUCT(('⏱️ Entrada e Saída'!$C$4:$C$507=A68)*('⏱️ Entrada e Saída'!$H$4:$H$507&lt;&gt;"")*('⏱️ Entrada e Saída'!$J$4:$J$507&lt;&gt;"")*IF($H$4="",1,TEXT('⏱️ Entrada e Saída'!$F$4:$F$507,"DD/MM")=TEXT($H$4,"DD/MM"))))</f>
        <v>0</v>
      </c>
      <c r="E68" s="263">
        <f t="shared" si="1"/>
        <v>0</v>
      </c>
      <c r="F68" s="264" t="str">
        <f t="shared" si="2"/>
        <v/>
      </c>
      <c r="G68" s="258">
        <f>IF(OR(A68="",A68=0),"",SUMPRODUCT(('⏱️ Entrada e Saída'!$C$4:$C$507=A68)*('⏱️ Entrada e Saída'!$L$4:$L$507="✅ Finalizado")*IF($H$4="",1,TEXT('⏱️ Entrada e Saída'!$F$4:$F$507,"dd/mm")=TEXT($H$4,"dd/mm"))*IFERROR(VALUE('⏱️ Entrada e Saída'!$K$4:$K$507),0)))</f>
        <v>0</v>
      </c>
      <c r="H68" s="110"/>
      <c r="I68" s="13"/>
    </row>
    <row r="69" ht="21.75" customHeight="1">
      <c r="A69" s="259" t="str">
        <f>'📋 Empresas'!B55</f>
        <v>VALADARES EVENTOS </v>
      </c>
      <c r="B69" s="260">
        <f>IF(OR(A69="",A69=0),"",SUMPRODUCT(('⏱️ Entrada e Saída'!$C$4:$C$507=A69)*IF($H$4="",1,TEXT('⏱️ Entrada e Saída'!$F$4:$F$507,"DD/MM")=TEXT($H$4,"DD/MM"))))</f>
        <v>0</v>
      </c>
      <c r="C69" s="261">
        <f>IF(OR(A69="",A69=0),"",SUMPRODUCT(('⏱️ Entrada e Saída'!$C$4:$C$507=A69)*('⏱️ Entrada e Saída'!$H$4:$H$507&lt;&gt;"")*('⏱️ Entrada e Saída'!$J$4:$J$507="")*IF($H$4="",1,TEXT('⏱️ Entrada e Saída'!$F$4:$F$507,"DD/MM")=TEXT($H$4,"DD/MM"))))</f>
        <v>0</v>
      </c>
      <c r="D69" s="262">
        <f>IF(OR(A69="",A69=0),"",SUMPRODUCT(('⏱️ Entrada e Saída'!$C$4:$C$507=A69)*('⏱️ Entrada e Saída'!$H$4:$H$507&lt;&gt;"")*('⏱️ Entrada e Saída'!$J$4:$J$507&lt;&gt;"")*IF($H$4="",1,TEXT('⏱️ Entrada e Saída'!$F$4:$F$507,"DD/MM")=TEXT($H$4,"DD/MM"))))</f>
        <v>0</v>
      </c>
      <c r="E69" s="263">
        <f t="shared" si="1"/>
        <v>0</v>
      </c>
      <c r="F69" s="264" t="str">
        <f t="shared" si="2"/>
        <v/>
      </c>
      <c r="G69" s="258">
        <f>IF(OR(A69="",A69=0),"",SUMPRODUCT(('⏱️ Entrada e Saída'!$C$4:$C$507=A69)*('⏱️ Entrada e Saída'!$L$4:$L$507="✅ Finalizado")*IF($H$4="",1,TEXT('⏱️ Entrada e Saída'!$F$4:$F$507,"dd/mm")=TEXT($H$4,"dd/mm"))*IFERROR(VALUE('⏱️ Entrada e Saída'!$K$4:$K$507),0)))</f>
        <v>0</v>
      </c>
      <c r="H69" s="110"/>
      <c r="I69" s="13"/>
    </row>
    <row r="70" ht="21.75" customHeight="1">
      <c r="A70" s="259" t="str">
        <f>'📋 Empresas'!B56</f>
        <v>PUBLIC ADDRESS</v>
      </c>
      <c r="B70" s="260">
        <f>IF(OR(A70="",A70=0),"",SUMPRODUCT(('⏱️ Entrada e Saída'!$C$4:$C$507=A70)*IF($H$4="",1,TEXT('⏱️ Entrada e Saída'!$F$4:$F$507,"DD/MM")=TEXT($H$4,"DD/MM"))))</f>
        <v>0</v>
      </c>
      <c r="C70" s="261">
        <f>IF(OR(A70="",A70=0),"",SUMPRODUCT(('⏱️ Entrada e Saída'!$C$4:$C$507=A70)*('⏱️ Entrada e Saída'!$H$4:$H$507&lt;&gt;"")*('⏱️ Entrada e Saída'!$J$4:$J$507="")*IF($H$4="",1,TEXT('⏱️ Entrada e Saída'!$F$4:$F$507,"DD/MM")=TEXT($H$4,"DD/MM"))))</f>
        <v>0</v>
      </c>
      <c r="D70" s="262">
        <f>IF(OR(A70="",A70=0),"",SUMPRODUCT(('⏱️ Entrada e Saída'!$C$4:$C$507=A70)*('⏱️ Entrada e Saída'!$H$4:$H$507&lt;&gt;"")*('⏱️ Entrada e Saída'!$J$4:$J$507&lt;&gt;"")*IF($H$4="",1,TEXT('⏱️ Entrada e Saída'!$F$4:$F$507,"DD/MM")=TEXT($H$4,"DD/MM"))))</f>
        <v>0</v>
      </c>
      <c r="E70" s="263">
        <f t="shared" si="1"/>
        <v>0</v>
      </c>
      <c r="F70" s="264" t="str">
        <f t="shared" si="2"/>
        <v/>
      </c>
      <c r="G70" s="258">
        <f>IF(OR(A70="",A70=0),"",SUMPRODUCT(('⏱️ Entrada e Saída'!$C$4:$C$507=A70)*('⏱️ Entrada e Saída'!$L$4:$L$507="✅ Finalizado")*IF($H$4="",1,TEXT('⏱️ Entrada e Saída'!$F$4:$F$507,"dd/mm")=TEXT($H$4,"dd/mm"))*IFERROR(VALUE('⏱️ Entrada e Saída'!$K$4:$K$507),0)))</f>
        <v>0</v>
      </c>
      <c r="H70" s="110"/>
      <c r="I70" s="13"/>
    </row>
    <row r="71" ht="12.0" customHeight="1">
      <c r="A71" s="110"/>
      <c r="B71" s="110"/>
      <c r="C71" s="110"/>
      <c r="D71" s="110"/>
      <c r="E71" s="110"/>
      <c r="F71" s="110"/>
      <c r="G71" s="110"/>
      <c r="H71" s="110"/>
      <c r="I71" s="13"/>
    </row>
    <row r="72" ht="25.5" customHeight="1">
      <c r="A72" s="265" t="s">
        <v>2002</v>
      </c>
      <c r="B72" s="2"/>
      <c r="C72" s="2"/>
      <c r="D72" s="2"/>
      <c r="E72" s="2"/>
      <c r="F72" s="2"/>
      <c r="G72" s="3"/>
      <c r="H72" s="110"/>
      <c r="I72" s="13"/>
    </row>
    <row r="73" ht="21.75" customHeight="1">
      <c r="A73" s="266" t="s">
        <v>2003</v>
      </c>
      <c r="B73" s="267" t="s">
        <v>2004</v>
      </c>
      <c r="C73" s="268"/>
      <c r="D73" s="268"/>
      <c r="E73" s="268"/>
      <c r="F73" s="268"/>
      <c r="G73" s="269"/>
      <c r="H73" s="110"/>
      <c r="I73" s="13"/>
    </row>
    <row r="74" ht="21.75" customHeight="1">
      <c r="A74" s="270" t="s">
        <v>2005</v>
      </c>
      <c r="B74" s="271" t="s">
        <v>2006</v>
      </c>
      <c r="C74" s="268"/>
      <c r="D74" s="268"/>
      <c r="E74" s="268"/>
      <c r="F74" s="268"/>
      <c r="G74" s="269"/>
      <c r="H74" s="110"/>
      <c r="I74" s="13"/>
    </row>
    <row r="75" ht="21.75" customHeight="1">
      <c r="A75" s="266" t="s">
        <v>2007</v>
      </c>
      <c r="B75" s="267" t="s">
        <v>2008</v>
      </c>
      <c r="C75" s="268"/>
      <c r="D75" s="268"/>
      <c r="E75" s="268"/>
      <c r="F75" s="268"/>
      <c r="G75" s="269"/>
      <c r="H75" s="110"/>
      <c r="I75" s="13"/>
    </row>
    <row r="76" ht="21.75" customHeight="1">
      <c r="A76" s="270" t="s">
        <v>2009</v>
      </c>
      <c r="B76" s="271" t="s">
        <v>2010</v>
      </c>
      <c r="C76" s="268"/>
      <c r="D76" s="268"/>
      <c r="E76" s="268"/>
      <c r="F76" s="268"/>
      <c r="G76" s="269"/>
      <c r="H76" s="110"/>
      <c r="I76" s="13"/>
    </row>
    <row r="77" ht="21.75" customHeight="1">
      <c r="A77" s="266" t="s">
        <v>2011</v>
      </c>
      <c r="B77" s="267" t="s">
        <v>2012</v>
      </c>
      <c r="C77" s="268"/>
      <c r="D77" s="268"/>
      <c r="E77" s="268"/>
      <c r="F77" s="268"/>
      <c r="G77" s="269"/>
      <c r="H77" s="110"/>
      <c r="I77" s="13"/>
    </row>
    <row r="78" ht="21.75" customHeight="1">
      <c r="A78" s="270" t="s">
        <v>2013</v>
      </c>
      <c r="B78" s="271" t="s">
        <v>2014</v>
      </c>
      <c r="C78" s="268"/>
      <c r="D78" s="268"/>
      <c r="E78" s="268"/>
      <c r="F78" s="268"/>
      <c r="G78" s="269"/>
      <c r="H78" s="110"/>
      <c r="I78" s="13"/>
    </row>
    <row r="79" ht="15.0" customHeight="1">
      <c r="A79" s="110"/>
      <c r="B79" s="110"/>
      <c r="C79" s="110"/>
      <c r="D79" s="110"/>
      <c r="E79" s="110"/>
      <c r="F79" s="110"/>
      <c r="G79" s="110"/>
      <c r="H79" s="110"/>
      <c r="I79" s="13"/>
    </row>
    <row r="80" ht="15.0" customHeight="1">
      <c r="A80" s="110"/>
      <c r="B80" s="110"/>
      <c r="C80" s="110"/>
      <c r="D80" s="110"/>
      <c r="E80" s="110"/>
      <c r="F80" s="110"/>
      <c r="G80" s="110"/>
      <c r="H80" s="110"/>
      <c r="I80" s="13"/>
    </row>
    <row r="81" ht="15.0" customHeight="1">
      <c r="A81" s="110"/>
      <c r="B81" s="110"/>
      <c r="C81" s="110"/>
      <c r="D81" s="110"/>
      <c r="E81" s="110"/>
      <c r="F81" s="110"/>
      <c r="G81" s="110"/>
      <c r="H81" s="110"/>
      <c r="I81" s="13"/>
    </row>
    <row r="82" ht="15.0" customHeight="1">
      <c r="A82" s="110"/>
      <c r="B82" s="110"/>
      <c r="C82" s="110"/>
      <c r="D82" s="110"/>
      <c r="E82" s="110"/>
      <c r="F82" s="110"/>
      <c r="G82" s="110"/>
      <c r="H82" s="110"/>
      <c r="I82" s="13"/>
    </row>
    <row r="83" ht="15.0" customHeight="1">
      <c r="A83" s="110"/>
      <c r="B83" s="110"/>
      <c r="C83" s="110"/>
      <c r="D83" s="110"/>
      <c r="E83" s="110"/>
      <c r="F83" s="110"/>
      <c r="G83" s="110"/>
      <c r="H83" s="110"/>
      <c r="I83" s="13"/>
    </row>
    <row r="84" ht="15.0" customHeight="1">
      <c r="A84" s="110"/>
      <c r="B84" s="110"/>
      <c r="C84" s="110"/>
      <c r="D84" s="110"/>
      <c r="E84" s="110"/>
      <c r="F84" s="110"/>
      <c r="G84" s="110"/>
      <c r="H84" s="110"/>
      <c r="I84" s="13"/>
    </row>
    <row r="85" ht="15.0" customHeight="1">
      <c r="A85" s="110"/>
      <c r="B85" s="110"/>
      <c r="C85" s="110"/>
      <c r="D85" s="110"/>
      <c r="E85" s="110"/>
      <c r="F85" s="110"/>
      <c r="G85" s="110"/>
      <c r="H85" s="110"/>
      <c r="I85" s="13"/>
    </row>
    <row r="86" ht="15.0" customHeight="1">
      <c r="A86" s="110"/>
      <c r="B86" s="110"/>
      <c r="C86" s="110"/>
      <c r="D86" s="110"/>
      <c r="E86" s="110"/>
      <c r="F86" s="110"/>
      <c r="G86" s="110"/>
      <c r="H86" s="110"/>
      <c r="I86" s="13"/>
    </row>
    <row r="87" ht="15.0" customHeight="1">
      <c r="A87" s="110"/>
      <c r="B87" s="110"/>
      <c r="C87" s="110"/>
      <c r="D87" s="110"/>
      <c r="E87" s="110"/>
      <c r="F87" s="110"/>
      <c r="G87" s="110"/>
      <c r="H87" s="110"/>
      <c r="I87" s="13"/>
    </row>
    <row r="88" ht="15.0" customHeight="1">
      <c r="A88" s="110"/>
      <c r="B88" s="110"/>
      <c r="C88" s="110"/>
      <c r="D88" s="110"/>
      <c r="E88" s="110"/>
      <c r="F88" s="110"/>
      <c r="G88" s="110"/>
      <c r="H88" s="110"/>
      <c r="I88" s="13"/>
    </row>
    <row r="89" ht="15.0" customHeight="1">
      <c r="A89" s="110"/>
      <c r="B89" s="110"/>
      <c r="C89" s="110"/>
      <c r="D89" s="110"/>
      <c r="E89" s="110"/>
      <c r="F89" s="110"/>
      <c r="G89" s="110"/>
      <c r="H89" s="110"/>
      <c r="I89" s="13"/>
    </row>
    <row r="90" ht="15.0" customHeight="1">
      <c r="A90" s="110"/>
      <c r="B90" s="110"/>
      <c r="C90" s="110"/>
      <c r="D90" s="110"/>
      <c r="E90" s="110"/>
      <c r="F90" s="110"/>
      <c r="G90" s="110"/>
      <c r="H90" s="110"/>
      <c r="I90" s="13"/>
    </row>
    <row r="91" ht="15.0" customHeight="1">
      <c r="A91" s="110"/>
      <c r="B91" s="110"/>
      <c r="C91" s="110"/>
      <c r="D91" s="110"/>
      <c r="E91" s="110"/>
      <c r="F91" s="110"/>
      <c r="G91" s="110"/>
      <c r="H91" s="110"/>
      <c r="I91" s="13"/>
    </row>
    <row r="92" ht="15.0" customHeight="1">
      <c r="A92" s="110"/>
      <c r="B92" s="110"/>
      <c r="C92" s="110"/>
      <c r="D92" s="110"/>
      <c r="E92" s="110"/>
      <c r="F92" s="110"/>
      <c r="G92" s="110"/>
      <c r="H92" s="110"/>
      <c r="I92" s="13"/>
    </row>
    <row r="93" ht="15.0" customHeight="1">
      <c r="A93" s="110"/>
      <c r="B93" s="110"/>
      <c r="C93" s="110"/>
      <c r="D93" s="110"/>
      <c r="E93" s="110"/>
      <c r="F93" s="110"/>
      <c r="G93" s="110"/>
      <c r="H93" s="110"/>
      <c r="I93" s="13"/>
    </row>
    <row r="94" ht="15.0" customHeight="1">
      <c r="A94" s="110"/>
      <c r="B94" s="110"/>
      <c r="C94" s="110"/>
      <c r="D94" s="110"/>
      <c r="E94" s="110"/>
      <c r="F94" s="110"/>
      <c r="G94" s="110"/>
      <c r="H94" s="110"/>
      <c r="I94" s="13"/>
    </row>
    <row r="95" ht="15.0" customHeight="1">
      <c r="A95" s="110"/>
      <c r="B95" s="110"/>
      <c r="C95" s="110"/>
      <c r="D95" s="110"/>
      <c r="E95" s="110"/>
      <c r="F95" s="110"/>
      <c r="G95" s="110"/>
      <c r="H95" s="110"/>
      <c r="I95" s="13"/>
    </row>
    <row r="96" ht="15.0" customHeight="1">
      <c r="A96" s="110"/>
      <c r="B96" s="110"/>
      <c r="C96" s="110"/>
      <c r="D96" s="110"/>
      <c r="E96" s="110"/>
      <c r="F96" s="110"/>
      <c r="G96" s="110"/>
      <c r="H96" s="110"/>
      <c r="I96" s="13"/>
    </row>
    <row r="97" ht="15.0" customHeight="1">
      <c r="A97" s="110"/>
      <c r="B97" s="110"/>
      <c r="C97" s="110"/>
      <c r="D97" s="110"/>
      <c r="E97" s="110"/>
      <c r="F97" s="110"/>
      <c r="G97" s="110"/>
      <c r="H97" s="110"/>
      <c r="I97" s="13"/>
    </row>
    <row r="98" ht="15.0" customHeight="1">
      <c r="A98" s="110"/>
      <c r="B98" s="110"/>
      <c r="C98" s="110"/>
      <c r="D98" s="110"/>
      <c r="E98" s="110"/>
      <c r="F98" s="110"/>
      <c r="G98" s="110"/>
      <c r="H98" s="110"/>
      <c r="I98" s="13"/>
    </row>
    <row r="99" ht="15.0" customHeight="1">
      <c r="A99" s="110"/>
      <c r="B99" s="110"/>
      <c r="C99" s="110"/>
      <c r="D99" s="110"/>
      <c r="E99" s="110"/>
      <c r="F99" s="110"/>
      <c r="G99" s="110"/>
      <c r="H99" s="110"/>
      <c r="I99" s="13"/>
    </row>
    <row r="100" ht="15.0" customHeight="1">
      <c r="A100" s="110"/>
      <c r="B100" s="110"/>
      <c r="C100" s="110"/>
      <c r="D100" s="110"/>
      <c r="E100" s="110"/>
      <c r="F100" s="110"/>
      <c r="G100" s="110"/>
      <c r="H100" s="110"/>
      <c r="I100" s="13"/>
    </row>
    <row r="101" ht="15.0" customHeight="1">
      <c r="A101" s="110"/>
      <c r="B101" s="110"/>
      <c r="C101" s="110"/>
      <c r="D101" s="110"/>
      <c r="E101" s="110"/>
      <c r="F101" s="110"/>
      <c r="G101" s="110"/>
      <c r="H101" s="110"/>
      <c r="I101" s="13"/>
    </row>
    <row r="102" ht="15.0" customHeight="1">
      <c r="A102" s="110"/>
      <c r="B102" s="110"/>
      <c r="C102" s="110"/>
      <c r="D102" s="110"/>
      <c r="E102" s="110"/>
      <c r="F102" s="110"/>
      <c r="G102" s="110"/>
      <c r="H102" s="110"/>
      <c r="I102" s="13"/>
    </row>
    <row r="103" ht="15.0" customHeight="1">
      <c r="A103" s="110"/>
      <c r="B103" s="110"/>
      <c r="C103" s="110"/>
      <c r="D103" s="110"/>
      <c r="E103" s="110"/>
      <c r="F103" s="110"/>
      <c r="G103" s="110"/>
      <c r="H103" s="110"/>
      <c r="I103" s="13"/>
    </row>
    <row r="104" ht="15.0" customHeight="1">
      <c r="A104" s="110"/>
      <c r="B104" s="110"/>
      <c r="C104" s="110"/>
      <c r="D104" s="110"/>
      <c r="E104" s="110"/>
      <c r="F104" s="110"/>
      <c r="G104" s="110"/>
      <c r="H104" s="110"/>
      <c r="I104" s="13"/>
    </row>
    <row r="105" ht="15.0" customHeight="1">
      <c r="A105" s="110"/>
      <c r="B105" s="110"/>
      <c r="C105" s="110"/>
      <c r="D105" s="110"/>
      <c r="E105" s="110"/>
      <c r="F105" s="110"/>
      <c r="G105" s="110"/>
      <c r="H105" s="110"/>
      <c r="I105" s="13"/>
    </row>
    <row r="106" ht="15.0" customHeight="1">
      <c r="A106" s="110"/>
      <c r="B106" s="110"/>
      <c r="C106" s="110"/>
      <c r="D106" s="110"/>
      <c r="E106" s="110"/>
      <c r="F106" s="110"/>
      <c r="G106" s="110"/>
      <c r="H106" s="110"/>
      <c r="I106" s="13"/>
    </row>
    <row r="107" ht="15.0" customHeight="1">
      <c r="A107" s="110"/>
      <c r="B107" s="110"/>
      <c r="C107" s="110"/>
      <c r="D107" s="110"/>
      <c r="E107" s="110"/>
      <c r="F107" s="110"/>
      <c r="G107" s="110"/>
      <c r="H107" s="110"/>
      <c r="I107" s="13"/>
    </row>
    <row r="108" ht="15.0" customHeight="1">
      <c r="A108" s="110"/>
      <c r="B108" s="110"/>
      <c r="C108" s="110"/>
      <c r="D108" s="110"/>
      <c r="E108" s="110"/>
      <c r="F108" s="110"/>
      <c r="G108" s="110"/>
      <c r="H108" s="110"/>
      <c r="I108" s="13"/>
    </row>
    <row r="109" ht="15.0" customHeight="1">
      <c r="A109" s="110"/>
      <c r="B109" s="110"/>
      <c r="C109" s="110"/>
      <c r="D109" s="110"/>
      <c r="E109" s="110"/>
      <c r="F109" s="110"/>
      <c r="G109" s="110"/>
      <c r="H109" s="110"/>
      <c r="I109" s="13"/>
    </row>
    <row r="110" ht="15.0" customHeight="1">
      <c r="A110" s="110"/>
      <c r="B110" s="110"/>
      <c r="C110" s="110"/>
      <c r="D110" s="110"/>
      <c r="E110" s="110"/>
      <c r="F110" s="110"/>
      <c r="G110" s="110"/>
      <c r="H110" s="110"/>
      <c r="I110" s="13"/>
    </row>
    <row r="111" ht="15.0" customHeight="1">
      <c r="A111" s="110"/>
      <c r="B111" s="110"/>
      <c r="C111" s="110"/>
      <c r="D111" s="110"/>
      <c r="E111" s="110"/>
      <c r="F111" s="110"/>
      <c r="G111" s="110"/>
      <c r="H111" s="110"/>
      <c r="I111" s="13"/>
    </row>
    <row r="112" ht="15.0" customHeight="1">
      <c r="A112" s="110"/>
      <c r="B112" s="110"/>
      <c r="C112" s="110"/>
      <c r="D112" s="110"/>
      <c r="E112" s="110"/>
      <c r="F112" s="110"/>
      <c r="G112" s="110"/>
      <c r="H112" s="110"/>
      <c r="I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</row>
  </sheetData>
  <mergeCells count="13">
    <mergeCell ref="B73:G73"/>
    <mergeCell ref="B74:G74"/>
    <mergeCell ref="B75:G75"/>
    <mergeCell ref="B76:G76"/>
    <mergeCell ref="B77:G77"/>
    <mergeCell ref="B78:G78"/>
    <mergeCell ref="A1:G1"/>
    <mergeCell ref="A2:G2"/>
    <mergeCell ref="A3:G3"/>
    <mergeCell ref="A7:G7"/>
    <mergeCell ref="A12:G12"/>
    <mergeCell ref="A16:G16"/>
    <mergeCell ref="A72:G7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80.0"/>
    <col customWidth="1" min="3" max="26" width="8.71"/>
  </cols>
  <sheetData>
    <row r="1" ht="45.0" customHeight="1">
      <c r="A1" s="1" t="s">
        <v>2015</v>
      </c>
      <c r="B1" s="3"/>
    </row>
    <row r="2" ht="6.0" customHeight="1">
      <c r="A2" s="4"/>
      <c r="B2" s="3"/>
    </row>
    <row r="3">
      <c r="A3" s="13"/>
      <c r="B3" s="13"/>
    </row>
    <row r="4">
      <c r="A4" s="13"/>
      <c r="B4" s="13"/>
    </row>
    <row r="5" ht="19.5" customHeight="1">
      <c r="A5" s="272"/>
      <c r="B5" s="273"/>
    </row>
    <row r="6" ht="19.5" customHeight="1">
      <c r="A6" s="274" t="s">
        <v>2016</v>
      </c>
      <c r="B6" s="275" t="s">
        <v>2017</v>
      </c>
    </row>
    <row r="7" ht="19.5" customHeight="1">
      <c r="A7" s="272"/>
      <c r="B7" s="273"/>
    </row>
    <row r="8" ht="19.5" customHeight="1">
      <c r="A8" s="272"/>
      <c r="B8" s="273" t="s">
        <v>2018</v>
      </c>
    </row>
    <row r="9" ht="19.5" customHeight="1">
      <c r="A9" s="272"/>
      <c r="B9" s="273"/>
    </row>
    <row r="10" ht="19.5" customHeight="1">
      <c r="A10" s="272"/>
      <c r="B10" s="273" t="s">
        <v>2019</v>
      </c>
    </row>
    <row r="11" ht="19.5" customHeight="1">
      <c r="A11" s="272"/>
      <c r="B11" s="273" t="s">
        <v>2020</v>
      </c>
    </row>
    <row r="12" ht="19.5" customHeight="1">
      <c r="A12" s="272"/>
      <c r="B12" s="273" t="s">
        <v>2021</v>
      </c>
    </row>
    <row r="13" ht="19.5" customHeight="1">
      <c r="A13" s="272"/>
      <c r="B13" s="273"/>
    </row>
    <row r="14" ht="19.5" customHeight="1">
      <c r="A14" s="272"/>
      <c r="B14" s="273" t="s">
        <v>2022</v>
      </c>
    </row>
    <row r="15" ht="19.5" customHeight="1">
      <c r="A15" s="272"/>
      <c r="B15" s="273" t="s">
        <v>2023</v>
      </c>
    </row>
    <row r="16" ht="19.5" customHeight="1">
      <c r="A16" s="272"/>
      <c r="B16" s="273" t="s">
        <v>2024</v>
      </c>
    </row>
    <row r="17" ht="19.5" customHeight="1">
      <c r="A17" s="272"/>
      <c r="B17" s="273"/>
    </row>
    <row r="18" ht="19.5" customHeight="1">
      <c r="A18" s="272"/>
      <c r="B18" s="273" t="s">
        <v>2025</v>
      </c>
    </row>
    <row r="19" ht="19.5" customHeight="1">
      <c r="A19" s="272"/>
      <c r="B19" s="273" t="s">
        <v>2026</v>
      </c>
    </row>
    <row r="20" ht="19.5" customHeight="1">
      <c r="A20" s="272"/>
      <c r="B20" s="273"/>
    </row>
    <row r="21" ht="19.5" customHeight="1">
      <c r="A21" s="272"/>
      <c r="B21" s="273" t="s">
        <v>2027</v>
      </c>
    </row>
    <row r="22" ht="19.5" customHeight="1">
      <c r="A22" s="272"/>
      <c r="B22" s="273" t="s">
        <v>2028</v>
      </c>
    </row>
    <row r="23" ht="19.5" customHeight="1">
      <c r="A23" s="272"/>
      <c r="B23" s="273"/>
    </row>
    <row r="24" ht="19.5" customHeight="1">
      <c r="A24" s="272" t="s">
        <v>2029</v>
      </c>
      <c r="B24" s="276" t="s">
        <v>2030</v>
      </c>
    </row>
    <row r="25" ht="19.5" customHeight="1">
      <c r="A25" s="272"/>
      <c r="B25" s="273" t="s">
        <v>2031</v>
      </c>
    </row>
    <row r="26" ht="19.5" customHeight="1">
      <c r="A26" s="272"/>
      <c r="B26" s="273"/>
    </row>
    <row r="27" ht="19.5" customHeight="1">
      <c r="A27" s="272" t="s">
        <v>2032</v>
      </c>
      <c r="B27" s="277" t="s">
        <v>2033</v>
      </c>
    </row>
    <row r="28" ht="19.5" customHeight="1">
      <c r="A28" s="272"/>
      <c r="B28" s="273"/>
    </row>
    <row r="29" ht="19.5" customHeight="1">
      <c r="A29" s="272" t="s">
        <v>2034</v>
      </c>
      <c r="B29" s="278" t="s">
        <v>2035</v>
      </c>
    </row>
    <row r="30" ht="19.5" customHeight="1">
      <c r="A30" s="272" t="s">
        <v>2034</v>
      </c>
      <c r="B30" s="278" t="s">
        <v>94</v>
      </c>
    </row>
    <row r="31" ht="19.5" customHeight="1">
      <c r="A31" s="272" t="s">
        <v>2034</v>
      </c>
      <c r="B31" s="278" t="s">
        <v>2036</v>
      </c>
    </row>
    <row r="32" ht="19.5" customHeight="1">
      <c r="A32" s="272" t="s">
        <v>2034</v>
      </c>
      <c r="B32" s="278" t="s">
        <v>2037</v>
      </c>
    </row>
    <row r="33" ht="19.5" customHeight="1">
      <c r="A33" s="272" t="s">
        <v>2034</v>
      </c>
      <c r="B33" s="278" t="s">
        <v>2038</v>
      </c>
    </row>
    <row r="34" ht="19.5" customHeight="1">
      <c r="A34" s="272" t="s">
        <v>2034</v>
      </c>
      <c r="B34" s="278" t="s">
        <v>2039</v>
      </c>
    </row>
    <row r="35" ht="19.5" customHeight="1">
      <c r="A35" s="272" t="s">
        <v>2034</v>
      </c>
      <c r="B35" s="278" t="s">
        <v>2040</v>
      </c>
    </row>
    <row r="36" ht="19.5" customHeight="1">
      <c r="A36" s="272"/>
      <c r="B36" s="273"/>
    </row>
    <row r="37" ht="19.5" customHeight="1">
      <c r="A37" s="272" t="s">
        <v>2041</v>
      </c>
      <c r="B37" s="276" t="s">
        <v>2042</v>
      </c>
    </row>
    <row r="38" ht="15.75" customHeight="1">
      <c r="A38" s="13"/>
      <c r="B38" s="13"/>
    </row>
    <row r="39" ht="15.75" customHeight="1">
      <c r="A39" s="13"/>
      <c r="B39" s="13"/>
    </row>
    <row r="40" ht="15.75" customHeight="1">
      <c r="A40" s="13"/>
      <c r="B40" s="13"/>
    </row>
    <row r="41" ht="15.75" customHeight="1">
      <c r="A41" s="13"/>
      <c r="B41" s="13"/>
    </row>
    <row r="42" ht="15.75" customHeight="1">
      <c r="A42" s="13"/>
      <c r="B42" s="13"/>
    </row>
    <row r="43" ht="15.75" customHeight="1">
      <c r="A43" s="13"/>
      <c r="B43" s="13"/>
    </row>
    <row r="44" ht="15.75" customHeight="1">
      <c r="A44" s="13"/>
      <c r="B44" s="13"/>
    </row>
    <row r="45" ht="15.75" customHeight="1">
      <c r="A45" s="13"/>
      <c r="B45" s="13"/>
    </row>
    <row r="46" ht="15.75" customHeight="1">
      <c r="A46" s="13"/>
      <c r="B46" s="13"/>
    </row>
    <row r="47" ht="15.75" customHeight="1">
      <c r="A47" s="13"/>
      <c r="B47" s="13"/>
    </row>
    <row r="48" ht="15.75" customHeight="1">
      <c r="A48" s="13"/>
      <c r="B48" s="13"/>
    </row>
    <row r="49" ht="15.75" customHeight="1">
      <c r="A49" s="13"/>
      <c r="B49" s="13"/>
    </row>
    <row r="50" ht="15.75" customHeight="1">
      <c r="A50" s="13"/>
      <c r="B50" s="13"/>
    </row>
    <row r="51" ht="15.75" customHeight="1">
      <c r="A51" s="13"/>
      <c r="B51" s="13"/>
    </row>
    <row r="52" ht="15.75" customHeight="1">
      <c r="A52" s="13"/>
      <c r="B52" s="13"/>
    </row>
    <row r="53" ht="15.75" customHeight="1">
      <c r="A53" s="13"/>
      <c r="B53" s="13"/>
    </row>
    <row r="54" ht="15.75" customHeight="1">
      <c r="A54" s="13"/>
      <c r="B54" s="13"/>
    </row>
    <row r="55" ht="15.75" customHeight="1">
      <c r="A55" s="13"/>
      <c r="B55" s="13"/>
    </row>
    <row r="56" ht="15.75" customHeight="1">
      <c r="A56" s="13"/>
      <c r="B56" s="13"/>
    </row>
    <row r="57" ht="15.75" customHeight="1">
      <c r="A57" s="13"/>
      <c r="B57" s="13"/>
    </row>
    <row r="58" ht="15.75" customHeight="1">
      <c r="A58" s="13"/>
      <c r="B58" s="13"/>
    </row>
    <row r="59" ht="15.75" customHeight="1">
      <c r="A59" s="13"/>
      <c r="B59" s="13"/>
    </row>
    <row r="60" ht="15.75" customHeight="1">
      <c r="A60" s="13"/>
      <c r="B60" s="13"/>
    </row>
    <row r="61" ht="15.75" customHeight="1">
      <c r="A61" s="13"/>
      <c r="B61" s="13"/>
    </row>
    <row r="62" ht="15.75" customHeight="1">
      <c r="A62" s="13"/>
      <c r="B62" s="13"/>
    </row>
    <row r="63" ht="15.75" customHeight="1">
      <c r="A63" s="13"/>
      <c r="B63" s="13"/>
    </row>
    <row r="64" ht="15.75" customHeight="1">
      <c r="A64" s="13"/>
      <c r="B64" s="13"/>
    </row>
    <row r="65" ht="15.75" customHeight="1">
      <c r="A65" s="13"/>
      <c r="B65" s="13"/>
    </row>
    <row r="66" ht="15.75" customHeight="1">
      <c r="A66" s="13"/>
      <c r="B66" s="13"/>
    </row>
    <row r="67" ht="15.75" customHeight="1">
      <c r="A67" s="13"/>
      <c r="B67" s="13"/>
    </row>
    <row r="68" ht="15.75" customHeight="1">
      <c r="A68" s="13"/>
      <c r="B68" s="13"/>
    </row>
    <row r="69" ht="15.75" customHeight="1">
      <c r="A69" s="13"/>
      <c r="B69" s="13"/>
    </row>
    <row r="70" ht="15.75" customHeight="1">
      <c r="A70" s="13"/>
      <c r="B70" s="13"/>
    </row>
    <row r="71" ht="15.75" customHeight="1">
      <c r="A71" s="13"/>
      <c r="B71" s="13"/>
    </row>
    <row r="72" ht="15.75" customHeight="1">
      <c r="A72" s="13"/>
      <c r="B72" s="13"/>
    </row>
    <row r="73" ht="15.75" customHeight="1">
      <c r="A73" s="13"/>
      <c r="B73" s="13"/>
    </row>
    <row r="74" ht="15.75" customHeight="1">
      <c r="A74" s="13"/>
      <c r="B74" s="13"/>
    </row>
    <row r="75" ht="15.75" customHeight="1">
      <c r="A75" s="13"/>
      <c r="B75" s="13"/>
    </row>
    <row r="76" ht="15.75" customHeight="1">
      <c r="A76" s="13"/>
      <c r="B76" s="13"/>
    </row>
    <row r="77" ht="15.75" customHeight="1">
      <c r="A77" s="13"/>
      <c r="B77" s="13"/>
    </row>
    <row r="78" ht="15.75" customHeight="1">
      <c r="A78" s="13"/>
      <c r="B78" s="13"/>
    </row>
    <row r="79" ht="15.75" customHeight="1">
      <c r="A79" s="13"/>
      <c r="B79" s="13"/>
    </row>
    <row r="80" ht="15.75" customHeight="1">
      <c r="A80" s="13"/>
      <c r="B80" s="13"/>
    </row>
    <row r="81" ht="15.75" customHeight="1">
      <c r="A81" s="13"/>
      <c r="B81" s="13"/>
    </row>
    <row r="82" ht="15.75" customHeight="1">
      <c r="A82" s="13"/>
      <c r="B82" s="13"/>
    </row>
    <row r="83" ht="15.75" customHeight="1">
      <c r="A83" s="13"/>
      <c r="B83" s="13"/>
    </row>
    <row r="84" ht="15.75" customHeight="1">
      <c r="A84" s="13"/>
      <c r="B84" s="13"/>
    </row>
    <row r="85" ht="15.75" customHeight="1">
      <c r="A85" s="13"/>
      <c r="B85" s="13"/>
    </row>
    <row r="86" ht="15.75" customHeight="1">
      <c r="A86" s="13"/>
      <c r="B86" s="13"/>
    </row>
    <row r="87" ht="15.75" customHeight="1">
      <c r="A87" s="13"/>
      <c r="B87" s="13"/>
    </row>
    <row r="88" ht="15.75" customHeight="1">
      <c r="A88" s="13"/>
      <c r="B88" s="13"/>
    </row>
    <row r="89" ht="15.75" customHeight="1">
      <c r="A89" s="13"/>
      <c r="B89" s="13"/>
    </row>
    <row r="90" ht="15.75" customHeight="1">
      <c r="A90" s="13"/>
      <c r="B90" s="13"/>
    </row>
    <row r="91" ht="15.75" customHeight="1">
      <c r="A91" s="13"/>
      <c r="B91" s="13"/>
    </row>
    <row r="92" ht="15.75" customHeight="1">
      <c r="A92" s="13"/>
      <c r="B92" s="13"/>
    </row>
    <row r="93" ht="15.75" customHeight="1">
      <c r="A93" s="13"/>
      <c r="B93" s="13"/>
    </row>
    <row r="94" ht="15.75" customHeight="1">
      <c r="A94" s="13"/>
      <c r="B94" s="13"/>
    </row>
    <row r="95" ht="15.75" customHeight="1">
      <c r="A95" s="13"/>
      <c r="B95" s="13"/>
    </row>
    <row r="96" ht="15.75" customHeight="1">
      <c r="A96" s="13"/>
      <c r="B96" s="13"/>
    </row>
    <row r="97" ht="15.75" customHeight="1">
      <c r="A97" s="13"/>
      <c r="B97" s="13"/>
    </row>
    <row r="98" ht="15.75" customHeight="1">
      <c r="A98" s="13"/>
      <c r="B98" s="13"/>
    </row>
    <row r="99" ht="15.75" customHeight="1">
      <c r="A99" s="13"/>
      <c r="B99" s="13"/>
    </row>
    <row r="100" ht="15.75" customHeight="1">
      <c r="A100" s="13"/>
      <c r="B100" s="13"/>
    </row>
    <row r="101" ht="15.75" customHeight="1">
      <c r="A101" s="13"/>
      <c r="B101" s="13"/>
    </row>
    <row r="102" ht="15.75" customHeight="1">
      <c r="A102" s="13"/>
      <c r="B102" s="13"/>
    </row>
    <row r="103" ht="15.75" customHeight="1">
      <c r="A103" s="13"/>
      <c r="B103" s="13"/>
    </row>
    <row r="104" ht="15.75" customHeight="1">
      <c r="A104" s="13"/>
      <c r="B104" s="13"/>
    </row>
    <row r="105" ht="15.75" customHeight="1">
      <c r="A105" s="13"/>
      <c r="B105" s="13"/>
    </row>
    <row r="106" ht="15.75" customHeight="1">
      <c r="A106" s="13"/>
      <c r="B106" s="13"/>
    </row>
    <row r="107" ht="15.75" customHeight="1">
      <c r="A107" s="13"/>
      <c r="B107" s="13"/>
    </row>
    <row r="108" ht="15.75" customHeight="1">
      <c r="A108" s="13"/>
      <c r="B108" s="13"/>
    </row>
    <row r="109" ht="15.75" customHeight="1">
      <c r="A109" s="13"/>
      <c r="B109" s="13"/>
    </row>
    <row r="110" ht="15.75" customHeight="1">
      <c r="A110" s="13"/>
      <c r="B110" s="13"/>
    </row>
    <row r="111" ht="15.75" customHeight="1">
      <c r="A111" s="13"/>
      <c r="B111" s="13"/>
    </row>
    <row r="112" ht="15.75" customHeight="1">
      <c r="A112" s="13"/>
      <c r="B112" s="13"/>
    </row>
    <row r="113" ht="15.75" customHeight="1">
      <c r="A113" s="13"/>
      <c r="B113" s="13"/>
    </row>
    <row r="114" ht="15.75" customHeight="1">
      <c r="A114" s="13"/>
      <c r="B114" s="13"/>
    </row>
    <row r="115" ht="15.75" customHeight="1">
      <c r="A115" s="13"/>
      <c r="B115" s="13"/>
    </row>
    <row r="116" ht="15.75" customHeight="1">
      <c r="A116" s="13"/>
      <c r="B116" s="13"/>
    </row>
    <row r="117" ht="15.75" customHeight="1">
      <c r="A117" s="13"/>
      <c r="B117" s="13"/>
    </row>
    <row r="118" ht="15.75" customHeight="1">
      <c r="A118" s="13"/>
      <c r="B118" s="13"/>
    </row>
    <row r="119" ht="15.75" customHeight="1">
      <c r="A119" s="13"/>
      <c r="B119" s="13"/>
    </row>
    <row r="120" ht="15.75" customHeight="1">
      <c r="A120" s="13"/>
      <c r="B120" s="13"/>
    </row>
    <row r="121" ht="15.75" customHeight="1">
      <c r="A121" s="13"/>
      <c r="B121" s="13"/>
    </row>
    <row r="122" ht="15.75" customHeight="1">
      <c r="A122" s="13"/>
      <c r="B122" s="13"/>
    </row>
    <row r="123" ht="15.75" customHeight="1">
      <c r="A123" s="13"/>
      <c r="B123" s="13"/>
    </row>
    <row r="124" ht="15.75" customHeight="1">
      <c r="A124" s="13"/>
      <c r="B124" s="13"/>
    </row>
    <row r="125" ht="15.75" customHeight="1">
      <c r="A125" s="13"/>
      <c r="B125" s="13"/>
    </row>
    <row r="126" ht="15.75" customHeight="1">
      <c r="A126" s="13"/>
      <c r="B126" s="13"/>
    </row>
    <row r="127" ht="15.75" customHeight="1">
      <c r="A127" s="13"/>
      <c r="B127" s="13"/>
    </row>
    <row r="128" ht="15.75" customHeight="1">
      <c r="A128" s="13"/>
      <c r="B128" s="13"/>
    </row>
    <row r="129" ht="15.75" customHeight="1">
      <c r="A129" s="13"/>
      <c r="B129" s="13"/>
    </row>
    <row r="130" ht="15.75" customHeight="1">
      <c r="A130" s="13"/>
      <c r="B130" s="13"/>
    </row>
    <row r="131" ht="15.75" customHeight="1">
      <c r="A131" s="13"/>
      <c r="B131" s="13"/>
    </row>
    <row r="132" ht="15.75" customHeight="1">
      <c r="A132" s="13"/>
      <c r="B132" s="13"/>
    </row>
    <row r="133" ht="15.75" customHeight="1">
      <c r="A133" s="13"/>
      <c r="B133" s="13"/>
    </row>
    <row r="134" ht="15.75" customHeight="1">
      <c r="A134" s="13"/>
      <c r="B134" s="13"/>
    </row>
    <row r="135" ht="15.75" customHeight="1">
      <c r="A135" s="13"/>
      <c r="B135" s="13"/>
    </row>
    <row r="136" ht="15.75" customHeight="1">
      <c r="A136" s="13"/>
      <c r="B136" s="13"/>
    </row>
    <row r="137" ht="15.75" customHeight="1">
      <c r="A137" s="13"/>
      <c r="B137" s="13"/>
    </row>
    <row r="138" ht="15.75" customHeight="1">
      <c r="A138" s="13"/>
      <c r="B138" s="13"/>
    </row>
    <row r="139" ht="15.75" customHeight="1">
      <c r="A139" s="13"/>
      <c r="B139" s="13"/>
    </row>
    <row r="140" ht="15.75" customHeight="1">
      <c r="A140" s="13"/>
      <c r="B140" s="13"/>
    </row>
    <row r="141" ht="15.75" customHeight="1">
      <c r="A141" s="13"/>
      <c r="B141" s="13"/>
    </row>
    <row r="142" ht="15.75" customHeight="1">
      <c r="A142" s="13"/>
      <c r="B142" s="13"/>
    </row>
    <row r="143" ht="15.75" customHeight="1">
      <c r="A143" s="13"/>
      <c r="B143" s="13"/>
    </row>
    <row r="144" ht="15.75" customHeight="1">
      <c r="A144" s="13"/>
      <c r="B144" s="13"/>
    </row>
    <row r="145" ht="15.75" customHeight="1">
      <c r="A145" s="13"/>
      <c r="B145" s="13"/>
    </row>
    <row r="146" ht="15.75" customHeight="1">
      <c r="A146" s="13"/>
      <c r="B146" s="13"/>
    </row>
    <row r="147" ht="15.75" customHeight="1">
      <c r="A147" s="13"/>
      <c r="B147" s="13"/>
    </row>
    <row r="148" ht="15.75" customHeight="1">
      <c r="A148" s="13"/>
      <c r="B148" s="13"/>
    </row>
    <row r="149" ht="15.75" customHeight="1">
      <c r="A149" s="13"/>
      <c r="B149" s="13"/>
    </row>
    <row r="150" ht="15.75" customHeight="1">
      <c r="A150" s="13"/>
      <c r="B150" s="13"/>
    </row>
    <row r="151" ht="15.75" customHeight="1">
      <c r="A151" s="13"/>
      <c r="B151" s="13"/>
    </row>
    <row r="152" ht="15.75" customHeight="1">
      <c r="A152" s="13"/>
      <c r="B152" s="13"/>
    </row>
    <row r="153" ht="15.75" customHeight="1">
      <c r="A153" s="13"/>
      <c r="B153" s="13"/>
    </row>
    <row r="154" ht="15.75" customHeight="1">
      <c r="A154" s="13"/>
      <c r="B154" s="13"/>
    </row>
    <row r="155" ht="15.75" customHeight="1">
      <c r="A155" s="13"/>
      <c r="B155" s="13"/>
    </row>
    <row r="156" ht="15.75" customHeight="1">
      <c r="A156" s="13"/>
      <c r="B156" s="13"/>
    </row>
    <row r="157" ht="15.75" customHeight="1">
      <c r="A157" s="13"/>
      <c r="B157" s="13"/>
    </row>
    <row r="158" ht="15.75" customHeight="1">
      <c r="A158" s="13"/>
      <c r="B158" s="13"/>
    </row>
    <row r="159" ht="15.75" customHeight="1">
      <c r="A159" s="13"/>
      <c r="B159" s="13"/>
    </row>
    <row r="160" ht="15.75" customHeight="1">
      <c r="A160" s="13"/>
      <c r="B160" s="13"/>
    </row>
    <row r="161" ht="15.75" customHeight="1">
      <c r="A161" s="13"/>
      <c r="B161" s="13"/>
    </row>
    <row r="162" ht="15.75" customHeight="1">
      <c r="A162" s="13"/>
      <c r="B162" s="13"/>
    </row>
    <row r="163" ht="15.75" customHeight="1">
      <c r="A163" s="13"/>
      <c r="B163" s="13"/>
    </row>
    <row r="164" ht="15.75" customHeight="1">
      <c r="A164" s="13"/>
      <c r="B164" s="13"/>
    </row>
    <row r="165" ht="15.75" customHeight="1">
      <c r="A165" s="13"/>
      <c r="B165" s="13"/>
    </row>
    <row r="166" ht="15.75" customHeight="1">
      <c r="A166" s="13"/>
      <c r="B166" s="13"/>
    </row>
    <row r="167" ht="15.75" customHeight="1">
      <c r="A167" s="13"/>
      <c r="B167" s="13"/>
    </row>
    <row r="168" ht="15.75" customHeight="1">
      <c r="A168" s="13"/>
      <c r="B168" s="13"/>
    </row>
    <row r="169" ht="15.75" customHeight="1">
      <c r="A169" s="13"/>
      <c r="B169" s="13"/>
    </row>
    <row r="170" ht="15.75" customHeight="1">
      <c r="A170" s="13"/>
      <c r="B170" s="13"/>
    </row>
    <row r="171" ht="15.75" customHeight="1">
      <c r="A171" s="13"/>
      <c r="B171" s="13"/>
    </row>
    <row r="172" ht="15.75" customHeight="1">
      <c r="A172" s="13"/>
      <c r="B172" s="13"/>
    </row>
    <row r="173" ht="15.75" customHeight="1">
      <c r="A173" s="13"/>
      <c r="B173" s="13"/>
    </row>
    <row r="174" ht="15.75" customHeight="1">
      <c r="A174" s="13"/>
      <c r="B174" s="13"/>
    </row>
    <row r="175" ht="15.75" customHeight="1">
      <c r="A175" s="13"/>
      <c r="B175" s="13"/>
    </row>
    <row r="176" ht="15.75" customHeight="1">
      <c r="A176" s="13"/>
      <c r="B176" s="13"/>
    </row>
    <row r="177" ht="15.75" customHeight="1">
      <c r="A177" s="13"/>
      <c r="B177" s="13"/>
    </row>
    <row r="178" ht="15.75" customHeight="1">
      <c r="A178" s="13"/>
      <c r="B178" s="13"/>
    </row>
    <row r="179" ht="15.75" customHeight="1">
      <c r="A179" s="13"/>
      <c r="B179" s="13"/>
    </row>
    <row r="180" ht="15.75" customHeight="1">
      <c r="A180" s="13"/>
      <c r="B180" s="13"/>
    </row>
    <row r="181" ht="15.75" customHeight="1">
      <c r="A181" s="13"/>
      <c r="B181" s="13"/>
    </row>
    <row r="182" ht="15.75" customHeight="1">
      <c r="A182" s="13"/>
      <c r="B182" s="13"/>
    </row>
    <row r="183" ht="15.75" customHeight="1">
      <c r="A183" s="13"/>
      <c r="B183" s="13"/>
    </row>
    <row r="184" ht="15.75" customHeight="1">
      <c r="A184" s="13"/>
      <c r="B184" s="13"/>
    </row>
    <row r="185" ht="15.75" customHeight="1">
      <c r="A185" s="13"/>
      <c r="B185" s="13"/>
    </row>
    <row r="186" ht="15.75" customHeight="1">
      <c r="A186" s="13"/>
      <c r="B186" s="13"/>
    </row>
    <row r="187" ht="15.75" customHeight="1">
      <c r="A187" s="13"/>
      <c r="B187" s="13"/>
    </row>
    <row r="188" ht="15.75" customHeight="1">
      <c r="A188" s="13"/>
      <c r="B188" s="13"/>
    </row>
    <row r="189" ht="15.75" customHeight="1">
      <c r="A189" s="13"/>
      <c r="B189" s="13"/>
    </row>
    <row r="190" ht="15.75" customHeight="1">
      <c r="A190" s="13"/>
      <c r="B190" s="13"/>
    </row>
    <row r="191" ht="15.75" customHeight="1">
      <c r="A191" s="13"/>
      <c r="B191" s="13"/>
    </row>
    <row r="192" ht="15.75" customHeight="1">
      <c r="A192" s="13"/>
      <c r="B192" s="13"/>
    </row>
    <row r="193" ht="15.75" customHeight="1">
      <c r="A193" s="13"/>
      <c r="B193" s="13"/>
    </row>
    <row r="194" ht="15.75" customHeight="1">
      <c r="A194" s="13"/>
      <c r="B194" s="13"/>
    </row>
    <row r="195" ht="15.75" customHeight="1">
      <c r="A195" s="13"/>
      <c r="B195" s="13"/>
    </row>
    <row r="196" ht="15.75" customHeight="1">
      <c r="A196" s="13"/>
      <c r="B196" s="13"/>
    </row>
    <row r="197" ht="15.75" customHeight="1">
      <c r="A197" s="13"/>
      <c r="B197" s="13"/>
    </row>
    <row r="198" ht="15.75" customHeight="1">
      <c r="A198" s="13"/>
      <c r="B198" s="13"/>
    </row>
    <row r="199" ht="15.75" customHeight="1">
      <c r="A199" s="13"/>
      <c r="B199" s="13"/>
    </row>
    <row r="200" ht="15.75" customHeight="1">
      <c r="A200" s="13"/>
      <c r="B200" s="13"/>
    </row>
    <row r="201" ht="15.75" customHeight="1">
      <c r="A201" s="13"/>
      <c r="B201" s="13"/>
    </row>
    <row r="202" ht="15.75" customHeight="1">
      <c r="A202" s="13"/>
      <c r="B202" s="13"/>
    </row>
    <row r="203" ht="15.75" customHeight="1">
      <c r="A203" s="13"/>
      <c r="B203" s="13"/>
    </row>
    <row r="204" ht="15.75" customHeight="1">
      <c r="A204" s="13"/>
      <c r="B204" s="13"/>
    </row>
    <row r="205" ht="15.75" customHeight="1">
      <c r="A205" s="13"/>
      <c r="B205" s="13"/>
    </row>
    <row r="206" ht="15.75" customHeight="1">
      <c r="A206" s="13"/>
      <c r="B206" s="13"/>
    </row>
    <row r="207" ht="15.75" customHeight="1">
      <c r="A207" s="13"/>
      <c r="B207" s="13"/>
    </row>
    <row r="208" ht="15.75" customHeight="1">
      <c r="A208" s="13"/>
      <c r="B208" s="13"/>
    </row>
    <row r="209" ht="15.75" customHeight="1">
      <c r="A209" s="13"/>
      <c r="B209" s="13"/>
    </row>
    <row r="210" ht="15.75" customHeight="1">
      <c r="A210" s="13"/>
      <c r="B210" s="13"/>
    </row>
    <row r="211" ht="15.75" customHeight="1">
      <c r="A211" s="13"/>
      <c r="B211" s="13"/>
    </row>
    <row r="212" ht="15.75" customHeight="1">
      <c r="A212" s="13"/>
      <c r="B212" s="13"/>
    </row>
    <row r="213" ht="15.75" customHeight="1">
      <c r="A213" s="13"/>
      <c r="B213" s="13"/>
    </row>
    <row r="214" ht="15.75" customHeight="1">
      <c r="A214" s="13"/>
      <c r="B214" s="13"/>
    </row>
    <row r="215" ht="15.75" customHeight="1">
      <c r="A215" s="13"/>
      <c r="B215" s="13"/>
    </row>
    <row r="216" ht="15.75" customHeight="1">
      <c r="A216" s="13"/>
      <c r="B216" s="13"/>
    </row>
    <row r="217" ht="15.75" customHeight="1">
      <c r="A217" s="13"/>
      <c r="B217" s="13"/>
    </row>
    <row r="218" ht="15.75" customHeight="1">
      <c r="A218" s="13"/>
      <c r="B218" s="13"/>
    </row>
    <row r="219" ht="15.75" customHeight="1">
      <c r="A219" s="13"/>
      <c r="B219" s="13"/>
    </row>
    <row r="220" ht="15.75" customHeight="1">
      <c r="A220" s="13"/>
      <c r="B220" s="13"/>
    </row>
    <row r="221" ht="15.75" customHeight="1">
      <c r="A221" s="13"/>
      <c r="B221" s="13"/>
    </row>
    <row r="222" ht="15.75" customHeight="1">
      <c r="A222" s="13"/>
      <c r="B222" s="13"/>
    </row>
    <row r="223" ht="15.75" customHeight="1">
      <c r="A223" s="13"/>
      <c r="B223" s="13"/>
    </row>
    <row r="224" ht="15.75" customHeight="1">
      <c r="A224" s="13"/>
      <c r="B224" s="13"/>
    </row>
    <row r="225" ht="15.75" customHeight="1">
      <c r="A225" s="13"/>
      <c r="B225" s="13"/>
    </row>
    <row r="226" ht="15.75" customHeight="1">
      <c r="A226" s="13"/>
      <c r="B226" s="13"/>
    </row>
    <row r="227" ht="15.75" customHeight="1">
      <c r="A227" s="13"/>
      <c r="B227" s="13"/>
    </row>
    <row r="228" ht="15.75" customHeight="1">
      <c r="A228" s="13"/>
      <c r="B228" s="13"/>
    </row>
    <row r="229" ht="15.75" customHeight="1">
      <c r="A229" s="13"/>
      <c r="B229" s="13"/>
    </row>
    <row r="230" ht="15.75" customHeight="1">
      <c r="A230" s="13"/>
      <c r="B230" s="13"/>
    </row>
    <row r="231" ht="15.75" customHeight="1">
      <c r="A231" s="13"/>
      <c r="B231" s="13"/>
    </row>
    <row r="232" ht="15.75" customHeight="1">
      <c r="A232" s="13"/>
      <c r="B232" s="13"/>
    </row>
    <row r="233" ht="15.75" customHeight="1">
      <c r="A233" s="13"/>
      <c r="B233" s="13"/>
    </row>
    <row r="234" ht="15.75" customHeight="1">
      <c r="A234" s="13"/>
      <c r="B234" s="13"/>
    </row>
    <row r="235" ht="15.75" customHeight="1">
      <c r="A235" s="13"/>
      <c r="B235" s="13"/>
    </row>
    <row r="236" ht="15.75" customHeight="1">
      <c r="A236" s="13"/>
      <c r="B236" s="13"/>
    </row>
    <row r="237" ht="15.75" customHeight="1">
      <c r="A237" s="13"/>
      <c r="B237" s="13"/>
    </row>
    <row r="238" ht="15.75" customHeight="1">
      <c r="A238" s="13"/>
      <c r="B238" s="13"/>
    </row>
    <row r="239" ht="15.75" customHeight="1">
      <c r="A239" s="13"/>
      <c r="B239" s="13"/>
    </row>
    <row r="240" ht="15.75" customHeight="1">
      <c r="A240" s="13"/>
      <c r="B240" s="13"/>
    </row>
    <row r="241" ht="15.75" customHeight="1">
      <c r="A241" s="13"/>
      <c r="B241" s="13"/>
    </row>
    <row r="242" ht="15.75" customHeight="1">
      <c r="A242" s="13"/>
      <c r="B242" s="13"/>
    </row>
    <row r="243" ht="15.75" customHeight="1">
      <c r="A243" s="13"/>
      <c r="B243" s="13"/>
    </row>
    <row r="244" ht="15.75" customHeight="1">
      <c r="A244" s="13"/>
      <c r="B244" s="13"/>
    </row>
    <row r="245" ht="15.75" customHeight="1">
      <c r="A245" s="13"/>
      <c r="B245" s="13"/>
    </row>
    <row r="246" ht="15.75" customHeight="1">
      <c r="A246" s="13"/>
      <c r="B246" s="13"/>
    </row>
    <row r="247" ht="15.75" customHeight="1">
      <c r="A247" s="13"/>
      <c r="B247" s="13"/>
    </row>
    <row r="248" ht="15.75" customHeight="1">
      <c r="A248" s="13"/>
      <c r="B248" s="13"/>
    </row>
    <row r="249" ht="15.75" customHeight="1">
      <c r="A249" s="13"/>
      <c r="B249" s="13"/>
    </row>
    <row r="250" ht="15.75" customHeight="1">
      <c r="A250" s="13"/>
      <c r="B250" s="13"/>
    </row>
    <row r="251" ht="15.75" customHeight="1">
      <c r="A251" s="13"/>
      <c r="B251" s="13"/>
    </row>
    <row r="252" ht="15.75" customHeight="1">
      <c r="A252" s="13"/>
      <c r="B252" s="13"/>
    </row>
    <row r="253" ht="15.75" customHeight="1">
      <c r="A253" s="13"/>
      <c r="B253" s="13"/>
    </row>
    <row r="254" ht="15.75" customHeight="1">
      <c r="A254" s="13"/>
      <c r="B254" s="13"/>
    </row>
    <row r="255" ht="15.75" customHeight="1">
      <c r="A255" s="13"/>
      <c r="B255" s="13"/>
    </row>
    <row r="256" ht="15.75" customHeight="1">
      <c r="A256" s="13"/>
      <c r="B256" s="13"/>
    </row>
    <row r="257" ht="15.75" customHeight="1">
      <c r="A257" s="13"/>
      <c r="B257" s="13"/>
    </row>
    <row r="258" ht="15.75" customHeight="1">
      <c r="A258" s="13"/>
      <c r="B258" s="13"/>
    </row>
    <row r="259" ht="15.75" customHeight="1">
      <c r="A259" s="13"/>
      <c r="B259" s="13"/>
    </row>
    <row r="260" ht="15.75" customHeight="1">
      <c r="A260" s="13"/>
      <c r="B260" s="13"/>
    </row>
    <row r="261" ht="15.75" customHeight="1">
      <c r="A261" s="13"/>
      <c r="B261" s="13"/>
    </row>
    <row r="262" ht="15.75" customHeight="1">
      <c r="A262" s="13"/>
      <c r="B262" s="13"/>
    </row>
    <row r="263" ht="15.75" customHeight="1">
      <c r="A263" s="13"/>
      <c r="B263" s="13"/>
    </row>
    <row r="264" ht="15.75" customHeight="1">
      <c r="A264" s="13"/>
      <c r="B264" s="13"/>
    </row>
    <row r="265" ht="15.75" customHeight="1">
      <c r="A265" s="13"/>
      <c r="B265" s="13"/>
    </row>
    <row r="266" ht="15.75" customHeight="1">
      <c r="A266" s="13"/>
      <c r="B266" s="13"/>
    </row>
    <row r="267" ht="15.75" customHeight="1">
      <c r="A267" s="13"/>
      <c r="B267" s="13"/>
    </row>
    <row r="268" ht="15.75" customHeight="1">
      <c r="A268" s="13"/>
      <c r="B268" s="13"/>
    </row>
    <row r="269" ht="15.75" customHeight="1">
      <c r="A269" s="13"/>
      <c r="B269" s="13"/>
    </row>
    <row r="270" ht="15.75" customHeight="1">
      <c r="A270" s="13"/>
      <c r="B270" s="13"/>
    </row>
    <row r="271" ht="15.75" customHeight="1">
      <c r="A271" s="13"/>
      <c r="B271" s="13"/>
    </row>
    <row r="272" ht="15.75" customHeight="1">
      <c r="A272" s="13"/>
      <c r="B272" s="13"/>
    </row>
    <row r="273" ht="15.75" customHeight="1">
      <c r="A273" s="13"/>
      <c r="B273" s="13"/>
    </row>
    <row r="274" ht="15.75" customHeight="1">
      <c r="A274" s="13"/>
      <c r="B274" s="13"/>
    </row>
    <row r="275" ht="15.75" customHeight="1">
      <c r="A275" s="13"/>
      <c r="B275" s="13"/>
    </row>
    <row r="276" ht="15.75" customHeight="1">
      <c r="A276" s="13"/>
      <c r="B276" s="13"/>
    </row>
    <row r="277" ht="15.75" customHeight="1">
      <c r="A277" s="13"/>
      <c r="B277" s="13"/>
    </row>
    <row r="278" ht="15.75" customHeight="1">
      <c r="A278" s="13"/>
      <c r="B278" s="13"/>
    </row>
    <row r="279" ht="15.75" customHeight="1">
      <c r="A279" s="13"/>
      <c r="B279" s="13"/>
    </row>
    <row r="280" ht="15.75" customHeight="1">
      <c r="A280" s="13"/>
      <c r="B280" s="13"/>
    </row>
    <row r="281" ht="15.75" customHeight="1">
      <c r="A281" s="13"/>
      <c r="B281" s="13"/>
    </row>
    <row r="282" ht="15.75" customHeight="1">
      <c r="A282" s="13"/>
      <c r="B282" s="13"/>
    </row>
    <row r="283" ht="15.75" customHeight="1">
      <c r="A283" s="13"/>
      <c r="B283" s="13"/>
    </row>
    <row r="284" ht="15.75" customHeight="1">
      <c r="A284" s="13"/>
      <c r="B284" s="13"/>
    </row>
    <row r="285" ht="15.75" customHeight="1">
      <c r="A285" s="13"/>
      <c r="B285" s="13"/>
    </row>
    <row r="286" ht="15.75" customHeight="1">
      <c r="A286" s="13"/>
      <c r="B286" s="13"/>
    </row>
    <row r="287" ht="15.75" customHeight="1">
      <c r="A287" s="13"/>
      <c r="B287" s="13"/>
    </row>
    <row r="288" ht="15.75" customHeight="1">
      <c r="A288" s="13"/>
      <c r="B288" s="13"/>
    </row>
    <row r="289" ht="15.75" customHeight="1">
      <c r="A289" s="13"/>
      <c r="B289" s="13"/>
    </row>
    <row r="290" ht="15.75" customHeight="1">
      <c r="A290" s="13"/>
      <c r="B290" s="13"/>
    </row>
    <row r="291" ht="15.75" customHeight="1">
      <c r="A291" s="13"/>
      <c r="B291" s="13"/>
    </row>
    <row r="292" ht="15.75" customHeight="1">
      <c r="A292" s="13"/>
      <c r="B292" s="13"/>
    </row>
    <row r="293" ht="15.75" customHeight="1">
      <c r="A293" s="13"/>
      <c r="B293" s="13"/>
    </row>
    <row r="294" ht="15.75" customHeight="1">
      <c r="A294" s="13"/>
      <c r="B294" s="13"/>
    </row>
    <row r="295" ht="15.75" customHeight="1">
      <c r="A295" s="13"/>
      <c r="B295" s="13"/>
    </row>
    <row r="296" ht="15.75" customHeight="1">
      <c r="A296" s="13"/>
      <c r="B296" s="13"/>
    </row>
    <row r="297" ht="15.75" customHeight="1">
      <c r="A297" s="13"/>
      <c r="B297" s="13"/>
    </row>
    <row r="298" ht="15.75" customHeight="1">
      <c r="A298" s="13"/>
      <c r="B298" s="13"/>
    </row>
    <row r="299" ht="15.75" customHeight="1">
      <c r="A299" s="13"/>
      <c r="B299" s="13"/>
    </row>
    <row r="300" ht="15.75" customHeight="1">
      <c r="A300" s="13"/>
      <c r="B300" s="13"/>
    </row>
    <row r="301" ht="15.75" customHeight="1">
      <c r="A301" s="13"/>
      <c r="B301" s="13"/>
    </row>
    <row r="302" ht="15.75" customHeight="1">
      <c r="A302" s="13"/>
      <c r="B302" s="13"/>
    </row>
    <row r="303" ht="15.75" customHeight="1">
      <c r="A303" s="13"/>
      <c r="B303" s="13"/>
    </row>
    <row r="304" ht="15.75" customHeight="1">
      <c r="A304" s="13"/>
      <c r="B304" s="13"/>
    </row>
    <row r="305" ht="15.75" customHeight="1">
      <c r="A305" s="13"/>
      <c r="B305" s="13"/>
    </row>
    <row r="306" ht="15.75" customHeight="1">
      <c r="A306" s="13"/>
      <c r="B306" s="13"/>
    </row>
    <row r="307" ht="15.75" customHeight="1">
      <c r="A307" s="13"/>
      <c r="B307" s="13"/>
    </row>
    <row r="308" ht="15.75" customHeight="1">
      <c r="A308" s="13"/>
      <c r="B308" s="13"/>
    </row>
    <row r="309" ht="15.75" customHeight="1">
      <c r="A309" s="13"/>
      <c r="B309" s="13"/>
    </row>
    <row r="310" ht="15.75" customHeight="1">
      <c r="A310" s="13"/>
      <c r="B310" s="13"/>
    </row>
    <row r="311" ht="15.75" customHeight="1">
      <c r="A311" s="13"/>
      <c r="B311" s="13"/>
    </row>
    <row r="312" ht="15.75" customHeight="1">
      <c r="A312" s="13"/>
      <c r="B312" s="13"/>
    </row>
    <row r="313" ht="15.75" customHeight="1">
      <c r="A313" s="13"/>
      <c r="B313" s="13"/>
    </row>
    <row r="314" ht="15.75" customHeight="1">
      <c r="A314" s="13"/>
      <c r="B314" s="13"/>
    </row>
    <row r="315" ht="15.75" customHeight="1">
      <c r="A315" s="13"/>
      <c r="B315" s="13"/>
    </row>
    <row r="316" ht="15.75" customHeight="1">
      <c r="A316" s="13"/>
      <c r="B316" s="13"/>
    </row>
    <row r="317" ht="15.75" customHeight="1">
      <c r="A317" s="13"/>
      <c r="B317" s="13"/>
    </row>
    <row r="318" ht="15.75" customHeight="1">
      <c r="A318" s="13"/>
      <c r="B318" s="13"/>
    </row>
    <row r="319" ht="15.75" customHeight="1">
      <c r="A319" s="13"/>
      <c r="B319" s="13"/>
    </row>
    <row r="320" ht="15.75" customHeight="1">
      <c r="A320" s="13"/>
      <c r="B320" s="13"/>
    </row>
    <row r="321" ht="15.75" customHeight="1">
      <c r="A321" s="13"/>
      <c r="B321" s="13"/>
    </row>
    <row r="322" ht="15.75" customHeight="1">
      <c r="A322" s="13"/>
      <c r="B322" s="13"/>
    </row>
    <row r="323" ht="15.75" customHeight="1">
      <c r="A323" s="13"/>
      <c r="B323" s="13"/>
    </row>
    <row r="324" ht="15.75" customHeight="1">
      <c r="A324" s="13"/>
      <c r="B324" s="13"/>
    </row>
    <row r="325" ht="15.75" customHeight="1">
      <c r="A325" s="13"/>
      <c r="B325" s="13"/>
    </row>
    <row r="326" ht="15.75" customHeight="1">
      <c r="A326" s="13"/>
      <c r="B326" s="13"/>
    </row>
    <row r="327" ht="15.75" customHeight="1">
      <c r="A327" s="13"/>
      <c r="B327" s="13"/>
    </row>
    <row r="328" ht="15.75" customHeight="1">
      <c r="A328" s="13"/>
      <c r="B328" s="13"/>
    </row>
    <row r="329" ht="15.75" customHeight="1">
      <c r="A329" s="13"/>
      <c r="B329" s="13"/>
    </row>
    <row r="330" ht="15.75" customHeight="1">
      <c r="A330" s="13"/>
      <c r="B330" s="13"/>
    </row>
    <row r="331" ht="15.75" customHeight="1">
      <c r="A331" s="13"/>
      <c r="B331" s="13"/>
    </row>
    <row r="332" ht="15.75" customHeight="1">
      <c r="A332" s="13"/>
      <c r="B332" s="13"/>
    </row>
    <row r="333" ht="15.75" customHeight="1">
      <c r="A333" s="13"/>
      <c r="B333" s="13"/>
    </row>
    <row r="334" ht="15.75" customHeight="1">
      <c r="A334" s="13"/>
      <c r="B334" s="13"/>
    </row>
    <row r="335" ht="15.75" customHeight="1">
      <c r="A335" s="13"/>
      <c r="B335" s="13"/>
    </row>
    <row r="336" ht="15.75" customHeight="1">
      <c r="A336" s="13"/>
      <c r="B336" s="13"/>
    </row>
    <row r="337" ht="15.75" customHeight="1">
      <c r="A337" s="13"/>
      <c r="B337" s="13"/>
    </row>
    <row r="338" ht="15.75" customHeight="1">
      <c r="A338" s="13"/>
      <c r="B338" s="13"/>
    </row>
    <row r="339" ht="15.75" customHeight="1">
      <c r="A339" s="13"/>
      <c r="B339" s="13"/>
    </row>
    <row r="340" ht="15.75" customHeight="1">
      <c r="A340" s="13"/>
      <c r="B340" s="13"/>
    </row>
    <row r="341" ht="15.75" customHeight="1">
      <c r="A341" s="13"/>
      <c r="B341" s="13"/>
    </row>
    <row r="342" ht="15.75" customHeight="1">
      <c r="A342" s="13"/>
      <c r="B342" s="13"/>
    </row>
    <row r="343" ht="15.75" customHeight="1">
      <c r="A343" s="13"/>
      <c r="B343" s="13"/>
    </row>
    <row r="344" ht="15.75" customHeight="1">
      <c r="A344" s="13"/>
      <c r="B344" s="13"/>
    </row>
    <row r="345" ht="15.75" customHeight="1">
      <c r="A345" s="13"/>
      <c r="B345" s="13"/>
    </row>
    <row r="346" ht="15.75" customHeight="1">
      <c r="A346" s="13"/>
      <c r="B346" s="13"/>
    </row>
    <row r="347" ht="15.75" customHeight="1">
      <c r="A347" s="13"/>
      <c r="B347" s="13"/>
    </row>
    <row r="348" ht="15.75" customHeight="1">
      <c r="A348" s="13"/>
      <c r="B348" s="13"/>
    </row>
    <row r="349" ht="15.75" customHeight="1">
      <c r="A349" s="13"/>
      <c r="B349" s="13"/>
    </row>
    <row r="350" ht="15.75" customHeight="1">
      <c r="A350" s="13"/>
      <c r="B350" s="13"/>
    </row>
    <row r="351" ht="15.75" customHeight="1">
      <c r="A351" s="13"/>
      <c r="B351" s="13"/>
    </row>
    <row r="352" ht="15.75" customHeight="1">
      <c r="A352" s="13"/>
      <c r="B352" s="13"/>
    </row>
    <row r="353" ht="15.75" customHeight="1">
      <c r="A353" s="13"/>
      <c r="B353" s="13"/>
    </row>
    <row r="354" ht="15.75" customHeight="1">
      <c r="A354" s="13"/>
      <c r="B354" s="13"/>
    </row>
    <row r="355" ht="15.75" customHeight="1">
      <c r="A355" s="13"/>
      <c r="B355" s="13"/>
    </row>
    <row r="356" ht="15.75" customHeight="1">
      <c r="A356" s="13"/>
      <c r="B356" s="13"/>
    </row>
    <row r="357" ht="15.75" customHeight="1">
      <c r="A357" s="13"/>
      <c r="B357" s="13"/>
    </row>
    <row r="358" ht="15.75" customHeight="1">
      <c r="A358" s="13"/>
      <c r="B358" s="13"/>
    </row>
    <row r="359" ht="15.75" customHeight="1">
      <c r="A359" s="13"/>
      <c r="B359" s="13"/>
    </row>
    <row r="360" ht="15.75" customHeight="1">
      <c r="A360" s="13"/>
      <c r="B360" s="13"/>
    </row>
    <row r="361" ht="15.75" customHeight="1">
      <c r="A361" s="13"/>
      <c r="B361" s="13"/>
    </row>
    <row r="362" ht="15.75" customHeight="1">
      <c r="A362" s="13"/>
      <c r="B362" s="13"/>
    </row>
    <row r="363" ht="15.75" customHeight="1">
      <c r="A363" s="13"/>
      <c r="B363" s="13"/>
    </row>
    <row r="364" ht="15.75" customHeight="1">
      <c r="A364" s="13"/>
      <c r="B364" s="13"/>
    </row>
    <row r="365" ht="15.75" customHeight="1">
      <c r="A365" s="13"/>
      <c r="B365" s="13"/>
    </row>
    <row r="366" ht="15.75" customHeight="1">
      <c r="A366" s="13"/>
      <c r="B366" s="13"/>
    </row>
    <row r="367" ht="15.75" customHeight="1">
      <c r="A367" s="13"/>
      <c r="B367" s="13"/>
    </row>
    <row r="368" ht="15.75" customHeight="1">
      <c r="A368" s="13"/>
      <c r="B368" s="13"/>
    </row>
    <row r="369" ht="15.75" customHeight="1">
      <c r="A369" s="13"/>
      <c r="B369" s="13"/>
    </row>
    <row r="370" ht="15.75" customHeight="1">
      <c r="A370" s="13"/>
      <c r="B370" s="13"/>
    </row>
    <row r="371" ht="15.75" customHeight="1">
      <c r="A371" s="13"/>
      <c r="B371" s="13"/>
    </row>
    <row r="372" ht="15.75" customHeight="1">
      <c r="A372" s="13"/>
      <c r="B372" s="13"/>
    </row>
    <row r="373" ht="15.75" customHeight="1">
      <c r="A373" s="13"/>
      <c r="B373" s="13"/>
    </row>
    <row r="374" ht="15.75" customHeight="1">
      <c r="A374" s="13"/>
      <c r="B374" s="13"/>
    </row>
    <row r="375" ht="15.75" customHeight="1">
      <c r="A375" s="13"/>
      <c r="B375" s="13"/>
    </row>
    <row r="376" ht="15.75" customHeight="1">
      <c r="A376" s="13"/>
      <c r="B376" s="13"/>
    </row>
    <row r="377" ht="15.75" customHeight="1">
      <c r="A377" s="13"/>
      <c r="B377" s="13"/>
    </row>
    <row r="378" ht="15.75" customHeight="1">
      <c r="A378" s="13"/>
      <c r="B378" s="13"/>
    </row>
    <row r="379" ht="15.75" customHeight="1">
      <c r="A379" s="13"/>
      <c r="B379" s="13"/>
    </row>
    <row r="380" ht="15.75" customHeight="1">
      <c r="A380" s="13"/>
      <c r="B380" s="13"/>
    </row>
    <row r="381" ht="15.75" customHeight="1">
      <c r="A381" s="13"/>
      <c r="B381" s="13"/>
    </row>
    <row r="382" ht="15.75" customHeight="1">
      <c r="A382" s="13"/>
      <c r="B382" s="13"/>
    </row>
    <row r="383" ht="15.75" customHeight="1">
      <c r="A383" s="13"/>
      <c r="B383" s="13"/>
    </row>
    <row r="384" ht="15.75" customHeight="1">
      <c r="A384" s="13"/>
      <c r="B384" s="13"/>
    </row>
    <row r="385" ht="15.75" customHeight="1">
      <c r="A385" s="13"/>
      <c r="B385" s="13"/>
    </row>
    <row r="386" ht="15.75" customHeight="1">
      <c r="A386" s="13"/>
      <c r="B386" s="13"/>
    </row>
    <row r="387" ht="15.75" customHeight="1">
      <c r="A387" s="13"/>
      <c r="B387" s="13"/>
    </row>
    <row r="388" ht="15.75" customHeight="1">
      <c r="A388" s="13"/>
      <c r="B388" s="13"/>
    </row>
    <row r="389" ht="15.75" customHeight="1">
      <c r="A389" s="13"/>
      <c r="B389" s="13"/>
    </row>
    <row r="390" ht="15.75" customHeight="1">
      <c r="A390" s="13"/>
      <c r="B390" s="13"/>
    </row>
    <row r="391" ht="15.75" customHeight="1">
      <c r="A391" s="13"/>
      <c r="B391" s="13"/>
    </row>
    <row r="392" ht="15.75" customHeight="1">
      <c r="A392" s="13"/>
      <c r="B392" s="13"/>
    </row>
    <row r="393" ht="15.75" customHeight="1">
      <c r="A393" s="13"/>
      <c r="B393" s="13"/>
    </row>
    <row r="394" ht="15.75" customHeight="1">
      <c r="A394" s="13"/>
      <c r="B394" s="13"/>
    </row>
    <row r="395" ht="15.75" customHeight="1">
      <c r="A395" s="13"/>
      <c r="B395" s="13"/>
    </row>
    <row r="396" ht="15.75" customHeight="1">
      <c r="A396" s="13"/>
      <c r="B396" s="13"/>
    </row>
    <row r="397" ht="15.75" customHeight="1">
      <c r="A397" s="13"/>
      <c r="B397" s="13"/>
    </row>
    <row r="398" ht="15.75" customHeight="1">
      <c r="A398" s="13"/>
      <c r="B398" s="13"/>
    </row>
    <row r="399" ht="15.75" customHeight="1">
      <c r="A399" s="13"/>
      <c r="B399" s="13"/>
    </row>
    <row r="400" ht="15.75" customHeight="1">
      <c r="A400" s="13"/>
      <c r="B400" s="13"/>
    </row>
    <row r="401" ht="15.75" customHeight="1">
      <c r="A401" s="13"/>
      <c r="B401" s="13"/>
    </row>
    <row r="402" ht="15.75" customHeight="1">
      <c r="A402" s="13"/>
      <c r="B402" s="13"/>
    </row>
    <row r="403" ht="15.75" customHeight="1">
      <c r="A403" s="13"/>
      <c r="B403" s="13"/>
    </row>
    <row r="404" ht="15.75" customHeight="1">
      <c r="A404" s="13"/>
      <c r="B404" s="13"/>
    </row>
    <row r="405" ht="15.75" customHeight="1">
      <c r="A405" s="13"/>
      <c r="B405" s="13"/>
    </row>
    <row r="406" ht="15.75" customHeight="1">
      <c r="A406" s="13"/>
      <c r="B406" s="13"/>
    </row>
    <row r="407" ht="15.75" customHeight="1">
      <c r="A407" s="13"/>
      <c r="B407" s="13"/>
    </row>
    <row r="408" ht="15.75" customHeight="1">
      <c r="A408" s="13"/>
      <c r="B408" s="13"/>
    </row>
    <row r="409" ht="15.75" customHeight="1">
      <c r="A409" s="13"/>
      <c r="B409" s="13"/>
    </row>
    <row r="410" ht="15.75" customHeight="1">
      <c r="A410" s="13"/>
      <c r="B410" s="13"/>
    </row>
    <row r="411" ht="15.75" customHeight="1">
      <c r="A411" s="13"/>
      <c r="B411" s="13"/>
    </row>
    <row r="412" ht="15.75" customHeight="1">
      <c r="A412" s="13"/>
      <c r="B412" s="13"/>
    </row>
    <row r="413" ht="15.75" customHeight="1">
      <c r="A413" s="13"/>
      <c r="B413" s="13"/>
    </row>
    <row r="414" ht="15.75" customHeight="1">
      <c r="A414" s="13"/>
      <c r="B414" s="13"/>
    </row>
    <row r="415" ht="15.75" customHeight="1">
      <c r="A415" s="13"/>
      <c r="B415" s="13"/>
    </row>
    <row r="416" ht="15.75" customHeight="1">
      <c r="A416" s="13"/>
      <c r="B416" s="13"/>
    </row>
    <row r="417" ht="15.75" customHeight="1">
      <c r="A417" s="13"/>
      <c r="B417" s="13"/>
    </row>
    <row r="418" ht="15.75" customHeight="1">
      <c r="A418" s="13"/>
      <c r="B418" s="13"/>
    </row>
    <row r="419" ht="15.75" customHeight="1">
      <c r="A419" s="13"/>
      <c r="B419" s="13"/>
    </row>
    <row r="420" ht="15.75" customHeight="1">
      <c r="A420" s="13"/>
      <c r="B420" s="13"/>
    </row>
    <row r="421" ht="15.75" customHeight="1">
      <c r="A421" s="13"/>
      <c r="B421" s="13"/>
    </row>
    <row r="422" ht="15.75" customHeight="1">
      <c r="A422" s="13"/>
      <c r="B422" s="13"/>
    </row>
    <row r="423" ht="15.75" customHeight="1">
      <c r="A423" s="13"/>
      <c r="B423" s="13"/>
    </row>
    <row r="424" ht="15.75" customHeight="1">
      <c r="A424" s="13"/>
      <c r="B424" s="13"/>
    </row>
    <row r="425" ht="15.75" customHeight="1">
      <c r="A425" s="13"/>
      <c r="B425" s="13"/>
    </row>
    <row r="426" ht="15.75" customHeight="1">
      <c r="A426" s="13"/>
      <c r="B426" s="13"/>
    </row>
    <row r="427" ht="15.75" customHeight="1">
      <c r="A427" s="13"/>
      <c r="B427" s="13"/>
    </row>
    <row r="428" ht="15.75" customHeight="1">
      <c r="A428" s="13"/>
      <c r="B428" s="13"/>
    </row>
    <row r="429" ht="15.75" customHeight="1">
      <c r="A429" s="13"/>
      <c r="B429" s="13"/>
    </row>
    <row r="430" ht="15.75" customHeight="1">
      <c r="A430" s="13"/>
      <c r="B430" s="13"/>
    </row>
    <row r="431" ht="15.75" customHeight="1">
      <c r="A431" s="13"/>
      <c r="B431" s="13"/>
    </row>
    <row r="432" ht="15.75" customHeight="1">
      <c r="A432" s="13"/>
      <c r="B432" s="13"/>
    </row>
    <row r="433" ht="15.75" customHeight="1">
      <c r="A433" s="13"/>
      <c r="B433" s="13"/>
    </row>
    <row r="434" ht="15.75" customHeight="1">
      <c r="A434" s="13"/>
      <c r="B434" s="13"/>
    </row>
    <row r="435" ht="15.75" customHeight="1">
      <c r="A435" s="13"/>
      <c r="B435" s="13"/>
    </row>
    <row r="436" ht="15.75" customHeight="1">
      <c r="A436" s="13"/>
      <c r="B436" s="13"/>
    </row>
    <row r="437" ht="15.75" customHeight="1">
      <c r="A437" s="13"/>
      <c r="B437" s="13"/>
    </row>
    <row r="438" ht="15.75" customHeight="1">
      <c r="A438" s="13"/>
      <c r="B438" s="13"/>
    </row>
    <row r="439" ht="15.75" customHeight="1">
      <c r="A439" s="13"/>
      <c r="B439" s="13"/>
    </row>
    <row r="440" ht="15.75" customHeight="1">
      <c r="A440" s="13"/>
      <c r="B440" s="13"/>
    </row>
    <row r="441" ht="15.75" customHeight="1">
      <c r="A441" s="13"/>
      <c r="B441" s="13"/>
    </row>
    <row r="442" ht="15.75" customHeight="1">
      <c r="A442" s="13"/>
      <c r="B442" s="13"/>
    </row>
    <row r="443" ht="15.75" customHeight="1">
      <c r="A443" s="13"/>
      <c r="B443" s="13"/>
    </row>
    <row r="444" ht="15.75" customHeight="1">
      <c r="A444" s="13"/>
      <c r="B444" s="13"/>
    </row>
    <row r="445" ht="15.75" customHeight="1">
      <c r="A445" s="13"/>
      <c r="B445" s="13"/>
    </row>
    <row r="446" ht="15.75" customHeight="1">
      <c r="A446" s="13"/>
      <c r="B446" s="13"/>
    </row>
    <row r="447" ht="15.75" customHeight="1">
      <c r="A447" s="13"/>
      <c r="B447" s="13"/>
    </row>
    <row r="448" ht="15.75" customHeight="1">
      <c r="A448" s="13"/>
      <c r="B448" s="13"/>
    </row>
    <row r="449" ht="15.75" customHeight="1">
      <c r="A449" s="13"/>
      <c r="B449" s="13"/>
    </row>
    <row r="450" ht="15.75" customHeight="1">
      <c r="A450" s="13"/>
      <c r="B450" s="13"/>
    </row>
    <row r="451" ht="15.75" customHeight="1">
      <c r="A451" s="13"/>
      <c r="B451" s="13"/>
    </row>
    <row r="452" ht="15.75" customHeight="1">
      <c r="A452" s="13"/>
      <c r="B452" s="13"/>
    </row>
    <row r="453" ht="15.75" customHeight="1">
      <c r="A453" s="13"/>
      <c r="B453" s="13"/>
    </row>
    <row r="454" ht="15.75" customHeight="1">
      <c r="A454" s="13"/>
      <c r="B454" s="13"/>
    </row>
    <row r="455" ht="15.75" customHeight="1">
      <c r="A455" s="13"/>
      <c r="B455" s="13"/>
    </row>
    <row r="456" ht="15.75" customHeight="1">
      <c r="A456" s="13"/>
      <c r="B456" s="13"/>
    </row>
    <row r="457" ht="15.75" customHeight="1">
      <c r="A457" s="13"/>
      <c r="B457" s="13"/>
    </row>
    <row r="458" ht="15.75" customHeight="1">
      <c r="A458" s="13"/>
      <c r="B458" s="13"/>
    </row>
    <row r="459" ht="15.75" customHeight="1">
      <c r="A459" s="13"/>
      <c r="B459" s="13"/>
    </row>
    <row r="460" ht="15.75" customHeight="1">
      <c r="A460" s="13"/>
      <c r="B460" s="13"/>
    </row>
    <row r="461" ht="15.75" customHeight="1">
      <c r="A461" s="13"/>
      <c r="B461" s="13"/>
    </row>
    <row r="462" ht="15.75" customHeight="1">
      <c r="A462" s="13"/>
      <c r="B462" s="13"/>
    </row>
    <row r="463" ht="15.75" customHeight="1">
      <c r="A463" s="13"/>
      <c r="B463" s="13"/>
    </row>
    <row r="464" ht="15.75" customHeight="1">
      <c r="A464" s="13"/>
      <c r="B464" s="13"/>
    </row>
    <row r="465" ht="15.75" customHeight="1">
      <c r="A465" s="13"/>
      <c r="B465" s="13"/>
    </row>
    <row r="466" ht="15.75" customHeight="1">
      <c r="A466" s="13"/>
      <c r="B466" s="13"/>
    </row>
    <row r="467" ht="15.75" customHeight="1">
      <c r="A467" s="13"/>
      <c r="B467" s="13"/>
    </row>
    <row r="468" ht="15.75" customHeight="1">
      <c r="A468" s="13"/>
      <c r="B468" s="13"/>
    </row>
    <row r="469" ht="15.75" customHeight="1">
      <c r="A469" s="13"/>
      <c r="B469" s="13"/>
    </row>
    <row r="470" ht="15.75" customHeight="1">
      <c r="A470" s="13"/>
      <c r="B470" s="13"/>
    </row>
    <row r="471" ht="15.75" customHeight="1">
      <c r="A471" s="13"/>
      <c r="B471" s="13"/>
    </row>
    <row r="472" ht="15.75" customHeight="1">
      <c r="A472" s="13"/>
      <c r="B472" s="13"/>
    </row>
    <row r="473" ht="15.75" customHeight="1">
      <c r="A473" s="13"/>
      <c r="B473" s="13"/>
    </row>
    <row r="474" ht="15.75" customHeight="1">
      <c r="A474" s="13"/>
      <c r="B474" s="13"/>
    </row>
    <row r="475" ht="15.75" customHeight="1">
      <c r="A475" s="13"/>
      <c r="B475" s="13"/>
    </row>
    <row r="476" ht="15.75" customHeight="1">
      <c r="A476" s="13"/>
      <c r="B476" s="13"/>
    </row>
    <row r="477" ht="15.75" customHeight="1">
      <c r="A477" s="13"/>
      <c r="B477" s="13"/>
    </row>
    <row r="478" ht="15.75" customHeight="1">
      <c r="A478" s="13"/>
      <c r="B478" s="13"/>
    </row>
    <row r="479" ht="15.75" customHeight="1">
      <c r="A479" s="13"/>
      <c r="B479" s="13"/>
    </row>
    <row r="480" ht="15.75" customHeight="1">
      <c r="A480" s="13"/>
      <c r="B480" s="13"/>
    </row>
    <row r="481" ht="15.75" customHeight="1">
      <c r="A481" s="13"/>
      <c r="B481" s="13"/>
    </row>
    <row r="482" ht="15.75" customHeight="1">
      <c r="A482" s="13"/>
      <c r="B482" s="13"/>
    </row>
    <row r="483" ht="15.75" customHeight="1">
      <c r="A483" s="13"/>
      <c r="B483" s="13"/>
    </row>
    <row r="484" ht="15.75" customHeight="1">
      <c r="A484" s="13"/>
      <c r="B484" s="13"/>
    </row>
    <row r="485" ht="15.75" customHeight="1">
      <c r="A485" s="13"/>
      <c r="B485" s="13"/>
    </row>
    <row r="486" ht="15.75" customHeight="1">
      <c r="A486" s="13"/>
      <c r="B486" s="13"/>
    </row>
    <row r="487" ht="15.75" customHeight="1">
      <c r="A487" s="13"/>
      <c r="B487" s="13"/>
    </row>
    <row r="488" ht="15.75" customHeight="1">
      <c r="A488" s="13"/>
      <c r="B488" s="13"/>
    </row>
    <row r="489" ht="15.75" customHeight="1">
      <c r="A489" s="13"/>
      <c r="B489" s="13"/>
    </row>
    <row r="490" ht="15.75" customHeight="1">
      <c r="A490" s="13"/>
      <c r="B490" s="13"/>
    </row>
    <row r="491" ht="15.75" customHeight="1">
      <c r="A491" s="13"/>
      <c r="B491" s="13"/>
    </row>
    <row r="492" ht="15.75" customHeight="1">
      <c r="A492" s="13"/>
      <c r="B492" s="13"/>
    </row>
    <row r="493" ht="15.75" customHeight="1">
      <c r="A493" s="13"/>
      <c r="B493" s="13"/>
    </row>
    <row r="494" ht="15.75" customHeight="1">
      <c r="A494" s="13"/>
      <c r="B494" s="13"/>
    </row>
    <row r="495" ht="15.75" customHeight="1">
      <c r="A495" s="13"/>
      <c r="B495" s="13"/>
    </row>
    <row r="496" ht="15.75" customHeight="1">
      <c r="A496" s="13"/>
      <c r="B496" s="13"/>
    </row>
    <row r="497" ht="15.75" customHeight="1">
      <c r="A497" s="13"/>
      <c r="B497" s="13"/>
    </row>
    <row r="498" ht="15.75" customHeight="1">
      <c r="A498" s="13"/>
      <c r="B498" s="13"/>
    </row>
    <row r="499" ht="15.75" customHeight="1">
      <c r="A499" s="13"/>
      <c r="B499" s="13"/>
    </row>
    <row r="500" ht="15.75" customHeight="1">
      <c r="A500" s="13"/>
      <c r="B500" s="13"/>
    </row>
    <row r="501" ht="15.75" customHeight="1">
      <c r="A501" s="13"/>
      <c r="B501" s="13"/>
    </row>
    <row r="502" ht="15.75" customHeight="1">
      <c r="A502" s="13"/>
      <c r="B502" s="13"/>
    </row>
    <row r="503" ht="15.75" customHeight="1">
      <c r="A503" s="13"/>
      <c r="B503" s="13"/>
    </row>
    <row r="504" ht="15.75" customHeight="1">
      <c r="A504" s="13"/>
      <c r="B504" s="13"/>
    </row>
    <row r="505" ht="15.75" customHeight="1">
      <c r="A505" s="13"/>
      <c r="B505" s="13"/>
    </row>
    <row r="506" ht="15.75" customHeight="1">
      <c r="A506" s="13"/>
      <c r="B506" s="13"/>
    </row>
    <row r="507" ht="15.75" customHeight="1">
      <c r="A507" s="13"/>
      <c r="B507" s="13"/>
    </row>
    <row r="508" ht="15.75" customHeight="1">
      <c r="A508" s="13"/>
      <c r="B508" s="13"/>
    </row>
    <row r="509" ht="15.75" customHeight="1">
      <c r="A509" s="13"/>
      <c r="B509" s="13"/>
    </row>
    <row r="510" ht="15.75" customHeight="1">
      <c r="A510" s="13"/>
      <c r="B510" s="13"/>
    </row>
    <row r="511" ht="15.75" customHeight="1">
      <c r="A511" s="13"/>
      <c r="B511" s="13"/>
    </row>
    <row r="512" ht="15.75" customHeight="1">
      <c r="A512" s="13"/>
      <c r="B512" s="13"/>
    </row>
    <row r="513" ht="15.75" customHeight="1">
      <c r="A513" s="13"/>
      <c r="B513" s="13"/>
    </row>
    <row r="514" ht="15.75" customHeight="1">
      <c r="A514" s="13"/>
      <c r="B514" s="13"/>
    </row>
    <row r="515" ht="15.75" customHeight="1">
      <c r="A515" s="13"/>
      <c r="B515" s="13"/>
    </row>
    <row r="516" ht="15.75" customHeight="1">
      <c r="A516" s="13"/>
      <c r="B516" s="13"/>
    </row>
    <row r="517" ht="15.75" customHeight="1">
      <c r="A517" s="13"/>
      <c r="B517" s="13"/>
    </row>
    <row r="518" ht="15.75" customHeight="1">
      <c r="A518" s="13"/>
      <c r="B518" s="13"/>
    </row>
    <row r="519" ht="15.75" customHeight="1">
      <c r="A519" s="13"/>
      <c r="B519" s="13"/>
    </row>
    <row r="520" ht="15.75" customHeight="1">
      <c r="A520" s="13"/>
      <c r="B520" s="13"/>
    </row>
    <row r="521" ht="15.75" customHeight="1">
      <c r="A521" s="13"/>
      <c r="B521" s="13"/>
    </row>
    <row r="522" ht="15.75" customHeight="1">
      <c r="A522" s="13"/>
      <c r="B522" s="13"/>
    </row>
    <row r="523" ht="15.75" customHeight="1">
      <c r="A523" s="13"/>
      <c r="B523" s="13"/>
    </row>
    <row r="524" ht="15.75" customHeight="1">
      <c r="A524" s="13"/>
      <c r="B524" s="13"/>
    </row>
    <row r="525" ht="15.75" customHeight="1">
      <c r="A525" s="13"/>
      <c r="B525" s="13"/>
    </row>
    <row r="526" ht="15.75" customHeight="1">
      <c r="A526" s="13"/>
      <c r="B526" s="13"/>
    </row>
    <row r="527" ht="15.75" customHeight="1">
      <c r="A527" s="13"/>
      <c r="B527" s="13"/>
    </row>
    <row r="528" ht="15.75" customHeight="1">
      <c r="A528" s="13"/>
      <c r="B528" s="13"/>
    </row>
    <row r="529" ht="15.75" customHeight="1">
      <c r="A529" s="13"/>
      <c r="B529" s="13"/>
    </row>
    <row r="530" ht="15.75" customHeight="1">
      <c r="A530" s="13"/>
      <c r="B530" s="13"/>
    </row>
    <row r="531" ht="15.75" customHeight="1">
      <c r="A531" s="13"/>
      <c r="B531" s="13"/>
    </row>
    <row r="532" ht="15.75" customHeight="1">
      <c r="A532" s="13"/>
      <c r="B532" s="13"/>
    </row>
    <row r="533" ht="15.75" customHeight="1">
      <c r="A533" s="13"/>
      <c r="B533" s="13"/>
    </row>
    <row r="534" ht="15.75" customHeight="1">
      <c r="A534" s="13"/>
      <c r="B534" s="13"/>
    </row>
    <row r="535" ht="15.75" customHeight="1">
      <c r="A535" s="13"/>
      <c r="B535" s="13"/>
    </row>
    <row r="536" ht="15.75" customHeight="1">
      <c r="A536" s="13"/>
      <c r="B536" s="13"/>
    </row>
    <row r="537" ht="15.75" customHeight="1">
      <c r="A537" s="13"/>
      <c r="B537" s="13"/>
    </row>
    <row r="538" ht="15.75" customHeight="1">
      <c r="A538" s="13"/>
      <c r="B538" s="13"/>
    </row>
    <row r="539" ht="15.75" customHeight="1">
      <c r="A539" s="13"/>
      <c r="B539" s="13"/>
    </row>
    <row r="540" ht="15.75" customHeight="1">
      <c r="A540" s="13"/>
      <c r="B540" s="13"/>
    </row>
    <row r="541" ht="15.75" customHeight="1">
      <c r="A541" s="13"/>
      <c r="B541" s="13"/>
    </row>
    <row r="542" ht="15.75" customHeight="1">
      <c r="A542" s="13"/>
      <c r="B542" s="13"/>
    </row>
    <row r="543" ht="15.75" customHeight="1">
      <c r="A543" s="13"/>
      <c r="B543" s="13"/>
    </row>
    <row r="544" ht="15.75" customHeight="1">
      <c r="A544" s="13"/>
      <c r="B544" s="13"/>
    </row>
    <row r="545" ht="15.75" customHeight="1">
      <c r="A545" s="13"/>
      <c r="B545" s="13"/>
    </row>
    <row r="546" ht="15.75" customHeight="1">
      <c r="A546" s="13"/>
      <c r="B546" s="13"/>
    </row>
    <row r="547" ht="15.75" customHeight="1">
      <c r="A547" s="13"/>
      <c r="B547" s="13"/>
    </row>
    <row r="548" ht="15.75" customHeight="1">
      <c r="A548" s="13"/>
      <c r="B548" s="13"/>
    </row>
    <row r="549" ht="15.75" customHeight="1">
      <c r="A549" s="13"/>
      <c r="B549" s="13"/>
    </row>
    <row r="550" ht="15.75" customHeight="1">
      <c r="A550" s="13"/>
      <c r="B550" s="13"/>
    </row>
    <row r="551" ht="15.75" customHeight="1">
      <c r="A551" s="13"/>
      <c r="B551" s="13"/>
    </row>
    <row r="552" ht="15.75" customHeight="1">
      <c r="A552" s="13"/>
      <c r="B552" s="13"/>
    </row>
    <row r="553" ht="15.75" customHeight="1">
      <c r="A553" s="13"/>
      <c r="B553" s="13"/>
    </row>
    <row r="554" ht="15.75" customHeight="1">
      <c r="A554" s="13"/>
      <c r="B554" s="13"/>
    </row>
    <row r="555" ht="15.75" customHeight="1">
      <c r="A555" s="13"/>
      <c r="B555" s="13"/>
    </row>
    <row r="556" ht="15.75" customHeight="1">
      <c r="A556" s="13"/>
      <c r="B556" s="13"/>
    </row>
    <row r="557" ht="15.75" customHeight="1">
      <c r="A557" s="13"/>
      <c r="B557" s="13"/>
    </row>
    <row r="558" ht="15.75" customHeight="1">
      <c r="A558" s="13"/>
      <c r="B558" s="13"/>
    </row>
    <row r="559" ht="15.75" customHeight="1">
      <c r="A559" s="13"/>
      <c r="B559" s="13"/>
    </row>
    <row r="560" ht="15.75" customHeight="1">
      <c r="A560" s="13"/>
      <c r="B560" s="13"/>
    </row>
    <row r="561" ht="15.75" customHeight="1">
      <c r="A561" s="13"/>
      <c r="B561" s="13"/>
    </row>
    <row r="562" ht="15.75" customHeight="1">
      <c r="A562" s="13"/>
      <c r="B562" s="13"/>
    </row>
    <row r="563" ht="15.75" customHeight="1">
      <c r="A563" s="13"/>
      <c r="B563" s="13"/>
    </row>
    <row r="564" ht="15.75" customHeight="1">
      <c r="A564" s="13"/>
      <c r="B564" s="13"/>
    </row>
    <row r="565" ht="15.75" customHeight="1">
      <c r="A565" s="13"/>
      <c r="B565" s="13"/>
    </row>
    <row r="566" ht="15.75" customHeight="1">
      <c r="A566" s="13"/>
      <c r="B566" s="13"/>
    </row>
    <row r="567" ht="15.75" customHeight="1">
      <c r="A567" s="13"/>
      <c r="B567" s="13"/>
    </row>
    <row r="568" ht="15.75" customHeight="1">
      <c r="A568" s="13"/>
      <c r="B568" s="13"/>
    </row>
    <row r="569" ht="15.75" customHeight="1">
      <c r="A569" s="13"/>
      <c r="B569" s="13"/>
    </row>
    <row r="570" ht="15.75" customHeight="1">
      <c r="A570" s="13"/>
      <c r="B570" s="13"/>
    </row>
    <row r="571" ht="15.75" customHeight="1">
      <c r="A571" s="13"/>
      <c r="B571" s="13"/>
    </row>
    <row r="572" ht="15.75" customHeight="1">
      <c r="A572" s="13"/>
      <c r="B572" s="13"/>
    </row>
    <row r="573" ht="15.75" customHeight="1">
      <c r="A573" s="13"/>
      <c r="B573" s="13"/>
    </row>
    <row r="574" ht="15.75" customHeight="1">
      <c r="A574" s="13"/>
      <c r="B574" s="13"/>
    </row>
    <row r="575" ht="15.75" customHeight="1">
      <c r="A575" s="13"/>
      <c r="B575" s="13"/>
    </row>
    <row r="576" ht="15.75" customHeight="1">
      <c r="A576" s="13"/>
      <c r="B576" s="13"/>
    </row>
    <row r="577" ht="15.75" customHeight="1">
      <c r="A577" s="13"/>
      <c r="B577" s="13"/>
    </row>
    <row r="578" ht="15.75" customHeight="1">
      <c r="A578" s="13"/>
      <c r="B578" s="13"/>
    </row>
    <row r="579" ht="15.75" customHeight="1">
      <c r="A579" s="13"/>
      <c r="B579" s="13"/>
    </row>
    <row r="580" ht="15.75" customHeight="1">
      <c r="A580" s="13"/>
      <c r="B580" s="13"/>
    </row>
    <row r="581" ht="15.75" customHeight="1">
      <c r="A581" s="13"/>
      <c r="B581" s="13"/>
    </row>
    <row r="582" ht="15.75" customHeight="1">
      <c r="A582" s="13"/>
      <c r="B582" s="13"/>
    </row>
    <row r="583" ht="15.75" customHeight="1">
      <c r="A583" s="13"/>
      <c r="B583" s="13"/>
    </row>
    <row r="584" ht="15.75" customHeight="1">
      <c r="A584" s="13"/>
      <c r="B584" s="13"/>
    </row>
    <row r="585" ht="15.75" customHeight="1">
      <c r="A585" s="13"/>
      <c r="B585" s="13"/>
    </row>
    <row r="586" ht="15.75" customHeight="1">
      <c r="A586" s="13"/>
      <c r="B586" s="13"/>
    </row>
    <row r="587" ht="15.75" customHeight="1">
      <c r="A587" s="13"/>
      <c r="B587" s="13"/>
    </row>
    <row r="588" ht="15.75" customHeight="1">
      <c r="A588" s="13"/>
      <c r="B588" s="13"/>
    </row>
    <row r="589" ht="15.75" customHeight="1">
      <c r="A589" s="13"/>
      <c r="B589" s="13"/>
    </row>
    <row r="590" ht="15.75" customHeight="1">
      <c r="A590" s="13"/>
      <c r="B590" s="13"/>
    </row>
    <row r="591" ht="15.75" customHeight="1">
      <c r="A591" s="13"/>
      <c r="B591" s="13"/>
    </row>
    <row r="592" ht="15.75" customHeight="1">
      <c r="A592" s="13"/>
      <c r="B592" s="13"/>
    </row>
    <row r="593" ht="15.75" customHeight="1">
      <c r="A593" s="13"/>
      <c r="B593" s="13"/>
    </row>
    <row r="594" ht="15.75" customHeight="1">
      <c r="A594" s="13"/>
      <c r="B594" s="13"/>
    </row>
    <row r="595" ht="15.75" customHeight="1">
      <c r="A595" s="13"/>
      <c r="B595" s="13"/>
    </row>
    <row r="596" ht="15.75" customHeight="1">
      <c r="A596" s="13"/>
      <c r="B596" s="13"/>
    </row>
    <row r="597" ht="15.75" customHeight="1">
      <c r="A597" s="13"/>
      <c r="B597" s="13"/>
    </row>
    <row r="598" ht="15.75" customHeight="1">
      <c r="A598" s="13"/>
      <c r="B598" s="13"/>
    </row>
    <row r="599" ht="15.75" customHeight="1">
      <c r="A599" s="13"/>
      <c r="B599" s="13"/>
    </row>
    <row r="600" ht="15.75" customHeight="1">
      <c r="A600" s="13"/>
      <c r="B600" s="13"/>
    </row>
    <row r="601" ht="15.75" customHeight="1">
      <c r="A601" s="13"/>
      <c r="B601" s="13"/>
    </row>
    <row r="602" ht="15.75" customHeight="1">
      <c r="A602" s="13"/>
      <c r="B602" s="13"/>
    </row>
    <row r="603" ht="15.75" customHeight="1">
      <c r="A603" s="13"/>
      <c r="B603" s="13"/>
    </row>
    <row r="604" ht="15.75" customHeight="1">
      <c r="A604" s="13"/>
      <c r="B604" s="13"/>
    </row>
    <row r="605" ht="15.75" customHeight="1">
      <c r="A605" s="13"/>
      <c r="B605" s="13"/>
    </row>
    <row r="606" ht="15.75" customHeight="1">
      <c r="A606" s="13"/>
      <c r="B606" s="13"/>
    </row>
    <row r="607" ht="15.75" customHeight="1">
      <c r="A607" s="13"/>
      <c r="B607" s="13"/>
    </row>
    <row r="608" ht="15.75" customHeight="1">
      <c r="A608" s="13"/>
      <c r="B608" s="13"/>
    </row>
    <row r="609" ht="15.75" customHeight="1">
      <c r="A609" s="13"/>
      <c r="B609" s="13"/>
    </row>
    <row r="610" ht="15.75" customHeight="1">
      <c r="A610" s="13"/>
      <c r="B610" s="13"/>
    </row>
    <row r="611" ht="15.75" customHeight="1">
      <c r="A611" s="13"/>
      <c r="B611" s="13"/>
    </row>
    <row r="612" ht="15.75" customHeight="1">
      <c r="A612" s="13"/>
      <c r="B612" s="13"/>
    </row>
    <row r="613" ht="15.75" customHeight="1">
      <c r="A613" s="13"/>
      <c r="B613" s="13"/>
    </row>
    <row r="614" ht="15.75" customHeight="1">
      <c r="A614" s="13"/>
      <c r="B614" s="13"/>
    </row>
    <row r="615" ht="15.75" customHeight="1">
      <c r="A615" s="13"/>
      <c r="B615" s="13"/>
    </row>
    <row r="616" ht="15.75" customHeight="1">
      <c r="A616" s="13"/>
      <c r="B616" s="13"/>
    </row>
    <row r="617" ht="15.75" customHeight="1">
      <c r="A617" s="13"/>
      <c r="B617" s="13"/>
    </row>
    <row r="618" ht="15.75" customHeight="1">
      <c r="A618" s="13"/>
      <c r="B618" s="13"/>
    </row>
    <row r="619" ht="15.75" customHeight="1">
      <c r="A619" s="13"/>
      <c r="B619" s="13"/>
    </row>
    <row r="620" ht="15.75" customHeight="1">
      <c r="A620" s="13"/>
      <c r="B620" s="13"/>
    </row>
    <row r="621" ht="15.75" customHeight="1">
      <c r="A621" s="13"/>
      <c r="B621" s="13"/>
    </row>
    <row r="622" ht="15.75" customHeight="1">
      <c r="A622" s="13"/>
      <c r="B622" s="13"/>
    </row>
    <row r="623" ht="15.75" customHeight="1">
      <c r="A623" s="13"/>
      <c r="B623" s="13"/>
    </row>
    <row r="624" ht="15.75" customHeight="1">
      <c r="A624" s="13"/>
      <c r="B624" s="13"/>
    </row>
    <row r="625" ht="15.75" customHeight="1">
      <c r="A625" s="13"/>
      <c r="B625" s="13"/>
    </row>
    <row r="626" ht="15.75" customHeight="1">
      <c r="A626" s="13"/>
      <c r="B626" s="13"/>
    </row>
    <row r="627" ht="15.75" customHeight="1">
      <c r="A627" s="13"/>
      <c r="B627" s="13"/>
    </row>
    <row r="628" ht="15.75" customHeight="1">
      <c r="A628" s="13"/>
      <c r="B628" s="13"/>
    </row>
    <row r="629" ht="15.75" customHeight="1">
      <c r="A629" s="13"/>
      <c r="B629" s="13"/>
    </row>
    <row r="630" ht="15.75" customHeight="1">
      <c r="A630" s="13"/>
      <c r="B630" s="13"/>
    </row>
    <row r="631" ht="15.75" customHeight="1">
      <c r="A631" s="13"/>
      <c r="B631" s="13"/>
    </row>
    <row r="632" ht="15.75" customHeight="1">
      <c r="A632" s="13"/>
      <c r="B632" s="13"/>
    </row>
    <row r="633" ht="15.75" customHeight="1">
      <c r="A633" s="13"/>
      <c r="B633" s="13"/>
    </row>
    <row r="634" ht="15.75" customHeight="1">
      <c r="A634" s="13"/>
      <c r="B634" s="13"/>
    </row>
    <row r="635" ht="15.75" customHeight="1">
      <c r="A635" s="13"/>
      <c r="B635" s="13"/>
    </row>
    <row r="636" ht="15.75" customHeight="1">
      <c r="A636" s="13"/>
      <c r="B636" s="13"/>
    </row>
    <row r="637" ht="15.75" customHeight="1">
      <c r="A637" s="13"/>
      <c r="B637" s="13"/>
    </row>
    <row r="638" ht="15.75" customHeight="1">
      <c r="A638" s="13"/>
      <c r="B638" s="13"/>
    </row>
    <row r="639" ht="15.75" customHeight="1">
      <c r="A639" s="13"/>
      <c r="B639" s="13"/>
    </row>
    <row r="640" ht="15.75" customHeight="1">
      <c r="A640" s="13"/>
      <c r="B640" s="13"/>
    </row>
    <row r="641" ht="15.75" customHeight="1">
      <c r="A641" s="13"/>
      <c r="B641" s="13"/>
    </row>
    <row r="642" ht="15.75" customHeight="1">
      <c r="A642" s="13"/>
      <c r="B642" s="13"/>
    </row>
    <row r="643" ht="15.75" customHeight="1">
      <c r="A643" s="13"/>
      <c r="B643" s="13"/>
    </row>
    <row r="644" ht="15.75" customHeight="1">
      <c r="A644" s="13"/>
      <c r="B644" s="13"/>
    </row>
    <row r="645" ht="15.75" customHeight="1">
      <c r="A645" s="13"/>
      <c r="B645" s="13"/>
    </row>
    <row r="646" ht="15.75" customHeight="1">
      <c r="A646" s="13"/>
      <c r="B646" s="13"/>
    </row>
    <row r="647" ht="15.75" customHeight="1">
      <c r="A647" s="13"/>
      <c r="B647" s="13"/>
    </row>
    <row r="648" ht="15.75" customHeight="1">
      <c r="A648" s="13"/>
      <c r="B648" s="13"/>
    </row>
    <row r="649" ht="15.75" customHeight="1">
      <c r="A649" s="13"/>
      <c r="B649" s="13"/>
    </row>
    <row r="650" ht="15.75" customHeight="1">
      <c r="A650" s="13"/>
      <c r="B650" s="13"/>
    </row>
    <row r="651" ht="15.75" customHeight="1">
      <c r="A651" s="13"/>
      <c r="B651" s="13"/>
    </row>
    <row r="652" ht="15.75" customHeight="1">
      <c r="A652" s="13"/>
      <c r="B652" s="13"/>
    </row>
    <row r="653" ht="15.75" customHeight="1">
      <c r="A653" s="13"/>
      <c r="B653" s="13"/>
    </row>
    <row r="654" ht="15.75" customHeight="1">
      <c r="A654" s="13"/>
      <c r="B654" s="13"/>
    </row>
    <row r="655" ht="15.75" customHeight="1">
      <c r="A655" s="13"/>
      <c r="B655" s="13"/>
    </row>
    <row r="656" ht="15.75" customHeight="1">
      <c r="A656" s="13"/>
      <c r="B656" s="13"/>
    </row>
    <row r="657" ht="15.75" customHeight="1">
      <c r="A657" s="13"/>
      <c r="B657" s="13"/>
    </row>
    <row r="658" ht="15.75" customHeight="1">
      <c r="A658" s="13"/>
      <c r="B658" s="13"/>
    </row>
    <row r="659" ht="15.75" customHeight="1">
      <c r="A659" s="13"/>
      <c r="B659" s="13"/>
    </row>
    <row r="660" ht="15.75" customHeight="1">
      <c r="A660" s="13"/>
      <c r="B660" s="13"/>
    </row>
    <row r="661" ht="15.75" customHeight="1">
      <c r="A661" s="13"/>
      <c r="B661" s="13"/>
    </row>
    <row r="662" ht="15.75" customHeight="1">
      <c r="A662" s="13"/>
      <c r="B662" s="13"/>
    </row>
    <row r="663" ht="15.75" customHeight="1">
      <c r="A663" s="13"/>
      <c r="B663" s="13"/>
    </row>
    <row r="664" ht="15.75" customHeight="1">
      <c r="A664" s="13"/>
      <c r="B664" s="13"/>
    </row>
    <row r="665" ht="15.75" customHeight="1">
      <c r="A665" s="13"/>
      <c r="B665" s="13"/>
    </row>
    <row r="666" ht="15.75" customHeight="1">
      <c r="A666" s="13"/>
      <c r="B666" s="13"/>
    </row>
    <row r="667" ht="15.75" customHeight="1">
      <c r="A667" s="13"/>
      <c r="B667" s="13"/>
    </row>
    <row r="668" ht="15.75" customHeight="1">
      <c r="A668" s="13"/>
      <c r="B668" s="13"/>
    </row>
    <row r="669" ht="15.75" customHeight="1">
      <c r="A669" s="13"/>
      <c r="B669" s="13"/>
    </row>
    <row r="670" ht="15.75" customHeight="1">
      <c r="A670" s="13"/>
      <c r="B670" s="13"/>
    </row>
    <row r="671" ht="15.75" customHeight="1">
      <c r="A671" s="13"/>
      <c r="B671" s="13"/>
    </row>
    <row r="672" ht="15.75" customHeight="1">
      <c r="A672" s="13"/>
      <c r="B672" s="13"/>
    </row>
    <row r="673" ht="15.75" customHeight="1">
      <c r="A673" s="13"/>
      <c r="B673" s="13"/>
    </row>
    <row r="674" ht="15.75" customHeight="1">
      <c r="A674" s="13"/>
      <c r="B674" s="13"/>
    </row>
    <row r="675" ht="15.75" customHeight="1">
      <c r="A675" s="13"/>
      <c r="B675" s="13"/>
    </row>
    <row r="676" ht="15.75" customHeight="1">
      <c r="A676" s="13"/>
      <c r="B676" s="13"/>
    </row>
    <row r="677" ht="15.75" customHeight="1">
      <c r="A677" s="13"/>
      <c r="B677" s="13"/>
    </row>
    <row r="678" ht="15.75" customHeight="1">
      <c r="A678" s="13"/>
      <c r="B678" s="13"/>
    </row>
    <row r="679" ht="15.75" customHeight="1">
      <c r="A679" s="13"/>
      <c r="B679" s="13"/>
    </row>
    <row r="680" ht="15.75" customHeight="1">
      <c r="A680" s="13"/>
      <c r="B680" s="13"/>
    </row>
    <row r="681" ht="15.75" customHeight="1">
      <c r="A681" s="13"/>
      <c r="B681" s="13"/>
    </row>
    <row r="682" ht="15.75" customHeight="1">
      <c r="A682" s="13"/>
      <c r="B682" s="13"/>
    </row>
    <row r="683" ht="15.75" customHeight="1">
      <c r="A683" s="13"/>
      <c r="B683" s="13"/>
    </row>
    <row r="684" ht="15.75" customHeight="1">
      <c r="A684" s="13"/>
      <c r="B684" s="13"/>
    </row>
    <row r="685" ht="15.75" customHeight="1">
      <c r="A685" s="13"/>
      <c r="B685" s="13"/>
    </row>
    <row r="686" ht="15.75" customHeight="1">
      <c r="A686" s="13"/>
      <c r="B686" s="13"/>
    </row>
    <row r="687" ht="15.75" customHeight="1">
      <c r="A687" s="13"/>
      <c r="B687" s="13"/>
    </row>
    <row r="688" ht="15.75" customHeight="1">
      <c r="A688" s="13"/>
      <c r="B688" s="13"/>
    </row>
    <row r="689" ht="15.75" customHeight="1">
      <c r="A689" s="13"/>
      <c r="B689" s="13"/>
    </row>
    <row r="690" ht="15.75" customHeight="1">
      <c r="A690" s="13"/>
      <c r="B690" s="13"/>
    </row>
    <row r="691" ht="15.75" customHeight="1">
      <c r="A691" s="13"/>
      <c r="B691" s="13"/>
    </row>
    <row r="692" ht="15.75" customHeight="1">
      <c r="A692" s="13"/>
      <c r="B692" s="13"/>
    </row>
    <row r="693" ht="15.75" customHeight="1">
      <c r="A693" s="13"/>
      <c r="B693" s="13"/>
    </row>
    <row r="694" ht="15.75" customHeight="1">
      <c r="A694" s="13"/>
      <c r="B694" s="13"/>
    </row>
    <row r="695" ht="15.75" customHeight="1">
      <c r="A695" s="13"/>
      <c r="B695" s="13"/>
    </row>
    <row r="696" ht="15.75" customHeight="1">
      <c r="A696" s="13"/>
      <c r="B696" s="13"/>
    </row>
    <row r="697" ht="15.75" customHeight="1">
      <c r="A697" s="13"/>
      <c r="B697" s="13"/>
    </row>
    <row r="698" ht="15.75" customHeight="1">
      <c r="A698" s="13"/>
      <c r="B698" s="13"/>
    </row>
    <row r="699" ht="15.75" customHeight="1">
      <c r="A699" s="13"/>
      <c r="B699" s="13"/>
    </row>
    <row r="700" ht="15.75" customHeight="1">
      <c r="A700" s="13"/>
      <c r="B700" s="13"/>
    </row>
    <row r="701" ht="15.75" customHeight="1">
      <c r="A701" s="13"/>
      <c r="B701" s="13"/>
    </row>
    <row r="702" ht="15.75" customHeight="1">
      <c r="A702" s="13"/>
      <c r="B702" s="13"/>
    </row>
    <row r="703" ht="15.75" customHeight="1">
      <c r="A703" s="13"/>
      <c r="B703" s="13"/>
    </row>
    <row r="704" ht="15.75" customHeight="1">
      <c r="A704" s="13"/>
      <c r="B704" s="13"/>
    </row>
    <row r="705" ht="15.75" customHeight="1">
      <c r="A705" s="13"/>
      <c r="B705" s="13"/>
    </row>
    <row r="706" ht="15.75" customHeight="1">
      <c r="A706" s="13"/>
      <c r="B706" s="13"/>
    </row>
    <row r="707" ht="15.75" customHeight="1">
      <c r="A707" s="13"/>
      <c r="B707" s="13"/>
    </row>
    <row r="708" ht="15.75" customHeight="1">
      <c r="A708" s="13"/>
      <c r="B708" s="13"/>
    </row>
    <row r="709" ht="15.75" customHeight="1">
      <c r="A709" s="13"/>
      <c r="B709" s="13"/>
    </row>
    <row r="710" ht="15.75" customHeight="1">
      <c r="A710" s="13"/>
      <c r="B710" s="13"/>
    </row>
    <row r="711" ht="15.75" customHeight="1">
      <c r="A711" s="13"/>
      <c r="B711" s="13"/>
    </row>
    <row r="712" ht="15.75" customHeight="1">
      <c r="A712" s="13"/>
      <c r="B712" s="13"/>
    </row>
    <row r="713" ht="15.75" customHeight="1">
      <c r="A713" s="13"/>
      <c r="B713" s="13"/>
    </row>
    <row r="714" ht="15.75" customHeight="1">
      <c r="A714" s="13"/>
      <c r="B714" s="13"/>
    </row>
    <row r="715" ht="15.75" customHeight="1">
      <c r="A715" s="13"/>
      <c r="B715" s="13"/>
    </row>
    <row r="716" ht="15.75" customHeight="1">
      <c r="A716" s="13"/>
      <c r="B716" s="13"/>
    </row>
    <row r="717" ht="15.75" customHeight="1">
      <c r="A717" s="13"/>
      <c r="B717" s="13"/>
    </row>
    <row r="718" ht="15.75" customHeight="1">
      <c r="A718" s="13"/>
      <c r="B718" s="13"/>
    </row>
    <row r="719" ht="15.75" customHeight="1">
      <c r="A719" s="13"/>
      <c r="B719" s="13"/>
    </row>
    <row r="720" ht="15.75" customHeight="1">
      <c r="A720" s="13"/>
      <c r="B720" s="13"/>
    </row>
    <row r="721" ht="15.75" customHeight="1">
      <c r="A721" s="13"/>
      <c r="B721" s="13"/>
    </row>
    <row r="722" ht="15.75" customHeight="1">
      <c r="A722" s="13"/>
      <c r="B722" s="13"/>
    </row>
    <row r="723" ht="15.75" customHeight="1">
      <c r="A723" s="13"/>
      <c r="B723" s="13"/>
    </row>
    <row r="724" ht="15.75" customHeight="1">
      <c r="A724" s="13"/>
      <c r="B724" s="13"/>
    </row>
    <row r="725" ht="15.75" customHeight="1">
      <c r="A725" s="13"/>
      <c r="B725" s="13"/>
    </row>
    <row r="726" ht="15.75" customHeight="1">
      <c r="A726" s="13"/>
      <c r="B726" s="13"/>
    </row>
    <row r="727" ht="15.75" customHeight="1">
      <c r="A727" s="13"/>
      <c r="B727" s="13"/>
    </row>
    <row r="728" ht="15.75" customHeight="1">
      <c r="A728" s="13"/>
      <c r="B728" s="13"/>
    </row>
    <row r="729" ht="15.75" customHeight="1">
      <c r="A729" s="13"/>
      <c r="B729" s="13"/>
    </row>
    <row r="730" ht="15.75" customHeight="1">
      <c r="A730" s="13"/>
      <c r="B730" s="13"/>
    </row>
    <row r="731" ht="15.75" customHeight="1">
      <c r="A731" s="13"/>
      <c r="B731" s="13"/>
    </row>
    <row r="732" ht="15.75" customHeight="1">
      <c r="A732" s="13"/>
      <c r="B732" s="13"/>
    </row>
    <row r="733" ht="15.75" customHeight="1">
      <c r="A733" s="13"/>
      <c r="B733" s="13"/>
    </row>
    <row r="734" ht="15.75" customHeight="1">
      <c r="A734" s="13"/>
      <c r="B734" s="13"/>
    </row>
    <row r="735" ht="15.75" customHeight="1">
      <c r="A735" s="13"/>
      <c r="B735" s="13"/>
    </row>
    <row r="736" ht="15.75" customHeight="1">
      <c r="A736" s="13"/>
      <c r="B736" s="13"/>
    </row>
    <row r="737" ht="15.75" customHeight="1">
      <c r="A737" s="13"/>
      <c r="B737" s="13"/>
    </row>
    <row r="738" ht="15.75" customHeight="1">
      <c r="A738" s="13"/>
      <c r="B738" s="13"/>
    </row>
    <row r="739" ht="15.75" customHeight="1">
      <c r="A739" s="13"/>
      <c r="B739" s="13"/>
    </row>
    <row r="740" ht="15.75" customHeight="1">
      <c r="A740" s="13"/>
      <c r="B740" s="13"/>
    </row>
    <row r="741" ht="15.75" customHeight="1">
      <c r="A741" s="13"/>
      <c r="B741" s="13"/>
    </row>
    <row r="742" ht="15.75" customHeight="1">
      <c r="A742" s="13"/>
      <c r="B742" s="13"/>
    </row>
    <row r="743" ht="15.75" customHeight="1">
      <c r="A743" s="13"/>
      <c r="B743" s="13"/>
    </row>
    <row r="744" ht="15.75" customHeight="1">
      <c r="A744" s="13"/>
      <c r="B744" s="13"/>
    </row>
    <row r="745" ht="15.75" customHeight="1">
      <c r="A745" s="13"/>
      <c r="B745" s="13"/>
    </row>
    <row r="746" ht="15.75" customHeight="1">
      <c r="A746" s="13"/>
      <c r="B746" s="13"/>
    </row>
    <row r="747" ht="15.75" customHeight="1">
      <c r="A747" s="13"/>
      <c r="B747" s="13"/>
    </row>
    <row r="748" ht="15.75" customHeight="1">
      <c r="A748" s="13"/>
      <c r="B748" s="13"/>
    </row>
    <row r="749" ht="15.75" customHeight="1">
      <c r="A749" s="13"/>
      <c r="B749" s="13"/>
    </row>
    <row r="750" ht="15.75" customHeight="1">
      <c r="A750" s="13"/>
      <c r="B750" s="13"/>
    </row>
    <row r="751" ht="15.75" customHeight="1">
      <c r="A751" s="13"/>
      <c r="B751" s="13"/>
    </row>
    <row r="752" ht="15.75" customHeight="1">
      <c r="A752" s="13"/>
      <c r="B752" s="13"/>
    </row>
    <row r="753" ht="15.75" customHeight="1">
      <c r="A753" s="13"/>
      <c r="B753" s="13"/>
    </row>
    <row r="754" ht="15.75" customHeight="1">
      <c r="A754" s="13"/>
      <c r="B754" s="13"/>
    </row>
    <row r="755" ht="15.75" customHeight="1">
      <c r="A755" s="13"/>
      <c r="B755" s="13"/>
    </row>
    <row r="756" ht="15.75" customHeight="1">
      <c r="A756" s="13"/>
      <c r="B756" s="13"/>
    </row>
    <row r="757" ht="15.75" customHeight="1">
      <c r="A757" s="13"/>
      <c r="B757" s="13"/>
    </row>
    <row r="758" ht="15.75" customHeight="1">
      <c r="A758" s="13"/>
      <c r="B758" s="13"/>
    </row>
    <row r="759" ht="15.75" customHeight="1">
      <c r="A759" s="13"/>
      <c r="B759" s="13"/>
    </row>
    <row r="760" ht="15.75" customHeight="1">
      <c r="A760" s="13"/>
      <c r="B760" s="13"/>
    </row>
    <row r="761" ht="15.75" customHeight="1">
      <c r="A761" s="13"/>
      <c r="B761" s="13"/>
    </row>
    <row r="762" ht="15.75" customHeight="1">
      <c r="A762" s="13"/>
      <c r="B762" s="13"/>
    </row>
    <row r="763" ht="15.75" customHeight="1">
      <c r="A763" s="13"/>
      <c r="B763" s="13"/>
    </row>
    <row r="764" ht="15.75" customHeight="1">
      <c r="A764" s="13"/>
      <c r="B764" s="13"/>
    </row>
    <row r="765" ht="15.75" customHeight="1">
      <c r="A765" s="13"/>
      <c r="B765" s="13"/>
    </row>
    <row r="766" ht="15.75" customHeight="1">
      <c r="A766" s="13"/>
      <c r="B766" s="13"/>
    </row>
    <row r="767" ht="15.75" customHeight="1">
      <c r="A767" s="13"/>
      <c r="B767" s="13"/>
    </row>
    <row r="768" ht="15.75" customHeight="1">
      <c r="A768" s="13"/>
      <c r="B768" s="13"/>
    </row>
    <row r="769" ht="15.75" customHeight="1">
      <c r="A769" s="13"/>
      <c r="B769" s="13"/>
    </row>
    <row r="770" ht="15.75" customHeight="1">
      <c r="A770" s="13"/>
      <c r="B770" s="13"/>
    </row>
    <row r="771" ht="15.75" customHeight="1">
      <c r="A771" s="13"/>
      <c r="B771" s="13"/>
    </row>
    <row r="772" ht="15.75" customHeight="1">
      <c r="A772" s="13"/>
      <c r="B772" s="13"/>
    </row>
    <row r="773" ht="15.75" customHeight="1">
      <c r="A773" s="13"/>
      <c r="B773" s="13"/>
    </row>
    <row r="774" ht="15.75" customHeight="1">
      <c r="A774" s="13"/>
      <c r="B774" s="13"/>
    </row>
    <row r="775" ht="15.75" customHeight="1">
      <c r="A775" s="13"/>
      <c r="B775" s="13"/>
    </row>
    <row r="776" ht="15.75" customHeight="1">
      <c r="A776" s="13"/>
      <c r="B776" s="13"/>
    </row>
    <row r="777" ht="15.75" customHeight="1">
      <c r="A777" s="13"/>
      <c r="B777" s="13"/>
    </row>
    <row r="778" ht="15.75" customHeight="1">
      <c r="A778" s="13"/>
      <c r="B778" s="13"/>
    </row>
    <row r="779" ht="15.75" customHeight="1">
      <c r="A779" s="13"/>
      <c r="B779" s="13"/>
    </row>
    <row r="780" ht="15.75" customHeight="1">
      <c r="A780" s="13"/>
      <c r="B780" s="13"/>
    </row>
    <row r="781" ht="15.75" customHeight="1">
      <c r="A781" s="13"/>
      <c r="B781" s="13"/>
    </row>
    <row r="782" ht="15.75" customHeight="1">
      <c r="A782" s="13"/>
      <c r="B782" s="13"/>
    </row>
    <row r="783" ht="15.75" customHeight="1">
      <c r="A783" s="13"/>
      <c r="B783" s="13"/>
    </row>
    <row r="784" ht="15.75" customHeight="1">
      <c r="A784" s="13"/>
      <c r="B784" s="13"/>
    </row>
    <row r="785" ht="15.75" customHeight="1">
      <c r="A785" s="13"/>
      <c r="B785" s="13"/>
    </row>
    <row r="786" ht="15.75" customHeight="1">
      <c r="A786" s="13"/>
      <c r="B786" s="13"/>
    </row>
    <row r="787" ht="15.75" customHeight="1">
      <c r="A787" s="13"/>
      <c r="B787" s="13"/>
    </row>
    <row r="788" ht="15.75" customHeight="1">
      <c r="A788" s="13"/>
      <c r="B788" s="13"/>
    </row>
    <row r="789" ht="15.75" customHeight="1">
      <c r="A789" s="13"/>
      <c r="B789" s="13"/>
    </row>
    <row r="790" ht="15.75" customHeight="1">
      <c r="A790" s="13"/>
      <c r="B790" s="13"/>
    </row>
    <row r="791" ht="15.75" customHeight="1">
      <c r="A791" s="13"/>
      <c r="B791" s="13"/>
    </row>
    <row r="792" ht="15.75" customHeight="1">
      <c r="A792" s="13"/>
      <c r="B792" s="13"/>
    </row>
    <row r="793" ht="15.75" customHeight="1">
      <c r="A793" s="13"/>
      <c r="B793" s="13"/>
    </row>
    <row r="794" ht="15.75" customHeight="1">
      <c r="A794" s="13"/>
      <c r="B794" s="13"/>
    </row>
    <row r="795" ht="15.75" customHeight="1">
      <c r="A795" s="13"/>
      <c r="B795" s="13"/>
    </row>
    <row r="796" ht="15.75" customHeight="1">
      <c r="A796" s="13"/>
      <c r="B796" s="13"/>
    </row>
    <row r="797" ht="15.75" customHeight="1">
      <c r="A797" s="13"/>
      <c r="B797" s="13"/>
    </row>
    <row r="798" ht="15.75" customHeight="1">
      <c r="A798" s="13"/>
      <c r="B798" s="13"/>
    </row>
    <row r="799" ht="15.75" customHeight="1">
      <c r="A799" s="13"/>
      <c r="B799" s="13"/>
    </row>
    <row r="800" ht="15.75" customHeight="1">
      <c r="A800" s="13"/>
      <c r="B800" s="13"/>
    </row>
    <row r="801" ht="15.75" customHeight="1">
      <c r="A801" s="13"/>
      <c r="B801" s="13"/>
    </row>
    <row r="802" ht="15.75" customHeight="1">
      <c r="A802" s="13"/>
      <c r="B802" s="13"/>
    </row>
    <row r="803" ht="15.75" customHeight="1">
      <c r="A803" s="13"/>
      <c r="B803" s="13"/>
    </row>
    <row r="804" ht="15.75" customHeight="1">
      <c r="A804" s="13"/>
      <c r="B804" s="13"/>
    </row>
    <row r="805" ht="15.75" customHeight="1">
      <c r="A805" s="13"/>
      <c r="B805" s="13"/>
    </row>
    <row r="806" ht="15.75" customHeight="1">
      <c r="A806" s="13"/>
      <c r="B806" s="13"/>
    </row>
    <row r="807" ht="15.75" customHeight="1">
      <c r="A807" s="13"/>
      <c r="B807" s="13"/>
    </row>
    <row r="808" ht="15.75" customHeight="1">
      <c r="A808" s="13"/>
      <c r="B808" s="13"/>
    </row>
    <row r="809" ht="15.75" customHeight="1">
      <c r="A809" s="13"/>
      <c r="B809" s="13"/>
    </row>
    <row r="810" ht="15.75" customHeight="1">
      <c r="A810" s="13"/>
      <c r="B810" s="13"/>
    </row>
    <row r="811" ht="15.75" customHeight="1">
      <c r="A811" s="13"/>
      <c r="B811" s="13"/>
    </row>
    <row r="812" ht="15.75" customHeight="1">
      <c r="A812" s="13"/>
      <c r="B812" s="13"/>
    </row>
    <row r="813" ht="15.75" customHeight="1">
      <c r="A813" s="13"/>
      <c r="B813" s="13"/>
    </row>
    <row r="814" ht="15.75" customHeight="1">
      <c r="A814" s="13"/>
      <c r="B814" s="13"/>
    </row>
    <row r="815" ht="15.75" customHeight="1">
      <c r="A815" s="13"/>
      <c r="B815" s="13"/>
    </row>
    <row r="816" ht="15.75" customHeight="1">
      <c r="A816" s="13"/>
      <c r="B816" s="13"/>
    </row>
    <row r="817" ht="15.75" customHeight="1">
      <c r="A817" s="13"/>
      <c r="B817" s="13"/>
    </row>
    <row r="818" ht="15.75" customHeight="1">
      <c r="A818" s="13"/>
      <c r="B818" s="13"/>
    </row>
    <row r="819" ht="15.75" customHeight="1">
      <c r="A819" s="13"/>
      <c r="B819" s="13"/>
    </row>
    <row r="820" ht="15.75" customHeight="1">
      <c r="A820" s="13"/>
      <c r="B820" s="13"/>
    </row>
    <row r="821" ht="15.75" customHeight="1">
      <c r="A821" s="13"/>
      <c r="B821" s="13"/>
    </row>
    <row r="822" ht="15.75" customHeight="1">
      <c r="A822" s="13"/>
      <c r="B822" s="13"/>
    </row>
    <row r="823" ht="15.75" customHeight="1">
      <c r="A823" s="13"/>
      <c r="B823" s="13"/>
    </row>
    <row r="824" ht="15.75" customHeight="1">
      <c r="A824" s="13"/>
      <c r="B824" s="13"/>
    </row>
    <row r="825" ht="15.75" customHeight="1">
      <c r="A825" s="13"/>
      <c r="B825" s="13"/>
    </row>
    <row r="826" ht="15.75" customHeight="1">
      <c r="A826" s="13"/>
      <c r="B826" s="13"/>
    </row>
    <row r="827" ht="15.75" customHeight="1">
      <c r="A827" s="13"/>
      <c r="B827" s="13"/>
    </row>
    <row r="828" ht="15.75" customHeight="1">
      <c r="A828" s="13"/>
      <c r="B828" s="13"/>
    </row>
    <row r="829" ht="15.75" customHeight="1">
      <c r="A829" s="13"/>
      <c r="B829" s="13"/>
    </row>
    <row r="830" ht="15.75" customHeight="1">
      <c r="A830" s="13"/>
      <c r="B830" s="13"/>
    </row>
    <row r="831" ht="15.75" customHeight="1">
      <c r="A831" s="13"/>
      <c r="B831" s="13"/>
    </row>
    <row r="832" ht="15.75" customHeight="1">
      <c r="A832" s="13"/>
      <c r="B832" s="13"/>
    </row>
    <row r="833" ht="15.75" customHeight="1">
      <c r="A833" s="13"/>
      <c r="B833" s="13"/>
    </row>
    <row r="834" ht="15.75" customHeight="1">
      <c r="A834" s="13"/>
      <c r="B834" s="13"/>
    </row>
    <row r="835" ht="15.75" customHeight="1">
      <c r="A835" s="13"/>
      <c r="B835" s="13"/>
    </row>
    <row r="836" ht="15.75" customHeight="1">
      <c r="A836" s="13"/>
      <c r="B836" s="13"/>
    </row>
    <row r="837" ht="15.75" customHeight="1">
      <c r="A837" s="13"/>
      <c r="B837" s="13"/>
    </row>
    <row r="838" ht="15.75" customHeight="1">
      <c r="A838" s="13"/>
      <c r="B838" s="13"/>
    </row>
    <row r="839" ht="15.75" customHeight="1">
      <c r="A839" s="13"/>
      <c r="B839" s="13"/>
    </row>
    <row r="840" ht="15.75" customHeight="1">
      <c r="A840" s="13"/>
      <c r="B840" s="13"/>
    </row>
    <row r="841" ht="15.75" customHeight="1">
      <c r="A841" s="13"/>
      <c r="B841" s="13"/>
    </row>
    <row r="842" ht="15.75" customHeight="1">
      <c r="A842" s="13"/>
      <c r="B842" s="13"/>
    </row>
    <row r="843" ht="15.75" customHeight="1">
      <c r="A843" s="13"/>
      <c r="B843" s="13"/>
    </row>
    <row r="844" ht="15.75" customHeight="1">
      <c r="A844" s="13"/>
      <c r="B844" s="13"/>
    </row>
    <row r="845" ht="15.75" customHeight="1">
      <c r="A845" s="13"/>
      <c r="B845" s="13"/>
    </row>
    <row r="846" ht="15.75" customHeight="1">
      <c r="A846" s="13"/>
      <c r="B846" s="13"/>
    </row>
    <row r="847" ht="15.75" customHeight="1">
      <c r="A847" s="13"/>
      <c r="B847" s="13"/>
    </row>
    <row r="848" ht="15.75" customHeight="1">
      <c r="A848" s="13"/>
      <c r="B848" s="13"/>
    </row>
    <row r="849" ht="15.75" customHeight="1">
      <c r="A849" s="13"/>
      <c r="B849" s="13"/>
    </row>
    <row r="850" ht="15.75" customHeight="1">
      <c r="A850" s="13"/>
      <c r="B850" s="13"/>
    </row>
    <row r="851" ht="15.75" customHeight="1">
      <c r="A851" s="13"/>
      <c r="B851" s="13"/>
    </row>
    <row r="852" ht="15.75" customHeight="1">
      <c r="A852" s="13"/>
      <c r="B852" s="13"/>
    </row>
    <row r="853" ht="15.75" customHeight="1">
      <c r="A853" s="13"/>
      <c r="B853" s="13"/>
    </row>
    <row r="854" ht="15.75" customHeight="1">
      <c r="A854" s="13"/>
      <c r="B854" s="13"/>
    </row>
    <row r="855" ht="15.75" customHeight="1">
      <c r="A855" s="13"/>
      <c r="B855" s="13"/>
    </row>
    <row r="856" ht="15.75" customHeight="1">
      <c r="A856" s="13"/>
      <c r="B856" s="13"/>
    </row>
    <row r="857" ht="15.75" customHeight="1">
      <c r="A857" s="13"/>
      <c r="B857" s="13"/>
    </row>
    <row r="858" ht="15.75" customHeight="1">
      <c r="A858" s="13"/>
      <c r="B858" s="13"/>
    </row>
    <row r="859" ht="15.75" customHeight="1">
      <c r="A859" s="13"/>
      <c r="B859" s="13"/>
    </row>
    <row r="860" ht="15.75" customHeight="1">
      <c r="A860" s="13"/>
      <c r="B860" s="13"/>
    </row>
    <row r="861" ht="15.75" customHeight="1">
      <c r="A861" s="13"/>
      <c r="B861" s="13"/>
    </row>
    <row r="862" ht="15.75" customHeight="1">
      <c r="A862" s="13"/>
      <c r="B862" s="13"/>
    </row>
    <row r="863" ht="15.75" customHeight="1">
      <c r="A863" s="13"/>
      <c r="B863" s="13"/>
    </row>
    <row r="864" ht="15.75" customHeight="1">
      <c r="A864" s="13"/>
      <c r="B864" s="13"/>
    </row>
    <row r="865" ht="15.75" customHeight="1">
      <c r="A865" s="13"/>
      <c r="B865" s="13"/>
    </row>
    <row r="866" ht="15.75" customHeight="1">
      <c r="A866" s="13"/>
      <c r="B866" s="13"/>
    </row>
    <row r="867" ht="15.75" customHeight="1">
      <c r="A867" s="13"/>
      <c r="B867" s="13"/>
    </row>
    <row r="868" ht="15.75" customHeight="1">
      <c r="A868" s="13"/>
      <c r="B868" s="13"/>
    </row>
    <row r="869" ht="15.75" customHeight="1">
      <c r="A869" s="13"/>
      <c r="B869" s="13"/>
    </row>
    <row r="870" ht="15.75" customHeight="1">
      <c r="A870" s="13"/>
      <c r="B870" s="13"/>
    </row>
    <row r="871" ht="15.75" customHeight="1">
      <c r="A871" s="13"/>
      <c r="B871" s="13"/>
    </row>
    <row r="872" ht="15.75" customHeight="1">
      <c r="A872" s="13"/>
      <c r="B872" s="13"/>
    </row>
    <row r="873" ht="15.75" customHeight="1">
      <c r="A873" s="13"/>
      <c r="B873" s="13"/>
    </row>
    <row r="874" ht="15.75" customHeight="1">
      <c r="A874" s="13"/>
      <c r="B874" s="13"/>
    </row>
    <row r="875" ht="15.75" customHeight="1">
      <c r="A875" s="13"/>
      <c r="B875" s="13"/>
    </row>
    <row r="876" ht="15.75" customHeight="1">
      <c r="A876" s="13"/>
      <c r="B876" s="13"/>
    </row>
    <row r="877" ht="15.75" customHeight="1">
      <c r="A877" s="13"/>
      <c r="B877" s="13"/>
    </row>
    <row r="878" ht="15.75" customHeight="1">
      <c r="A878" s="13"/>
      <c r="B878" s="13"/>
    </row>
    <row r="879" ht="15.75" customHeight="1">
      <c r="A879" s="13"/>
      <c r="B879" s="13"/>
    </row>
    <row r="880" ht="15.75" customHeight="1">
      <c r="A880" s="13"/>
      <c r="B880" s="13"/>
    </row>
    <row r="881" ht="15.75" customHeight="1">
      <c r="A881" s="13"/>
      <c r="B881" s="13"/>
    </row>
    <row r="882" ht="15.75" customHeight="1">
      <c r="A882" s="13"/>
      <c r="B882" s="13"/>
    </row>
    <row r="883" ht="15.75" customHeight="1">
      <c r="A883" s="13"/>
      <c r="B883" s="13"/>
    </row>
    <row r="884" ht="15.75" customHeight="1">
      <c r="A884" s="13"/>
      <c r="B884" s="13"/>
    </row>
    <row r="885" ht="15.75" customHeight="1">
      <c r="A885" s="13"/>
      <c r="B885" s="13"/>
    </row>
    <row r="886" ht="15.75" customHeight="1">
      <c r="A886" s="13"/>
      <c r="B886" s="13"/>
    </row>
    <row r="887" ht="15.75" customHeight="1">
      <c r="A887" s="13"/>
      <c r="B887" s="13"/>
    </row>
    <row r="888" ht="15.75" customHeight="1">
      <c r="A888" s="13"/>
      <c r="B888" s="13"/>
    </row>
    <row r="889" ht="15.75" customHeight="1">
      <c r="A889" s="13"/>
      <c r="B889" s="13"/>
    </row>
    <row r="890" ht="15.75" customHeight="1">
      <c r="A890" s="13"/>
      <c r="B890" s="13"/>
    </row>
    <row r="891" ht="15.75" customHeight="1">
      <c r="A891" s="13"/>
      <c r="B891" s="13"/>
    </row>
    <row r="892" ht="15.75" customHeight="1">
      <c r="A892" s="13"/>
      <c r="B892" s="13"/>
    </row>
    <row r="893" ht="15.75" customHeight="1">
      <c r="A893" s="13"/>
      <c r="B893" s="13"/>
    </row>
    <row r="894" ht="15.75" customHeight="1">
      <c r="A894" s="13"/>
      <c r="B894" s="13"/>
    </row>
    <row r="895" ht="15.75" customHeight="1">
      <c r="A895" s="13"/>
      <c r="B895" s="13"/>
    </row>
    <row r="896" ht="15.75" customHeight="1">
      <c r="A896" s="13"/>
      <c r="B896" s="13"/>
    </row>
    <row r="897" ht="15.75" customHeight="1">
      <c r="A897" s="13"/>
      <c r="B897" s="13"/>
    </row>
    <row r="898" ht="15.75" customHeight="1">
      <c r="A898" s="13"/>
      <c r="B898" s="13"/>
    </row>
    <row r="899" ht="15.75" customHeight="1">
      <c r="A899" s="13"/>
      <c r="B899" s="13"/>
    </row>
    <row r="900" ht="15.75" customHeight="1">
      <c r="A900" s="13"/>
      <c r="B900" s="13"/>
    </row>
    <row r="901" ht="15.75" customHeight="1">
      <c r="A901" s="13"/>
      <c r="B901" s="13"/>
    </row>
    <row r="902" ht="15.75" customHeight="1">
      <c r="A902" s="13"/>
      <c r="B902" s="13"/>
    </row>
    <row r="903" ht="15.75" customHeight="1">
      <c r="A903" s="13"/>
      <c r="B903" s="13"/>
    </row>
    <row r="904" ht="15.75" customHeight="1">
      <c r="A904" s="13"/>
      <c r="B904" s="13"/>
    </row>
    <row r="905" ht="15.75" customHeight="1">
      <c r="A905" s="13"/>
      <c r="B905" s="13"/>
    </row>
    <row r="906" ht="15.75" customHeight="1">
      <c r="A906" s="13"/>
      <c r="B906" s="13"/>
    </row>
    <row r="907" ht="15.75" customHeight="1">
      <c r="A907" s="13"/>
      <c r="B907" s="13"/>
    </row>
    <row r="908" ht="15.75" customHeight="1">
      <c r="A908" s="13"/>
      <c r="B908" s="13"/>
    </row>
    <row r="909" ht="15.75" customHeight="1">
      <c r="A909" s="13"/>
      <c r="B909" s="13"/>
    </row>
    <row r="910" ht="15.75" customHeight="1">
      <c r="A910" s="13"/>
      <c r="B910" s="13"/>
    </row>
    <row r="911" ht="15.75" customHeight="1">
      <c r="A911" s="13"/>
      <c r="B911" s="13"/>
    </row>
    <row r="912" ht="15.75" customHeight="1">
      <c r="A912" s="13"/>
      <c r="B912" s="13"/>
    </row>
    <row r="913" ht="15.75" customHeight="1">
      <c r="A913" s="13"/>
      <c r="B913" s="13"/>
    </row>
    <row r="914" ht="15.75" customHeight="1">
      <c r="A914" s="13"/>
      <c r="B914" s="13"/>
    </row>
    <row r="915" ht="15.75" customHeight="1">
      <c r="A915" s="13"/>
      <c r="B915" s="13"/>
    </row>
    <row r="916" ht="15.75" customHeight="1">
      <c r="A916" s="13"/>
      <c r="B916" s="13"/>
    </row>
    <row r="917" ht="15.75" customHeight="1">
      <c r="A917" s="13"/>
      <c r="B917" s="13"/>
    </row>
    <row r="918" ht="15.75" customHeight="1">
      <c r="A918" s="13"/>
      <c r="B918" s="13"/>
    </row>
    <row r="919" ht="15.75" customHeight="1">
      <c r="A919" s="13"/>
      <c r="B919" s="13"/>
    </row>
    <row r="920" ht="15.75" customHeight="1">
      <c r="A920" s="13"/>
      <c r="B920" s="13"/>
    </row>
    <row r="921" ht="15.75" customHeight="1">
      <c r="A921" s="13"/>
      <c r="B921" s="13"/>
    </row>
    <row r="922" ht="15.75" customHeight="1">
      <c r="A922" s="13"/>
      <c r="B922" s="13"/>
    </row>
    <row r="923" ht="15.75" customHeight="1">
      <c r="A923" s="13"/>
      <c r="B923" s="13"/>
    </row>
    <row r="924" ht="15.75" customHeight="1">
      <c r="A924" s="13"/>
      <c r="B924" s="13"/>
    </row>
    <row r="925" ht="15.75" customHeight="1">
      <c r="A925" s="13"/>
      <c r="B925" s="13"/>
    </row>
    <row r="926" ht="15.75" customHeight="1">
      <c r="A926" s="13"/>
      <c r="B926" s="13"/>
    </row>
    <row r="927" ht="15.75" customHeight="1">
      <c r="A927" s="13"/>
      <c r="B927" s="13"/>
    </row>
    <row r="928" ht="15.75" customHeight="1">
      <c r="A928" s="13"/>
      <c r="B928" s="13"/>
    </row>
    <row r="929" ht="15.75" customHeight="1">
      <c r="A929" s="13"/>
      <c r="B929" s="13"/>
    </row>
    <row r="930" ht="15.75" customHeight="1">
      <c r="A930" s="13"/>
      <c r="B930" s="13"/>
    </row>
    <row r="931" ht="15.75" customHeight="1">
      <c r="A931" s="13"/>
      <c r="B931" s="13"/>
    </row>
    <row r="932" ht="15.75" customHeight="1">
      <c r="A932" s="13"/>
      <c r="B932" s="13"/>
    </row>
    <row r="933" ht="15.75" customHeight="1">
      <c r="A933" s="13"/>
      <c r="B933" s="13"/>
    </row>
    <row r="934" ht="15.75" customHeight="1">
      <c r="A934" s="13"/>
      <c r="B934" s="13"/>
    </row>
    <row r="935" ht="15.75" customHeight="1">
      <c r="A935" s="13"/>
      <c r="B935" s="13"/>
    </row>
    <row r="936" ht="15.75" customHeight="1">
      <c r="A936" s="13"/>
      <c r="B936" s="13"/>
    </row>
    <row r="937" ht="15.75" customHeight="1">
      <c r="A937" s="13"/>
      <c r="B937" s="13"/>
    </row>
    <row r="938" ht="15.75" customHeight="1">
      <c r="A938" s="13"/>
      <c r="B938" s="13"/>
    </row>
    <row r="939" ht="15.75" customHeight="1">
      <c r="A939" s="13"/>
      <c r="B939" s="13"/>
    </row>
    <row r="940" ht="15.75" customHeight="1">
      <c r="A940" s="13"/>
      <c r="B940" s="13"/>
    </row>
    <row r="941" ht="15.75" customHeight="1">
      <c r="A941" s="13"/>
      <c r="B941" s="13"/>
    </row>
    <row r="942" ht="15.75" customHeight="1">
      <c r="A942" s="13"/>
      <c r="B942" s="13"/>
    </row>
    <row r="943" ht="15.75" customHeight="1">
      <c r="A943" s="13"/>
      <c r="B943" s="13"/>
    </row>
    <row r="944" ht="15.75" customHeight="1">
      <c r="A944" s="13"/>
      <c r="B944" s="13"/>
    </row>
    <row r="945" ht="15.75" customHeight="1">
      <c r="A945" s="13"/>
      <c r="B945" s="13"/>
    </row>
    <row r="946" ht="15.75" customHeight="1">
      <c r="A946" s="13"/>
      <c r="B946" s="13"/>
    </row>
    <row r="947" ht="15.75" customHeight="1">
      <c r="A947" s="13"/>
      <c r="B947" s="13"/>
    </row>
    <row r="948" ht="15.75" customHeight="1">
      <c r="A948" s="13"/>
      <c r="B948" s="13"/>
    </row>
    <row r="949" ht="15.75" customHeight="1">
      <c r="A949" s="13"/>
      <c r="B949" s="13"/>
    </row>
    <row r="950" ht="15.75" customHeight="1">
      <c r="A950" s="13"/>
      <c r="B950" s="13"/>
    </row>
    <row r="951" ht="15.75" customHeight="1">
      <c r="A951" s="13"/>
      <c r="B951" s="13"/>
    </row>
    <row r="952" ht="15.75" customHeight="1">
      <c r="A952" s="13"/>
      <c r="B952" s="13"/>
    </row>
    <row r="953" ht="15.75" customHeight="1">
      <c r="A953" s="13"/>
      <c r="B953" s="13"/>
    </row>
    <row r="954" ht="15.75" customHeight="1">
      <c r="A954" s="13"/>
      <c r="B954" s="13"/>
    </row>
    <row r="955" ht="15.75" customHeight="1">
      <c r="A955" s="13"/>
      <c r="B955" s="13"/>
    </row>
    <row r="956" ht="15.75" customHeight="1">
      <c r="A956" s="13"/>
      <c r="B956" s="13"/>
    </row>
    <row r="957" ht="15.75" customHeight="1">
      <c r="A957" s="13"/>
      <c r="B957" s="13"/>
    </row>
    <row r="958" ht="15.75" customHeight="1">
      <c r="A958" s="13"/>
      <c r="B958" s="13"/>
    </row>
    <row r="959" ht="15.75" customHeight="1">
      <c r="A959" s="13"/>
      <c r="B959" s="13"/>
    </row>
    <row r="960" ht="15.75" customHeight="1">
      <c r="A960" s="13"/>
      <c r="B960" s="13"/>
    </row>
    <row r="961" ht="15.75" customHeight="1">
      <c r="A961" s="13"/>
      <c r="B961" s="13"/>
    </row>
    <row r="962" ht="15.75" customHeight="1">
      <c r="A962" s="13"/>
      <c r="B962" s="13"/>
    </row>
    <row r="963" ht="15.75" customHeight="1">
      <c r="A963" s="13"/>
      <c r="B963" s="13"/>
    </row>
    <row r="964" ht="15.75" customHeight="1">
      <c r="A964" s="13"/>
      <c r="B964" s="13"/>
    </row>
    <row r="965" ht="15.75" customHeight="1">
      <c r="A965" s="13"/>
      <c r="B965" s="13"/>
    </row>
    <row r="966" ht="15.75" customHeight="1">
      <c r="A966" s="13"/>
      <c r="B966" s="13"/>
    </row>
    <row r="967" ht="15.75" customHeight="1">
      <c r="A967" s="13"/>
      <c r="B967" s="13"/>
    </row>
    <row r="968" ht="15.75" customHeight="1">
      <c r="A968" s="13"/>
      <c r="B968" s="13"/>
    </row>
    <row r="969" ht="15.75" customHeight="1">
      <c r="A969" s="13"/>
      <c r="B969" s="13"/>
    </row>
    <row r="970" ht="15.75" customHeight="1">
      <c r="A970" s="13"/>
      <c r="B970" s="13"/>
    </row>
    <row r="971" ht="15.75" customHeight="1">
      <c r="A971" s="13"/>
      <c r="B971" s="13"/>
    </row>
    <row r="972" ht="15.75" customHeight="1">
      <c r="A972" s="13"/>
      <c r="B972" s="13"/>
    </row>
    <row r="973" ht="15.75" customHeight="1">
      <c r="A973" s="13"/>
      <c r="B973" s="13"/>
    </row>
    <row r="974" ht="15.75" customHeight="1">
      <c r="A974" s="13"/>
      <c r="B974" s="13"/>
    </row>
    <row r="975" ht="15.75" customHeight="1">
      <c r="A975" s="13"/>
      <c r="B975" s="13"/>
    </row>
    <row r="976" ht="15.75" customHeight="1">
      <c r="A976" s="13"/>
      <c r="B976" s="13"/>
    </row>
    <row r="977" ht="15.75" customHeight="1">
      <c r="A977" s="13"/>
      <c r="B977" s="13"/>
    </row>
    <row r="978" ht="15.75" customHeight="1">
      <c r="A978" s="13"/>
      <c r="B978" s="13"/>
    </row>
    <row r="979" ht="15.75" customHeight="1">
      <c r="A979" s="13"/>
      <c r="B979" s="13"/>
    </row>
    <row r="980" ht="15.75" customHeight="1">
      <c r="A980" s="13"/>
      <c r="B980" s="13"/>
    </row>
    <row r="981" ht="15.75" customHeight="1">
      <c r="A981" s="13"/>
      <c r="B981" s="13"/>
    </row>
    <row r="982" ht="15.75" customHeight="1">
      <c r="A982" s="13"/>
      <c r="B982" s="13"/>
    </row>
    <row r="983" ht="15.75" customHeight="1">
      <c r="A983" s="13"/>
      <c r="B983" s="13"/>
    </row>
    <row r="984" ht="15.75" customHeight="1">
      <c r="A984" s="13"/>
      <c r="B984" s="13"/>
    </row>
    <row r="985" ht="15.75" customHeight="1">
      <c r="A985" s="13"/>
      <c r="B985" s="13"/>
    </row>
    <row r="986" ht="15.75" customHeight="1">
      <c r="A986" s="13"/>
      <c r="B986" s="13"/>
    </row>
    <row r="987" ht="15.75" customHeight="1">
      <c r="A987" s="13"/>
      <c r="B987" s="13"/>
    </row>
    <row r="988" ht="15.75" customHeight="1">
      <c r="A988" s="13"/>
      <c r="B988" s="13"/>
    </row>
    <row r="989" ht="15.75" customHeight="1">
      <c r="A989" s="13"/>
      <c r="B989" s="13"/>
    </row>
    <row r="990" ht="15.75" customHeight="1">
      <c r="A990" s="13"/>
      <c r="B990" s="13"/>
    </row>
    <row r="991" ht="15.75" customHeight="1">
      <c r="A991" s="13"/>
      <c r="B991" s="13"/>
    </row>
    <row r="992" ht="15.75" customHeight="1">
      <c r="A992" s="13"/>
      <c r="B992" s="13"/>
    </row>
    <row r="993" ht="15.75" customHeight="1">
      <c r="A993" s="13"/>
      <c r="B993" s="13"/>
    </row>
    <row r="994" ht="15.75" customHeight="1">
      <c r="A994" s="13"/>
      <c r="B994" s="13"/>
    </row>
    <row r="995" ht="15.75" customHeight="1">
      <c r="A995" s="13"/>
      <c r="B995" s="13"/>
    </row>
    <row r="996" ht="15.75" customHeight="1">
      <c r="A996" s="13"/>
      <c r="B996" s="13"/>
    </row>
    <row r="997" ht="15.75" customHeight="1">
      <c r="A997" s="13"/>
      <c r="B997" s="13"/>
    </row>
    <row r="998" ht="15.75" customHeight="1">
      <c r="A998" s="13"/>
      <c r="B998" s="13"/>
    </row>
    <row r="999" ht="15.75" customHeight="1">
      <c r="A999" s="13"/>
      <c r="B999" s="13"/>
    </row>
    <row r="1000" ht="15.75" customHeight="1">
      <c r="A1000" s="13"/>
      <c r="B1000" s="13"/>
    </row>
  </sheetData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